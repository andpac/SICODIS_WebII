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BDCE3668-EB1D-4B5E-AB86-EA311C449462}" xr6:coauthVersionLast="47" xr6:coauthVersionMax="47" xr10:uidLastSave="{00000000-0000-0000-0000-000000000000}"/>
  <bookViews>
    <workbookView xWindow="-120" yWindow="-120" windowWidth="24240" windowHeight="13140" xr2:uid="{B3105C61-EBEE-41B5-8F29-913443D17644}"/>
  </bookViews>
  <sheets>
    <sheet name="Reporte Fun - Ejecucion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a">'[2]CUADRO No 4'!#REF!</definedName>
    <definedName name="\c">#REF!</definedName>
    <definedName name="\i">#REF!</definedName>
    <definedName name="\P">#REF!</definedName>
    <definedName name="\r">#REF!</definedName>
    <definedName name="__123Graph_B" hidden="1">'[3]GIROS SITUAD.FISCAL- 2000'!#REF!</definedName>
    <definedName name="__123Graph_D" hidden="1">'[3]GIROS SITUAD.FISCAL- 2000'!#REF!</definedName>
    <definedName name="__123Graph_F" hidden="1">'[3]GIROS SITUAD.FISCAL- 2000'!#REF!</definedName>
    <definedName name="__123Graph_X" hidden="1">'[3]GIROS SITUAD.FISCAL- 2000'!#REF!</definedName>
    <definedName name="__xlnm._FilterDatabase">#REF!</definedName>
    <definedName name="__xlnm._FilterDatabase_3">#REF!</definedName>
    <definedName name="_1">#REF!</definedName>
    <definedName name="_1994">'[4]Educa 94-01 miles corrientes'!$M$2</definedName>
    <definedName name="_1995">'[4]Educa 94-01 miles corrientes'!$N$2</definedName>
    <definedName name="_1996">'[4]Educa 94-01 miles corrientes'!$O$2</definedName>
    <definedName name="_1997">'[4]Educa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Ejecucion'!$B$15:$Y$69</definedName>
    <definedName name="_fmi1">[5]PAGOFMI!$A$1:$L$51</definedName>
    <definedName name="_fmi2">[5]PAGOFMI!$P$1:$AA$51</definedName>
    <definedName name="_fmi3">[5]PAGORES!$AC$1:$AN$43</definedName>
    <definedName name="_fmi4">[5]PAGORES!$AP$1:$BA$44</definedName>
    <definedName name="_Order1" hidden="1">255</definedName>
    <definedName name="_Order2" hidden="1">255</definedName>
    <definedName name="_PIB01">[6]SUPUESTOS!#REF!</definedName>
    <definedName name="_PIB02">[7]SUPUESTOS!#REF!</definedName>
    <definedName name="_PIB95">[6]SUPUESTOS!$J$47</definedName>
    <definedName name="_PIB96">[6]SUPUESTOS!$K$47</definedName>
    <definedName name="_PIB97">[8]SUPUESTOS!$L$47</definedName>
    <definedName name="_PIB98">[8]SUPUESTOS!$M$47</definedName>
    <definedName name="_PIB99">[8]SUPUESTOS!$N$47</definedName>
    <definedName name="_RES9397">#REF!</definedName>
    <definedName name="_rez2">'[5]PAGOS VIGENCIA t'!$A$57:$AH$108</definedName>
    <definedName name="_rez3">[5]PAGORES!$A$1:$M$37</definedName>
    <definedName name="_rez4">[5]PAGORES!$O$1:$AN$43</definedName>
    <definedName name="_Table1_Out" hidden="1">[9]CARBOCOL!#REF!</definedName>
    <definedName name="_Table2_In2" hidden="1">[10]ANUAL1!#REF!</definedName>
    <definedName name="_Table2_Out" hidden="1">[9]CARBOCOL!#REF!</definedName>
    <definedName name="A">#REF!</definedName>
    <definedName name="A_2002">#REF!</definedName>
    <definedName name="A_CAPITAL">[11]Hoja4!$B$3:$O$34</definedName>
    <definedName name="A_DEPTOS">[11]Hoja4!$B$76:$N$108</definedName>
    <definedName name="A_impresión_IM">#REF!</definedName>
    <definedName name="A_MUNPIOS">[11]Hoja4!$B$39:$N$71</definedName>
    <definedName name="AAA">[12]proyecINGRESOS99!$L$1:$T$97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[13]GASTOS!#REF!</definedName>
    <definedName name="Aprobacion">[14]Listas!$I$4:$I$5</definedName>
    <definedName name="APROPIACIONES_PAC_Y_REZAGO_1999___2000">#REF!</definedName>
    <definedName name="aprprp">[13]GASTOS!#REF!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[15]LOTERIAS!$B$54:$P$54</definedName>
    <definedName name="_xlnm.Database">#REF!</definedName>
    <definedName name="basnac">[13]GASTOS!#REF!</definedName>
    <definedName name="basprp">[13]GASTOS!#REF!</definedName>
    <definedName name="beneficiarios">[16]Correlativas!$B$4:$C$1152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'[17]CUA1-3'!$Y$1:$AD$93</definedName>
    <definedName name="CAT_00">'[18]94-03 Mil Corr '!#REF!</definedName>
    <definedName name="CAT_01">'[18]94-03 Mil Corr '!#REF!</definedName>
    <definedName name="CAT_02">'[18]94-03 Mil Corr '!#REF!</definedName>
    <definedName name="CAT_94">'[18]94-03 Mil Corr '!#REF!</definedName>
    <definedName name="CAT_95">'[18]94-03 Mil Corr '!#REF!</definedName>
    <definedName name="CAT_96">'[18]94-03 Mil Corr '!#REF!</definedName>
    <definedName name="CAT_97">'[18]94-03 Mil Corr '!#REF!</definedName>
    <definedName name="CAT_98">'[18]94-03 Mil Corr '!#REF!</definedName>
    <definedName name="CAT_99">'[18]94-03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[19]RESUMEN!#REF!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'[12]proyecINGRESOS99 (det)'!$V$98:$AH$145</definedName>
    <definedName name="concepcom">[20]LISTAS!$Y$5:$Y$8</definedName>
    <definedName name="Conceptos">[21]Hoja1!$J$26:$J$39</definedName>
    <definedName name="Confis">#REF!</definedName>
    <definedName name="CONVIA">[22]LISTAS!$AE$5:$AE$6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[23]RESUOPE!$AE$150:$BB$224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[24]Hoja1!$B$3:$E$38</definedName>
    <definedName name="Cuadro_No._1b">[24]Hoja2!$L$3:$O$23</definedName>
    <definedName name="Cuadro_No._1C">[24]Hoja1!$B$50:$E$88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[23]RESUOPE!$B$9:$AB$83</definedName>
    <definedName name="CUAINGRE">#REF!</definedName>
    <definedName name="Cwvu.ComparEneMar9697." hidden="1">'[25]Seguimiento CSF'!#REF!,'[25]Seguimiento CSF'!$A$30:$IV$34,'[25]Seguimiento CSF'!$A$104:$IV$104,'[25]Seguimiento CSF'!#REF!,'[25]Seguimiento CSF'!#REF!,'[25]Seguimiento CSF'!$A$124:$IV$125</definedName>
    <definedName name="Cwvu.EneFeb." hidden="1">'[25]Seguimiento CSF'!#REF!,'[25]Seguimiento CSF'!#REF!</definedName>
    <definedName name="Cwvu.EneMar." hidden="1">'[25]Seguimiento CSF'!#REF!,'[25]Seguimiento CSF'!$A$67:$IV$67,'[25]Seguimiento CSF'!#REF!,'[25]Seguimiento CSF'!#REF!</definedName>
    <definedName name="Cwvu.Formato._.Corto." hidden="1">'[25]Seguimiento CSF'!$A$11:$IV$12,'[25]Seguimiento CSF'!#REF!,'[25]Seguimiento CSF'!$A$45:$IV$46,'[25]Seguimiento CSF'!$A$48:$IV$57,'[25]Seguimiento CSF'!$A$61:$IV$63,'[25]Seguimiento CSF'!$A$65:$IV$66,'[25]Seguimiento CSF'!$A$72:$IV$82,'[25]Seguimiento CSF'!$A$89:$IV$92,'[25]Seguimiento CSF'!$A$114:$IV$116,'[25]Seguimiento CSF'!$A$118:$IV$122,'[25]Seguimiento CSF'!$A$129:$IV$132,'[25]Seguimiento CSF'!$A$134:$IV$135</definedName>
    <definedName name="Cwvu.Formato._.Total." hidden="1">'[25]Seguimiento CSF'!#REF!,'[25]Seguimiento CSF'!#REF!,'[25]Seguimiento CSF'!#REF!</definedName>
    <definedName name="d">'[26]Dolares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[11]Hoja4!$B$3:$B$34</definedName>
    <definedName name="DEPAR_DEP">[11]Hoja4!$B$76:$B$108</definedName>
    <definedName name="DEPAR_MUN">[11]Hoja4!$B$39:$B$71</definedName>
    <definedName name="Departamental">[27]Listas!$GK$5:$GK$37</definedName>
    <definedName name="Departamentos">[28]Lista!$H$3:$H$39</definedName>
    <definedName name="DEPTO">#REF!</definedName>
    <definedName name="DEPTO_2002">#REF!</definedName>
    <definedName name="depto1">[29]depto!$A$1:$A$33</definedName>
    <definedName name="DETALLE_DE_LA_COMPOSICION_DEL_PRESUPUESTO_DE_RENTAS_DE_LA_NACION">[12]proyecINGRESOS99!$A$1:$I$97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[13]GASTOS!#REF!</definedName>
    <definedName name="eje">[13]GASTOS!#REF!</definedName>
    <definedName name="EJECUTOR">[30]LISTAS!$AH$5:$AH$3809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[31]Hoja1!$F$9:$F$24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[32]Hoja1!$C$5:$C$13</definedName>
    <definedName name="ESTADOS">[33]Hoja2!$C$5:$C$13</definedName>
    <definedName name="estimaciones">#REF!</definedName>
    <definedName name="Excel_BuiltIn__FilterDatabase_3">#REF!</definedName>
    <definedName name="FEBRERON">[34]VIGN!#REF!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'[18]94-03 Mil Corr '!#REF!</definedName>
    <definedName name="FORZ_01_RESERVA">'[18]94-03 Mil Corr '!#REF!</definedName>
    <definedName name="FORZ_94">'[18]94-03 Mil Corr '!#REF!</definedName>
    <definedName name="FORZ_95">'[18]94-03 Mil Corr '!#REF!</definedName>
    <definedName name="FORZ_96">'[18]94-03 Mil Corr '!#REF!</definedName>
    <definedName name="FORZ_97">'[18]94-03 Mil Corr '!#REF!</definedName>
    <definedName name="FORZ_98">'[18]94-03 Mil Corr '!#REF!</definedName>
    <definedName name="FORZ_99">'[18]94-03 Mil Corr '!#REF!</definedName>
    <definedName name="FORZ_PG_02">'[18]94-03 Mil Corr '!#REF!</definedName>
    <definedName name="fsfsf">[34]VIGN!#REF!</definedName>
    <definedName name="fun">[13]GASTOS!#REF!</definedName>
    <definedName name="futnac">[13]GASTOS!#REF!</definedName>
    <definedName name="futprp">[13]GASTOS!#REF!</definedName>
    <definedName name="ga">#REF!</definedName>
    <definedName name="GASOLINA_REGULAR">'[35]MODELO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[36]Hidrocarburos!$B$28:$AE$30</definedName>
    <definedName name="Hidrocarburos_Caja_Sensibilizado">'[36]Hidrocarburos Sensibilizado'!$B$28:$AE$30</definedName>
    <definedName name="Honorarios">#REF!</definedName>
    <definedName name="horext">#REF!</definedName>
    <definedName name="hsdgfjhsdf">'[2]CUADRO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[22]LISTAS!$AA$5:$AA$6</definedName>
    <definedName name="INTYCOM00_">[15]SUPUESTOS!$O$70</definedName>
    <definedName name="INTYCOM94_">[15]SUPUESTOS!$I$70</definedName>
    <definedName name="INTYCOM95_">[15]SUPUESTOS!$J$70</definedName>
    <definedName name="INTYCOM96_">[15]SUPUESTOS!$K$70</definedName>
    <definedName name="INTYCOM97_">[15]SUPUESTOS!$L$70</definedName>
    <definedName name="INTYCOM98_">[15]SUPUESTOS!$M$70</definedName>
    <definedName name="INTYCOM99_">[15]SUPUESTOS!$N$70</definedName>
    <definedName name="KBALANCEVSFMI">#REF!</definedName>
    <definedName name="kkkk">'[37]CUADRO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'[38]LIQUI-TRANSF'!#REF!</definedName>
    <definedName name="Lista_nombresDepto">[39]Diagrama!$B$76:$C$121</definedName>
    <definedName name="ListaEventos">[40]Listas!$II$5:$II$10</definedName>
    <definedName name="LPORTADASECTOR">#REF!</definedName>
    <definedName name="M">[41]Datos!$F$34</definedName>
    <definedName name="MACRO">#REF!</definedName>
    <definedName name="MARZON">[34]VIGN!#REF!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'[36]Mineria ANM'!$B$30:$CC$41</definedName>
    <definedName name="Mineria_Caja_Sensibilizado">'[36]Mineria ANM Sensibilizado'!$B$39:$CC$46</definedName>
    <definedName name="MINISTRO">'[42]CUA1-3'!#REF!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[16]Correlativas!$E$3:$F$36</definedName>
    <definedName name="nombre_municipios">[43]correlativas!$E$4:$G$1106</definedName>
    <definedName name="NOMBRENIT">[22]LISTAS!$AI$5:$AI$1139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'[26]Pesos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'[42]CUA1-3'!#REF!</definedName>
    <definedName name="PARTMUN00_">[15]SUPUESTOS!$O$6</definedName>
    <definedName name="PARTMUN93_">[15]SUPUESTOS!$H$6</definedName>
    <definedName name="PARTMUN94_">[15]SUPUESTOS!$I$6</definedName>
    <definedName name="PARTMUN95_">[15]SUPUESTOS!$J$6</definedName>
    <definedName name="PARTMUN96_">[15]SUPUESTOS!$K$6</definedName>
    <definedName name="PARTMUN97_">[15]SUPUESTOS!$L$6</definedName>
    <definedName name="PARTMUN98_">[15]SUPUESTOS!$M$6</definedName>
    <definedName name="PARTMUN99_">[15]SUPUESTOS!$N$6</definedName>
    <definedName name="Pcpta_00">[44]Pob!#REF!</definedName>
    <definedName name="Pcpta_01">[44]Pob!#REF!</definedName>
    <definedName name="Pcpta_02">[44]Pob!#REF!</definedName>
    <definedName name="Pcpta_99">[44]Pob!#REF!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[7]SUPUESTOS!$O$47</definedName>
    <definedName name="PIB00_">[15]SUPUESTOS!$O$19</definedName>
    <definedName name="PIB93_">[15]SUPUESTOS!$H$19</definedName>
    <definedName name="PIB94_">[15]SUPUESTOS!$I$19</definedName>
    <definedName name="PIB95_">[15]SUPUESTOS!$J$19</definedName>
    <definedName name="PIB96_">[15]SUPUESTOS!$K$19</definedName>
    <definedName name="PIB97_">[15]SUPUESTOS!$L$19</definedName>
    <definedName name="PIB98_">[15]SUPUESTOS!$M$19</definedName>
    <definedName name="PIB99_">[15]SUPUESTOS!$N$19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'[18]94-03 Mil Corr '!#REF!</definedName>
    <definedName name="PORC_LIBRE_01">'[18]94-03 Mil Corr '!#REF!</definedName>
    <definedName name="PORC_LIBRE_02">'[18]94-03 Mil Corr '!#REF!</definedName>
    <definedName name="PORC_LIBRE_94">'[18]94-03 Mil Corr '!#REF!</definedName>
    <definedName name="PORC_LIBRE_95">'[18]94-03 Mil Corr '!#REF!</definedName>
    <definedName name="PORC_LIBRE_96">'[18]94-03 Mil Corr '!#REF!</definedName>
    <definedName name="PORC_LIBRE_97">'[18]94-03 Mil Corr '!#REF!</definedName>
    <definedName name="PORC_LIBRE_98">'[18]94-03 Mil Corr '!#REF!</definedName>
    <definedName name="PORC_LIBRE_99">'[18]94-03 Mil Corr '!#REF!</definedName>
    <definedName name="PPTO97">#REF!</definedName>
    <definedName name="PRESUPUESTO__1998">#REF!</definedName>
    <definedName name="prgnac">[13]GASTOS!#REF!</definedName>
    <definedName name="prgprp">[13]GASTOS!#REF!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[13]GASTOS!#REF!</definedName>
    <definedName name="pryprp">[13]GASTOS!#REF!</definedName>
    <definedName name="pyd">'[26]P+D ingresos'!$C$1:$U$111</definedName>
    <definedName name="rango1">#REF!</definedName>
    <definedName name="RDPTO">#REF!</definedName>
    <definedName name="re">#REF!</definedName>
    <definedName name="REBDBRUTO">#REF!</definedName>
    <definedName name="RECALCULO">[19]RESUMEN!#REF!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[13]GASTOS!#REF!</definedName>
    <definedName name="recprp">[13]GASTOS!#REF!</definedName>
    <definedName name="reg">[13]GASTOS!#REF!</definedName>
    <definedName name="REGALIAS00_">[15]SUPUESTOS!$O$74</definedName>
    <definedName name="REGALIAS93_">[15]SUPUESTOS!$H$74</definedName>
    <definedName name="REGALIAS94_">[15]SUPUESTOS!$I$74</definedName>
    <definedName name="REGALIAS95_">[15]SUPUESTOS!$J$74</definedName>
    <definedName name="REGALIAS96_">[15]SUPUESTOS!$K$74</definedName>
    <definedName name="REGALIAS97_">[15]SUPUESTOS!$L$74</definedName>
    <definedName name="REGALIAS98_">[15]SUPUESTOS!$M$74</definedName>
    <definedName name="REGALIAS99_">[15]SUPUESTOS!$N$74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[44]Pob!#REF!</definedName>
    <definedName name="reporte_beneficiario">#REF!</definedName>
    <definedName name="reporte_departamento">'[39]Rte. por Depto'!$A$4:$M$50</definedName>
    <definedName name="REQUERIDOS">'[38]LIQUI-TRANSF'!#REF!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'[25]Seguimiento CSF'!$L$1:$N$65536,'[25]Seguimiento CSF'!$R$1:$BU$65536</definedName>
    <definedName name="Rwvu.EneFeb." hidden="1">'[25]Seguimiento CSF'!$L$1:$N$65536,'[25]Seguimiento CSF'!$Q$1:$AD$65536</definedName>
    <definedName name="Rwvu.Formato._.Corto." hidden="1">'[25]Seguimiento CSF'!$L$1:$N$65536,'[25]Seguimiento CSF'!$R$1:$AD$65536,'[25]Seguimiento CSF'!$AH$1:$AY$65536,'[25]Seguimiento CSF'!$BA$1:$BH$65536,'[25]Seguimiento CSF'!$BJ$1:$BQ$65536,'[25]Seguimiento CSF'!$BS$1:$CF$65536</definedName>
    <definedName name="Rwvu.OPEF._.96." hidden="1">'[25]Resumen OPEF'!$E$1:$J$65536,'[25]Resumen OPEF'!$M$1:$Q$65536</definedName>
    <definedName name="Rwvu.OPEF._.97." hidden="1">'[25]Resumen OPEF'!$C$1:$C$65536,'[25]Resumen OPEF'!#REF!,'[25]Resumen OPEF'!$K$1:$Q$65536</definedName>
    <definedName name="SALIR">[19]RESUMEN!#REF!</definedName>
    <definedName name="secing">#REF!</definedName>
    <definedName name="SECTOR1">[45]LISTAS!$S$5:$S$28</definedName>
    <definedName name="SEGSOCIALCRECIM">#REF!</definedName>
    <definedName name="SEGSOCIALPESOS">#REF!</definedName>
    <definedName name="SEGSOCIALPIB">#REF!</definedName>
    <definedName name="SEL">[20]LISTAS!$W$5:$W$6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'[46]DETALLE-DEUDA'!#REF!</definedName>
    <definedName name="Servicios_personales">#REF!</definedName>
    <definedName name="SGP_PG_02">#REF!</definedName>
    <definedName name="SITFID95_">[15]SUPUESTOS!$J$7</definedName>
    <definedName name="SITFIS00_">[15]SUPUESTOS!$O$7</definedName>
    <definedName name="SITFIS93_">[15]SUPUESTOS!$H$7</definedName>
    <definedName name="SITFIS94_">[15]SUPUESTOS!$I$7</definedName>
    <definedName name="SITFIS95_">[15]SUPUESTOS!$J$7</definedName>
    <definedName name="SITFIS96_">[15]SUPUESTOS!$K$7</definedName>
    <definedName name="SITFIS97_">[15]SUPUESTOS!$L$7</definedName>
    <definedName name="SITFIS98_">[15]SUPUESTOS!$M$7</definedName>
    <definedName name="SITFIS99_">[15]SUPUESTOS!$N$7</definedName>
    <definedName name="solnac">[13]GASTOS!#REF!</definedName>
    <definedName name="solprp">[13]GASTOS!#REF!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[47]RangosEntidad!$A$2:$A$36</definedName>
    <definedName name="TipoOcad">[27]Listas!$GI$4:$GM$4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[15]SUPUESTOS!$O$5</definedName>
    <definedName name="TRANSTOT93_">[15]SUPUESTOS!$H$5</definedName>
    <definedName name="TRANSTOT94_">[15]SUPUESTOS!$I$5</definedName>
    <definedName name="TRANSTOT95_">[15]SUPUESTOS!$J$5</definedName>
    <definedName name="TRANSTOT96_">[15]SUPUESTOS!$K$5</definedName>
    <definedName name="TRANSTOT97_">[15]SUPUESTOS!$L$5</definedName>
    <definedName name="TRANSTOT98_">[15]SUPUESTOS!$M$5</definedName>
    <definedName name="TRANSTOT99_">[15]SUPUESTOS!$N$5</definedName>
    <definedName name="TRM">[48]TC!$H$10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[15]SUPUESTOS!$O$20</definedName>
    <definedName name="VARPIB93_">[15]SUPUESTOS!$H$20</definedName>
    <definedName name="VARPIB94_">[15]SUPUESTOS!$I$20</definedName>
    <definedName name="VARPIB95_">[15]SUPUESTOS!$J$20</definedName>
    <definedName name="VARPIB96_">[15]SUPUESTOS!$K$20</definedName>
    <definedName name="VARPIB97_">[15]SUPUESTOS!$L$20</definedName>
    <definedName name="VARPIB98_">[15]SUPUESTOS!$M$20</definedName>
    <definedName name="VARPIB99_">[15]SUPUESTOS!$N$20</definedName>
    <definedName name="Viáticos_y_gastos_de_viaje">#REF!</definedName>
    <definedName name="VIGENCIA">'[5]PAGOS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[31]Hoja1!$C$3:$C$6</definedName>
    <definedName name="VOTOAPR">[20]LISTAS!$AG$5:$AG$6</definedName>
    <definedName name="VOTOVIA">[20]LISTAS!$AC$5:$AC$6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'[49]CUA1-3'!#REF!</definedName>
    <definedName name="Z_91E95AE5_DCC2_11D0_8DF1_00805F2A002D_.wvu.Cols" hidden="1">'[25]Seguimiento CSF'!$L$1:$N$65536,'[25]Seguimiento CSF'!$R$1:$BU$65536</definedName>
    <definedName name="Z_91E95AE6_DCC2_11D0_8DF1_00805F2A002D_.wvu.Cols" hidden="1">'[25]Seguimiento CSF'!$L$1:$N$65536,'[25]Seguimiento CSF'!$Q$1:$AD$65536</definedName>
    <definedName name="Z_91E95AE6_DCC2_11D0_8DF1_00805F2A002D_.wvu.Rows" hidden="1">'[25]Seguimiento CSF'!#REF!,'[25]Seguimiento CSF'!#REF!</definedName>
    <definedName name="Z_91E95AE7_DCC2_11D0_8DF1_00805F2A002D_.wvu.Cols" hidden="1">'[25]Resumen MES OPEF'!$C$1:$C$65536,'[25]Resumen MES OPEF'!$N$1:$N$65536,'[25]Resumen MES OPEF'!$Y$1:$Y$65536,'[25]Resumen MES OPEF'!$AL$1:$AL$65536,'[25]Resumen MES OPEF'!$AV$1:$AV$65536,'[25]Resumen MES OPEF'!$BG$1:$BG$65536,'[25]Resumen MES OPEF'!$BR$1:$BR$65536,'[25]Resumen MES OPEF'!$CC$1:$CC$65536</definedName>
    <definedName name="Z_91E95AE8_DCC2_11D0_8DF1_00805F2A002D_.wvu.Cols" hidden="1">'[25]Seguimiento CSF'!$L$1:$N$65536,'[25]Seguimiento CSF'!$R$1:$AD$65536,'[25]Seguimiento CSF'!$AY$1:$AY$65536,'[25]Seguimiento CSF'!$BH$1:$BH$65536,'[25]Seguimiento CSF'!$BQ$1:$BQ$65536</definedName>
    <definedName name="Z_91E95AE9_DCC2_11D0_8DF1_00805F2A002D_.wvu.Cols" hidden="1">'[25]Seguimiento CSF'!$L$1:$N$65536,'[25]Seguimiento CSF'!$R$1:$AD$65536,'[25]Seguimiento CSF'!$AH$1:$AY$65536,'[25]Seguimiento CSF'!$BA$1:$BH$65536,'[25]Seguimiento CSF'!$BJ$1:$BQ$65536,'[25]Seguimiento CSF'!$BS$1:$CF$65536</definedName>
    <definedName name="Z_91E95AEB_DCC2_11D0_8DF1_00805F2A002D_.wvu.Cols" hidden="1">'[25]Resumen OPEF'!$E$1:$J$65536,'[25]Resumen OPEF'!$M$1:$Q$65536</definedName>
    <definedName name="Z_91E95AEC_DCC2_11D0_8DF1_00805F2A002D_.wvu.Cols" hidden="1">'[25]Resumen OPEF'!$C$1:$C$65536,'[25]Resumen OPEF'!$E$1:$E$65536,'[25]Resumen OPEF'!$H$1:$I$65536,'[25]Resumen OPEF'!$K$1:$L$65536,'[25]Resumen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9" i="1" l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</calcChain>
</file>

<file path=xl/sharedStrings.xml><?xml version="1.0" encoding="utf-8"?>
<sst xmlns="http://schemas.openxmlformats.org/spreadsheetml/2006/main" count="325" uniqueCount="209">
  <si>
    <t>Sistema General de Regalías
 Pesos Corrientes</t>
  </si>
  <si>
    <t/>
  </si>
  <si>
    <t>Detalle de gestión financiera</t>
  </si>
  <si>
    <t>Fuente: Subdirección de Distribución de Recursos Territoriales - DPIP a partir de la ley bienal de presupuesto, resoluciones de distribución (Comisión Rectora del SGR y Ministerio de Minas y Energía) y los reportes de información del Sistema de Presupuesto y Giro de Regalías (SPGR)</t>
  </si>
  <si>
    <t>Fecha de actualización: octubre 31 de 2025</t>
  </si>
  <si>
    <t>Fecha de corte de recaudo: septiembre 15 de 2025</t>
  </si>
  <si>
    <t>Vigencia</t>
  </si>
  <si>
    <t>Presupuesto 2025-2026 Ley 2441 de 2024 y Decreto 379 de 2025</t>
  </si>
  <si>
    <t>CodEntidad</t>
  </si>
  <si>
    <t xml:space="preserve">Asignación </t>
  </si>
  <si>
    <t>Concepto</t>
  </si>
  <si>
    <t>NombreEntidad</t>
  </si>
  <si>
    <t>Presupuesto Corriente</t>
  </si>
  <si>
    <t>Presupuesto Otros</t>
  </si>
  <si>
    <t>Presupuesto Asignado</t>
  </si>
  <si>
    <t>Disponibilidad Inicial</t>
  </si>
  <si>
    <t>Presupuesto Vigente</t>
  </si>
  <si>
    <t>Recursos Bloqueados</t>
  </si>
  <si>
    <t>Presupuesto Disponible</t>
  </si>
  <si>
    <t>Recaudo Otros</t>
  </si>
  <si>
    <t>Recaudo Corriente</t>
  </si>
  <si>
    <t>Recaudo Total</t>
  </si>
  <si>
    <t>Avance Recaudo Corriente</t>
  </si>
  <si>
    <t>Caja Total</t>
  </si>
  <si>
    <t>CDP</t>
  </si>
  <si>
    <t>Compromisos</t>
  </si>
  <si>
    <t>Pagos</t>
  </si>
  <si>
    <t>Saldo por Comprometer</t>
  </si>
  <si>
    <t>% Ejecución a Compromisos</t>
  </si>
  <si>
    <t>Caja Disponible</t>
  </si>
  <si>
    <t>Saldo Disponible a Pagos</t>
  </si>
  <si>
    <t>Saldo Sin Afectación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</si>
  <si>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</si>
  <si>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</si>
  <si>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</si>
  <si>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</si>
  <si>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</si>
  <si>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</si>
  <si>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</si>
  <si>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</si>
  <si>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</si>
  <si>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FU006</t>
  </si>
  <si>
    <t>ST de los OCAD - Pueblos y Comunidades Etnicas</t>
  </si>
  <si>
    <t xml:space="preserve"> ST OCAD Municipales</t>
  </si>
  <si>
    <t>FU007</t>
  </si>
  <si>
    <t>Min. Ciencia Tecnología e Innovación - ST OCAD CTeI</t>
  </si>
  <si>
    <t>FU008</t>
  </si>
  <si>
    <t>ST OCAD Regionales</t>
  </si>
  <si>
    <t>FU009</t>
  </si>
  <si>
    <t>ST OCAD Departamentales</t>
  </si>
  <si>
    <t>FU010</t>
  </si>
  <si>
    <t>ST OCAD CAR</t>
  </si>
  <si>
    <t>FU011</t>
  </si>
  <si>
    <t>Min. Hacienda y Crédito Público - Órgano</t>
  </si>
  <si>
    <t>FU012</t>
  </si>
  <si>
    <t>Min. Minas y Energía - Órgano</t>
  </si>
  <si>
    <t>FU013</t>
  </si>
  <si>
    <t>Ministerios y entidades que emiten CTUS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</si>
  <si>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</si>
  <si>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</si>
  <si>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</si>
  <si>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</si>
  <si>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</si>
  <si>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</si>
  <si>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</si>
  <si>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</si>
  <si>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</si>
  <si>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</si>
  <si>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</si>
  <si>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FU019</t>
  </si>
  <si>
    <t>Min. Deporte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</si>
  <si>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</si>
  <si>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</si>
  <si>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</si>
  <si>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</si>
  <si>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</si>
  <si>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</si>
  <si>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</si>
  <si>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</si>
  <si>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</si>
  <si>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</si>
  <si>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</si>
  <si>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</si>
  <si>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FU030</t>
  </si>
  <si>
    <t>ENTerritorio - Estructuración de proyectos</t>
  </si>
  <si>
    <t>FU031</t>
  </si>
  <si>
    <t>Unidad Nacional para la Gestión del Riesgo de Desastres</t>
  </si>
  <si>
    <t>FU033</t>
  </si>
  <si>
    <t>Min. Ambiente - Licenciamiento Ambiental</t>
  </si>
  <si>
    <t>FU034</t>
  </si>
  <si>
    <t>Min. Minas y Energía - IP - Funcionamiento</t>
  </si>
  <si>
    <t>FU041</t>
  </si>
  <si>
    <t>Min. Interior - Consulta previa</t>
  </si>
  <si>
    <t>FU043</t>
  </si>
  <si>
    <t>Recursos por distribuir - Funcionamiento</t>
  </si>
  <si>
    <t>FU045</t>
  </si>
  <si>
    <t>Contraloría General de la Republica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</si>
  <si>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</si>
  <si>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</si>
  <si>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</si>
  <si>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</si>
  <si>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</si>
  <si>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</si>
  <si>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</si>
  <si>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</si>
  <si>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</si>
  <si>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</si>
  <si>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</si>
  <si>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</si>
  <si>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FU058</t>
  </si>
  <si>
    <t>Min. Interior</t>
  </si>
  <si>
    <t>FU059</t>
  </si>
  <si>
    <t>Min. Tecnologías de la Información y las Comunicaciones</t>
  </si>
  <si>
    <t>FU060</t>
  </si>
  <si>
    <t xml:space="preserve">CNARP - Juventud del Pacifico FUNDECOA </t>
  </si>
  <si>
    <t>FU061</t>
  </si>
  <si>
    <t>Dpto. Prosperidad Social</t>
  </si>
  <si>
    <t>CI001</t>
  </si>
  <si>
    <t>Pueblos y Comunidades Indígenas</t>
  </si>
  <si>
    <t>CI002</t>
  </si>
  <si>
    <t xml:space="preserve">Comunidades Negras, Afrocolombianas, Raizales y Palenqueras </t>
  </si>
  <si>
    <t>CI003</t>
  </si>
  <si>
    <t>Pueblo Rrom o Gitano</t>
  </si>
  <si>
    <t>ET1</t>
  </si>
  <si>
    <t>Fortalecimiento entidades territoriales</t>
  </si>
  <si>
    <t>Municipios</t>
  </si>
  <si>
    <t>ET2</t>
  </si>
  <si>
    <t>Departamentos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</si>
  <si>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</si>
  <si>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</si>
  <si>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</si>
  <si>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</si>
  <si>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</si>
  <si>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</si>
  <si>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</si>
  <si>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</si>
  <si>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</si>
  <si>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</si>
  <si>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</si>
  <si>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</si>
  <si>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</si>
  <si>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</si>
  <si>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</si>
  <si>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cartografia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</si>
  <si>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</si>
  <si>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</si>
  <si>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</si>
  <si>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</si>
  <si>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</si>
  <si>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</si>
  <si>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</si>
  <si>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</si>
  <si>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</si>
  <si>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</si>
  <si>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</si>
  <si>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</si>
  <si>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</si>
  <si>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</si>
  <si>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</si>
  <si>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</si>
  <si>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</si>
  <si>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de ingresos corrientes según lo dispuesto por la ley de presupuesto bienal del SGR</t>
  </si>
  <si>
    <t>ANM</t>
  </si>
  <si>
    <t>Agencia Nacional de Hidrocarburos</t>
  </si>
  <si>
    <t>Recursos obtenidos por otros ingresos (multas, sanciones, reintegros, saldos, etc.)</t>
  </si>
  <si>
    <t>CNARP</t>
  </si>
  <si>
    <t>Presupuesto total asignado por la Comisión Rectora del SGR para el bienio (sumatoria de los numerales 1 y 2)</t>
  </si>
  <si>
    <t>CTUS</t>
  </si>
  <si>
    <t>Conceptos Técnicos Únicos Sectoriales</t>
  </si>
  <si>
    <t>Recursos del bienio anterior libres de afectación y compromisos pendientes de pago, incorporados por la entidad</t>
  </si>
  <si>
    <t>Dep.</t>
  </si>
  <si>
    <t>Departamento</t>
  </si>
  <si>
    <t>Presupuesto total del bienio (sumatoria de los numerales 3 y 4)</t>
  </si>
  <si>
    <t>IP</t>
  </si>
  <si>
    <t>Incentivo a la Producción</t>
  </si>
  <si>
    <t>Recursos bloqueados como medida preventiva del recaudo de conformidad con el Artículo 2.1.1.5.2. Decreto 1821 de 2020</t>
  </si>
  <si>
    <t>MHCP</t>
  </si>
  <si>
    <t>Ministerio de Hacienda y Crédito Público</t>
  </si>
  <si>
    <t>Presupuesto disponible del bienio para su ejecución (resta de los numerales 5 y 6)</t>
  </si>
  <si>
    <t>Min</t>
  </si>
  <si>
    <t>Ministerio</t>
  </si>
  <si>
    <t>Recursos recaudados por otros ingresos (multas, sanciones, reintegros, saldos, etc.)</t>
  </si>
  <si>
    <t>OCAD</t>
  </si>
  <si>
    <t xml:space="preserve">Órgano Colegiado de Administración y Decisión </t>
  </si>
  <si>
    <t>Recursos recaudados del presupuesto corriente informados mensualmente por la ANH y la ANM y comunicados al MHCP</t>
  </si>
  <si>
    <t>PBC</t>
  </si>
  <si>
    <t>Plan Bienal de Caja</t>
  </si>
  <si>
    <t>Total de recursos recaudados del presupuesto corriente y otros ingresos (sumatoria de los numerales 8 y 9)</t>
  </si>
  <si>
    <t>PCI</t>
  </si>
  <si>
    <t>Pueblo o Comunidades Indígenas</t>
  </si>
  <si>
    <t>Porcentaje de avance del recaudo acumulado, respecto al presupuesto corriente del bienio (división del numeral 9 en 1)</t>
  </si>
  <si>
    <t>PRG</t>
  </si>
  <si>
    <t>Recursos efectivos sobre los cuales la entidad realiza sus pagos (sumatoria de los numerales 4 y 10)</t>
  </si>
  <si>
    <t>SIEC</t>
  </si>
  <si>
    <t>Sistema de Información y Estrategia de Capacitación</t>
  </si>
  <si>
    <t>Recursos del presupuesto disponible que han sido afectados con certificado de disponibilidad presupuestal</t>
  </si>
  <si>
    <t>SSEC</t>
  </si>
  <si>
    <t>Sistema de Seguimiento Evaluación y Control</t>
  </si>
  <si>
    <t>Recursos destinados a la adquisición de bienes o servicios amparados bajo registro presupuestal</t>
  </si>
  <si>
    <t>ST</t>
  </si>
  <si>
    <t>Secretaría Técnica</t>
  </si>
  <si>
    <t>Recursos que han sido objeto de pago de los bienes o servicios adquiridos</t>
  </si>
  <si>
    <t>Recursos disponibles para la adquisición de bienes o servicios (resta de los numerales 7 y 14)</t>
  </si>
  <si>
    <t>Porcentaje de ejecución respecto al presupuesto disponible del bienio (división del numeral 14 en 7)</t>
  </si>
  <si>
    <t>Recursos en caja disponibles para efectuar pagos de bienes o servicios adquiridos (resta de los numerales 12 y 15)</t>
  </si>
  <si>
    <t>Recursos que pasarán al siguiente bienio como disponibilidad inicial (resta de los numerales 7 y 15)</t>
  </si>
  <si>
    <t>Saldo sin afectación</t>
  </si>
  <si>
    <t>Recursos del presupuesto disponible que no han sido objeto de afectación presupuestal (resta de los numerales 7 y 13)</t>
  </si>
  <si>
    <t xml:space="preserve">Fiscalizacion, Yacimientos y Cartografía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</si>
</sst>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2" fillId="0" borderId="0" xfId="2"/>
    <xf numFmtId="49" fontId="3" fillId="0" borderId="0" xfId="2" applyNumberFormat="1" applyFont="1"/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0" fillId="3" borderId="0" xfId="0" applyFill="1"/>
    <xf numFmtId="0" fontId="9" fillId="2" borderId="6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wrapText="1"/>
    </xf>
    <xf numFmtId="0" fontId="10" fillId="3" borderId="2" xfId="2" applyFont="1" applyFill="1" applyBorder="1" applyAlignment="1">
      <alignment horizontal="left" wrapText="1"/>
    </xf>
    <xf numFmtId="0" fontId="10" fillId="3" borderId="5" xfId="2" applyFont="1" applyFill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10" fillId="0" borderId="2" xfId="2" applyFont="1" applyBorder="1" applyAlignment="1">
      <alignment horizontal="left"/>
    </xf>
    <xf numFmtId="0" fontId="10" fillId="0" borderId="2" xfId="0" applyFont="1" applyBorder="1" applyAlignment="1">
      <alignment horizontal="left"/>
    </xf>
  </cellXfs>
  <cellStyles count="3">
    <cellStyle name="Normal" xfId="0" builtinId="0"/>
    <cellStyle name="Normal 2 2 2" xfId="2" xr:uid="{A2592680-2F54-4A11-8F9B-3C85B0B8EBDE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962025</xdr:colOff>
      <xdr:row>2</xdr:row>
      <xdr:rowOff>133350</xdr:rowOff>
    </xdr:from>
    <xdr:to>
      <xdr:col>7</xdr:col>
      <xdr:colOff>1295400</xdr:colOff>
      <xdr:row>3</xdr:row>
      <xdr:rowOff>142875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B77A6370-9FEE-4E30-862F-D1B4F1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457200"/>
          <a:ext cx="1714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6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42053DA-8839-4C7D-8B67-36C34F1C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SDRT\2025\SICODIS%20II\Actualizaci&#243;n%20Datos%20y%20Preproduccion%20Ajustes\Funcionamiento\Ajustes%20de%20Observaciones%2012112025\10.1%20Octubre%2031_2025%20-%20SICODIS%20II.xlsx" TargetMode="External"/><Relationship Id="rId1" Type="http://schemas.openxmlformats.org/officeDocument/2006/relationships/externalLinkPath" Target="/Datos/SDRT/2025/SICODIS%20II/Actualizaci&#243;n%20Datos%20y%20Preproduccion%20Ajustes/Funcionamiento/Ajustes%20de%20Observaciones%2012112025/10.1%20Octubre%2031_2025%20-%20SICODIS%20I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OS.XLW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juli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%20CHEQUE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DALEN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o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M972000sh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D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oreria%201997%20Cierre%20ene2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o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CDISYGAS03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cionamiento - Pruebas"/>
      <sheetName val="Funcionamiento - Gral"/>
      <sheetName val="Funcionamiento - ET"/>
      <sheetName val="Funcionamiento - CR"/>
      <sheetName val="IAC - Base"/>
      <sheetName val="Reporte Fun - Ejecucion"/>
      <sheetName val="Diccionario 1"/>
      <sheetName val="Reporte Fun - Recaudo"/>
      <sheetName val="Diccionario2"/>
    </sheetNames>
    <sheetDataSet>
      <sheetData sheetId="0"/>
      <sheetData sheetId="1">
        <row r="1"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</row>
        <row r="3">
          <cell r="B3" t="str">
            <v>FU003</v>
          </cell>
          <cell r="C3">
            <v>1</v>
          </cell>
          <cell r="D3" t="str">
            <v>Funcionamiento SGR</v>
          </cell>
          <cell r="E3" t="str">
            <v>Órganos SGR</v>
          </cell>
          <cell r="F3" t="str">
            <v>Departamento Nacional de Planeación - Órgano</v>
          </cell>
          <cell r="G3" t="str">
            <v>Resolución 1442 de 2025</v>
          </cell>
          <cell r="H3">
            <v>36890922968</v>
          </cell>
          <cell r="I3">
            <v>0</v>
          </cell>
          <cell r="J3">
            <v>36890922968</v>
          </cell>
          <cell r="K3">
            <v>47350125592.019989</v>
          </cell>
          <cell r="L3">
            <v>84241048560.019989</v>
          </cell>
          <cell r="M3">
            <v>7378184594</v>
          </cell>
          <cell r="N3">
            <v>76862863966.019989</v>
          </cell>
          <cell r="O3">
            <v>0</v>
          </cell>
          <cell r="P3">
            <v>12237204059.16</v>
          </cell>
          <cell r="Q3">
            <v>12237204059.16</v>
          </cell>
          <cell r="R3">
            <v>0.3317131444440905</v>
          </cell>
          <cell r="S3">
            <v>59587329651.179993</v>
          </cell>
          <cell r="T3">
            <v>31879887076.099998</v>
          </cell>
          <cell r="U3">
            <v>21802540960.91</v>
          </cell>
          <cell r="V3">
            <v>44982976889.919991</v>
          </cell>
          <cell r="W3">
            <v>0.41476319552955582</v>
          </cell>
          <cell r="X3">
            <v>37784788690.269989</v>
          </cell>
          <cell r="Y3">
            <v>55060323005.109985</v>
          </cell>
          <cell r="Z3">
            <v>15158692904.159988</v>
          </cell>
        </row>
        <row r="4">
          <cell r="B4" t="str">
            <v>FU005</v>
          </cell>
          <cell r="C4">
            <v>2</v>
          </cell>
          <cell r="D4" t="str">
            <v>Funcionamiento SGR</v>
          </cell>
          <cell r="E4" t="str">
            <v>Órganos SGR</v>
          </cell>
          <cell r="F4" t="str">
            <v>Departamento Nacional de Planeación - Comisión Rectora</v>
          </cell>
          <cell r="G4" t="str">
            <v>Resolución 1442 de 2025</v>
          </cell>
          <cell r="H4">
            <v>2068030300</v>
          </cell>
          <cell r="I4">
            <v>0</v>
          </cell>
          <cell r="J4">
            <v>2068030300</v>
          </cell>
          <cell r="K4">
            <v>2398926647.8499994</v>
          </cell>
          <cell r="L4">
            <v>4466956947.8499994</v>
          </cell>
          <cell r="M4">
            <v>413606060</v>
          </cell>
          <cell r="N4">
            <v>4053350887.8499994</v>
          </cell>
          <cell r="O4">
            <v>0</v>
          </cell>
          <cell r="P4">
            <v>685992833.62</v>
          </cell>
          <cell r="Q4">
            <v>685992833.62</v>
          </cell>
          <cell r="R4">
            <v>0.33171314444474048</v>
          </cell>
          <cell r="S4">
            <v>3084919481.4699993</v>
          </cell>
          <cell r="T4">
            <v>926812985</v>
          </cell>
          <cell r="U4">
            <v>573708709.99000001</v>
          </cell>
          <cell r="V4">
            <v>3126537902.8499994</v>
          </cell>
          <cell r="W4">
            <v>0.22865352905373687</v>
          </cell>
          <cell r="X4">
            <v>2511210771.4799995</v>
          </cell>
          <cell r="Y4">
            <v>3479642177.8599997</v>
          </cell>
          <cell r="Z4">
            <v>3105428902.8499994</v>
          </cell>
        </row>
        <row r="5">
          <cell r="B5" t="str">
            <v>FU011</v>
          </cell>
          <cell r="C5">
            <v>3</v>
          </cell>
          <cell r="D5" t="str">
            <v>Funcionamiento SGR</v>
          </cell>
          <cell r="E5" t="str">
            <v>Órganos SGR</v>
          </cell>
          <cell r="F5" t="str">
            <v>Min. Hacienda y Crédito Público - Órgano</v>
          </cell>
          <cell r="G5" t="str">
            <v>Resolución 1442 de 2025</v>
          </cell>
          <cell r="H5">
            <v>23990499481</v>
          </cell>
          <cell r="I5">
            <v>0</v>
          </cell>
          <cell r="J5">
            <v>23990499481</v>
          </cell>
          <cell r="K5">
            <v>12648932088.400002</v>
          </cell>
          <cell r="L5">
            <v>36639431569.400002</v>
          </cell>
          <cell r="M5">
            <v>4798099896</v>
          </cell>
          <cell r="N5">
            <v>31841331673.400002</v>
          </cell>
          <cell r="O5">
            <v>0</v>
          </cell>
          <cell r="P5">
            <v>7957964019.6300001</v>
          </cell>
          <cell r="Q5">
            <v>7957964019.6300001</v>
          </cell>
          <cell r="R5">
            <v>0.33171314444422262</v>
          </cell>
          <cell r="S5">
            <v>20606896108.030003</v>
          </cell>
          <cell r="T5">
            <v>8975620634.2999992</v>
          </cell>
          <cell r="U5">
            <v>7329732641.1100006</v>
          </cell>
          <cell r="V5">
            <v>22865711039.100002</v>
          </cell>
          <cell r="W5">
            <v>0.28188584341772871</v>
          </cell>
          <cell r="X5">
            <v>13277163466.920002</v>
          </cell>
          <cell r="Y5">
            <v>24511599032.290001</v>
          </cell>
          <cell r="Z5">
            <v>7590786345.7400055</v>
          </cell>
        </row>
        <row r="6">
          <cell r="B6" t="str">
            <v>FU012</v>
          </cell>
          <cell r="C6">
            <v>4</v>
          </cell>
          <cell r="D6" t="str">
            <v>Funcionamiento SGR</v>
          </cell>
          <cell r="E6" t="str">
            <v>Órganos SGR</v>
          </cell>
          <cell r="F6" t="str">
            <v>Min. Minas y Energía - Órgano</v>
          </cell>
          <cell r="G6" t="str">
            <v>Resolución 1442 de 2025</v>
          </cell>
          <cell r="H6">
            <v>20682305928</v>
          </cell>
          <cell r="I6">
            <v>0</v>
          </cell>
          <cell r="J6">
            <v>20682305928</v>
          </cell>
          <cell r="K6">
            <v>8053198162.7900009</v>
          </cell>
          <cell r="L6">
            <v>28735504090.790001</v>
          </cell>
          <cell r="M6">
            <v>4136461186</v>
          </cell>
          <cell r="N6">
            <v>24599042904.790001</v>
          </cell>
          <cell r="O6">
            <v>0</v>
          </cell>
          <cell r="P6">
            <v>6860592733.7400007</v>
          </cell>
          <cell r="Q6">
            <v>6860592733.7400007</v>
          </cell>
          <cell r="R6">
            <v>0.3317131444444999</v>
          </cell>
          <cell r="S6">
            <v>14913790896.530003</v>
          </cell>
          <cell r="T6">
            <v>9603175349.6499996</v>
          </cell>
          <cell r="U6">
            <v>5972666249.1599998</v>
          </cell>
          <cell r="V6">
            <v>14995867555.140001</v>
          </cell>
          <cell r="W6">
            <v>0.3903881702560078</v>
          </cell>
          <cell r="X6">
            <v>8941124647.3700027</v>
          </cell>
          <cell r="Y6">
            <v>18626376655.630001</v>
          </cell>
          <cell r="Z6">
            <v>6108031238.4600029</v>
          </cell>
        </row>
        <row r="7">
          <cell r="B7" t="str">
            <v>FU022</v>
          </cell>
          <cell r="C7">
            <v>5</v>
          </cell>
          <cell r="D7" t="str">
            <v>Funcionamiento SGR</v>
          </cell>
          <cell r="E7" t="str">
            <v>Órganos SGR</v>
          </cell>
          <cell r="F7" t="str">
            <v>Min. Ciencia Tecnología e Innovación - Órgano</v>
          </cell>
          <cell r="G7" t="str">
            <v>Resolución 1442 de 2025</v>
          </cell>
          <cell r="H7">
            <v>2622967462</v>
          </cell>
          <cell r="I7">
            <v>0</v>
          </cell>
          <cell r="J7">
            <v>2622967462</v>
          </cell>
          <cell r="K7">
            <v>16340535832.080002</v>
          </cell>
          <cell r="L7">
            <v>18963503294.080002</v>
          </cell>
          <cell r="M7">
            <v>524593492</v>
          </cell>
          <cell r="N7">
            <v>18438909802.080002</v>
          </cell>
          <cell r="O7">
            <v>0</v>
          </cell>
          <cell r="P7">
            <v>870072784.5999999</v>
          </cell>
          <cell r="Q7">
            <v>870072784.5999999</v>
          </cell>
          <cell r="R7">
            <v>0.33171314444616617</v>
          </cell>
          <cell r="S7">
            <v>17210608616.68</v>
          </cell>
          <cell r="T7">
            <v>2873253326.2399998</v>
          </cell>
          <cell r="U7">
            <v>1446882209</v>
          </cell>
          <cell r="V7">
            <v>15565656475.840002</v>
          </cell>
          <cell r="W7">
            <v>0.15582555352138455</v>
          </cell>
          <cell r="X7">
            <v>15763726407.68</v>
          </cell>
          <cell r="Y7">
            <v>16992027593.080002</v>
          </cell>
          <cell r="Z7">
            <v>11198973505.670002</v>
          </cell>
        </row>
        <row r="8">
          <cell r="B8" t="str">
            <v>FU056</v>
          </cell>
          <cell r="C8">
            <v>36</v>
          </cell>
          <cell r="D8" t="str">
            <v>Funcionamiento SGR</v>
          </cell>
          <cell r="E8" t="str">
            <v>Órganos SGR</v>
          </cell>
          <cell r="F8" t="str">
            <v>Min. Ambiente y Desarrollo Sostenible - Órgano</v>
          </cell>
          <cell r="G8" t="str">
            <v>Resolución 1442 de 2025</v>
          </cell>
          <cell r="H8">
            <v>6041195013</v>
          </cell>
          <cell r="I8">
            <v>0</v>
          </cell>
          <cell r="J8">
            <v>6041195013</v>
          </cell>
          <cell r="K8">
            <v>2363731389.000001</v>
          </cell>
          <cell r="L8">
            <v>8404926402.000001</v>
          </cell>
          <cell r="M8">
            <v>1208239003</v>
          </cell>
          <cell r="N8">
            <v>7196687399.000001</v>
          </cell>
          <cell r="O8">
            <v>0</v>
          </cell>
          <cell r="P8">
            <v>2003943793.9599998</v>
          </cell>
          <cell r="Q8">
            <v>2003943793.9599998</v>
          </cell>
          <cell r="R8">
            <v>0.33171314444372824</v>
          </cell>
          <cell r="S8">
            <v>4367675182.960001</v>
          </cell>
          <cell r="T8">
            <v>2459730784</v>
          </cell>
          <cell r="U8">
            <v>615682113</v>
          </cell>
          <cell r="V8">
            <v>4736956615.000001</v>
          </cell>
          <cell r="W8">
            <v>0.34178652588714442</v>
          </cell>
          <cell r="X8">
            <v>3751993069.960001</v>
          </cell>
          <cell r="Y8">
            <v>6581005286.000001</v>
          </cell>
          <cell r="Z8">
            <v>505000000.00000095</v>
          </cell>
        </row>
        <row r="9">
          <cell r="B9" t="str">
            <v>FU006</v>
          </cell>
          <cell r="C9">
            <v>6</v>
          </cell>
          <cell r="D9" t="str">
            <v>Funcionamiento SGR</v>
          </cell>
          <cell r="E9" t="str">
            <v>ST de los OCAD - Pueblos y Comunidades Étnicas</v>
          </cell>
          <cell r="F9" t="str">
            <v xml:space="preserve"> ST OCAD Municipales</v>
          </cell>
          <cell r="G9" t="str">
            <v>No aplica</v>
          </cell>
          <cell r="H9">
            <v>0</v>
          </cell>
          <cell r="I9">
            <v>0</v>
          </cell>
          <cell r="J9">
            <v>0</v>
          </cell>
          <cell r="K9">
            <v>667600990.88999999</v>
          </cell>
          <cell r="L9">
            <v>667600990.88999999</v>
          </cell>
          <cell r="M9">
            <v>0</v>
          </cell>
          <cell r="N9">
            <v>667600990.88999999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667600990.88999999</v>
          </cell>
          <cell r="T9">
            <v>642857</v>
          </cell>
          <cell r="U9">
            <v>0</v>
          </cell>
          <cell r="V9">
            <v>666958133.88999999</v>
          </cell>
          <cell r="W9">
            <v>9.6293595841280436E-4</v>
          </cell>
          <cell r="X9">
            <v>667600990.88999999</v>
          </cell>
          <cell r="Y9">
            <v>667600990.88999999</v>
          </cell>
          <cell r="Z9">
            <v>666958133.88999999</v>
          </cell>
        </row>
        <row r="10">
          <cell r="B10" t="str">
            <v>FU009</v>
          </cell>
          <cell r="C10">
            <v>7</v>
          </cell>
          <cell r="D10" t="str">
            <v>Funcionamiento SGR</v>
          </cell>
          <cell r="E10" t="str">
            <v>ST de los OCAD - Pueblos y Comunidades Étnicas</v>
          </cell>
          <cell r="F10" t="str">
            <v xml:space="preserve"> ST OCAD Departamentales</v>
          </cell>
          <cell r="G10" t="str">
            <v>No aplica</v>
          </cell>
          <cell r="H10">
            <v>0</v>
          </cell>
          <cell r="I10">
            <v>0</v>
          </cell>
          <cell r="J10">
            <v>0</v>
          </cell>
          <cell r="K10">
            <v>190385069.36000001</v>
          </cell>
          <cell r="L10">
            <v>190385069.36000001</v>
          </cell>
          <cell r="M10">
            <v>0</v>
          </cell>
          <cell r="N10">
            <v>190385069.36000001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190385069.36000001</v>
          </cell>
          <cell r="T10">
            <v>0</v>
          </cell>
          <cell r="U10">
            <v>0</v>
          </cell>
          <cell r="V10">
            <v>190385069.36000001</v>
          </cell>
          <cell r="W10">
            <v>0</v>
          </cell>
          <cell r="X10">
            <v>190385069.36000001</v>
          </cell>
          <cell r="Y10">
            <v>190385069.36000001</v>
          </cell>
          <cell r="Z10">
            <v>190385069.36000001</v>
          </cell>
        </row>
        <row r="11">
          <cell r="B11" t="str">
            <v>FU008</v>
          </cell>
          <cell r="C11">
            <v>8</v>
          </cell>
          <cell r="D11" t="str">
            <v>Funcionamiento SGR</v>
          </cell>
          <cell r="E11" t="str">
            <v>ST de los OCAD - Pueblos y Comunidades Étnicas</v>
          </cell>
          <cell r="F11" t="str">
            <v>ST OCAD Regionales</v>
          </cell>
          <cell r="G11" t="str">
            <v>No aplica</v>
          </cell>
          <cell r="H11">
            <v>0</v>
          </cell>
          <cell r="I11">
            <v>0</v>
          </cell>
          <cell r="J11">
            <v>0</v>
          </cell>
          <cell r="K11">
            <v>20673522.340000004</v>
          </cell>
          <cell r="L11">
            <v>20673522.340000004</v>
          </cell>
          <cell r="M11">
            <v>0</v>
          </cell>
          <cell r="N11">
            <v>20673522.340000004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20673522.340000004</v>
          </cell>
          <cell r="T11">
            <v>10000000</v>
          </cell>
          <cell r="U11">
            <v>0</v>
          </cell>
          <cell r="V11">
            <v>10673522.340000004</v>
          </cell>
          <cell r="W11">
            <v>0.48371050832743573</v>
          </cell>
          <cell r="X11">
            <v>20673522.340000004</v>
          </cell>
          <cell r="Y11">
            <v>20673522.340000004</v>
          </cell>
          <cell r="Z11">
            <v>10673522.340000004</v>
          </cell>
        </row>
        <row r="12">
          <cell r="B12" t="str">
            <v>FU010</v>
          </cell>
          <cell r="C12">
            <v>9</v>
          </cell>
          <cell r="D12" t="str">
            <v>Funcionamiento SGR</v>
          </cell>
          <cell r="E12" t="str">
            <v>ST de los OCAD - Pueblos y Comunidades Étnicas</v>
          </cell>
          <cell r="F12" t="str">
            <v>ST OCAD CAR</v>
          </cell>
          <cell r="G12" t="str">
            <v>No aplica</v>
          </cell>
          <cell r="H12">
            <v>0</v>
          </cell>
          <cell r="I12">
            <v>0</v>
          </cell>
          <cell r="J12">
            <v>0</v>
          </cell>
          <cell r="K12">
            <v>31137040.270000003</v>
          </cell>
          <cell r="L12">
            <v>31137040.270000003</v>
          </cell>
          <cell r="M12">
            <v>0</v>
          </cell>
          <cell r="N12">
            <v>31137040.270000003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31137040.270000003</v>
          </cell>
          <cell r="T12">
            <v>0</v>
          </cell>
          <cell r="U12">
            <v>0</v>
          </cell>
          <cell r="V12">
            <v>31137040.270000003</v>
          </cell>
          <cell r="W12">
            <v>0</v>
          </cell>
          <cell r="X12">
            <v>31137040.270000003</v>
          </cell>
          <cell r="Y12">
            <v>31137040.270000003</v>
          </cell>
          <cell r="Z12">
            <v>31137040.270000003</v>
          </cell>
        </row>
        <row r="13">
          <cell r="B13" t="str">
            <v>FU046</v>
          </cell>
          <cell r="C13">
            <v>10</v>
          </cell>
          <cell r="D13" t="str">
            <v>Funcionamiento SGR</v>
          </cell>
          <cell r="E13" t="str">
            <v>ST de los OCAD - Pueblos y Comunidades Étnicas</v>
          </cell>
          <cell r="F13" t="str">
            <v>Departamento Nacional de Planeación - ST OCAD Regionales</v>
          </cell>
          <cell r="G13" t="str">
            <v>Resolución 1442 de 2025</v>
          </cell>
          <cell r="H13">
            <v>5032827499</v>
          </cell>
          <cell r="I13">
            <v>0</v>
          </cell>
          <cell r="J13">
            <v>5032827499</v>
          </cell>
          <cell r="K13">
            <v>4803882624.9400005</v>
          </cell>
          <cell r="L13">
            <v>9836710123.9400005</v>
          </cell>
          <cell r="M13">
            <v>1006565500</v>
          </cell>
          <cell r="N13">
            <v>8830144623.9400005</v>
          </cell>
          <cell r="O13">
            <v>0</v>
          </cell>
          <cell r="P13">
            <v>1669455035.1400001</v>
          </cell>
          <cell r="Q13">
            <v>1669455035.1400001</v>
          </cell>
          <cell r="R13">
            <v>0.33171314444449235</v>
          </cell>
          <cell r="S13">
            <v>6473337660.0800009</v>
          </cell>
          <cell r="T13">
            <v>2350142497</v>
          </cell>
          <cell r="U13">
            <v>1585461710</v>
          </cell>
          <cell r="V13">
            <v>6480002126.9400005</v>
          </cell>
          <cell r="W13">
            <v>0.26614994398034775</v>
          </cell>
          <cell r="X13">
            <v>4887875950.0800009</v>
          </cell>
          <cell r="Y13">
            <v>7244682913.9400005</v>
          </cell>
          <cell r="Z13">
            <v>1883512096.9400005</v>
          </cell>
        </row>
        <row r="14">
          <cell r="B14" t="str">
            <v>FU007</v>
          </cell>
          <cell r="C14">
            <v>11</v>
          </cell>
          <cell r="D14" t="str">
            <v>Funcionamiento SGR</v>
          </cell>
          <cell r="E14" t="str">
            <v>ST de los OCAD - Pueblos y Comunidades Étnicas</v>
          </cell>
          <cell r="F14" t="str">
            <v>Min. Ciencia Tecnología e Innovación - ST OCAD CTeI</v>
          </cell>
          <cell r="G14" t="str">
            <v>Resolución 1442 de 2025</v>
          </cell>
          <cell r="H14">
            <v>5231249885</v>
          </cell>
          <cell r="I14">
            <v>0</v>
          </cell>
          <cell r="J14">
            <v>5231249885</v>
          </cell>
          <cell r="K14">
            <v>5094359118.579999</v>
          </cell>
          <cell r="L14">
            <v>10325609003.579998</v>
          </cell>
          <cell r="M14">
            <v>1046249977</v>
          </cell>
          <cell r="N14">
            <v>9279359026.579998</v>
          </cell>
          <cell r="O14">
            <v>0</v>
          </cell>
          <cell r="P14">
            <v>1735274348.72</v>
          </cell>
          <cell r="Q14">
            <v>1735274348.72</v>
          </cell>
          <cell r="R14">
            <v>0.33171314444291738</v>
          </cell>
          <cell r="S14">
            <v>6829633467.2999992</v>
          </cell>
          <cell r="T14">
            <v>2549238020.5</v>
          </cell>
          <cell r="U14">
            <v>1768252122</v>
          </cell>
          <cell r="V14">
            <v>6730121006.079998</v>
          </cell>
          <cell r="W14">
            <v>0.27472134801530013</v>
          </cell>
          <cell r="X14">
            <v>5061381345.2999992</v>
          </cell>
          <cell r="Y14">
            <v>7511106904.579998</v>
          </cell>
          <cell r="Z14">
            <v>6095114859.079998</v>
          </cell>
        </row>
        <row r="15">
          <cell r="B15" t="str">
            <v>FU027</v>
          </cell>
          <cell r="C15">
            <v>12</v>
          </cell>
          <cell r="D15" t="str">
            <v>Funcionamiento SGR</v>
          </cell>
          <cell r="E15" t="str">
            <v>ST de los OCAD - Pueblos y Comunidades Étnicas</v>
          </cell>
          <cell r="F15" t="str">
            <v>Departamento Nacional de Planeación - ST OCAD PAZ</v>
          </cell>
          <cell r="G15" t="str">
            <v>Resolución 1442 de 2025</v>
          </cell>
          <cell r="H15">
            <v>8902504924</v>
          </cell>
          <cell r="I15">
            <v>0</v>
          </cell>
          <cell r="J15">
            <v>8902504924</v>
          </cell>
          <cell r="K15">
            <v>8181235309.3099995</v>
          </cell>
          <cell r="L15">
            <v>17083740233.309999</v>
          </cell>
          <cell r="M15">
            <v>1780500985</v>
          </cell>
          <cell r="N15">
            <v>15303239248.309999</v>
          </cell>
          <cell r="O15">
            <v>0</v>
          </cell>
          <cell r="P15">
            <v>2953077901.7600002</v>
          </cell>
          <cell r="Q15">
            <v>2953077901.7600002</v>
          </cell>
          <cell r="R15">
            <v>0.3317131444430752</v>
          </cell>
          <cell r="S15">
            <v>11134313211.07</v>
          </cell>
          <cell r="T15">
            <v>4697467860</v>
          </cell>
          <cell r="U15">
            <v>3543850919</v>
          </cell>
          <cell r="V15">
            <v>10605771388.309999</v>
          </cell>
          <cell r="W15">
            <v>0.30695905512414706</v>
          </cell>
          <cell r="X15">
            <v>7590462292.0699997</v>
          </cell>
          <cell r="Y15">
            <v>11759388329.309999</v>
          </cell>
          <cell r="Z15">
            <v>3654578220.3099995</v>
          </cell>
        </row>
        <row r="16">
          <cell r="B16" t="str">
            <v>CI001</v>
          </cell>
          <cell r="C16">
            <v>13</v>
          </cell>
          <cell r="D16" t="str">
            <v>Funcionamiento SGR</v>
          </cell>
          <cell r="E16" t="str">
            <v>ST de los OCAD - Pueblos y Comunidades Étnicas</v>
          </cell>
          <cell r="F16" t="str">
            <v>Pueblos y Comunidades Indígenas</v>
          </cell>
          <cell r="G16" t="str">
            <v>No aplica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B17" t="str">
            <v>FU055</v>
          </cell>
          <cell r="C17">
            <v>13</v>
          </cell>
          <cell r="D17" t="str">
            <v>Funcionamiento SGR</v>
          </cell>
          <cell r="E17" t="str">
            <v>ST de los OCAD - Pueblos y Comunidades Étnicas</v>
          </cell>
          <cell r="F17" t="str">
            <v>PCI - Confederación Indígena Tayrona</v>
          </cell>
          <cell r="G17" t="str">
            <v>Resolución 1442 de 2025</v>
          </cell>
          <cell r="H17">
            <v>838804583</v>
          </cell>
          <cell r="I17">
            <v>0</v>
          </cell>
          <cell r="J17">
            <v>838804583</v>
          </cell>
          <cell r="K17">
            <v>172014150</v>
          </cell>
          <cell r="L17">
            <v>1010818733</v>
          </cell>
          <cell r="M17">
            <v>167760917</v>
          </cell>
          <cell r="N17">
            <v>843057816</v>
          </cell>
          <cell r="O17">
            <v>0</v>
          </cell>
          <cell r="P17">
            <v>278242505.81</v>
          </cell>
          <cell r="Q17">
            <v>278242505.81</v>
          </cell>
          <cell r="R17">
            <v>0.33171314445476746</v>
          </cell>
          <cell r="S17">
            <v>450256655.81</v>
          </cell>
          <cell r="T17">
            <v>668664150</v>
          </cell>
          <cell r="U17">
            <v>269750000</v>
          </cell>
          <cell r="V17">
            <v>174393666</v>
          </cell>
          <cell r="W17">
            <v>0.79314151094946972</v>
          </cell>
          <cell r="X17">
            <v>180506655.81</v>
          </cell>
          <cell r="Y17">
            <v>573307816</v>
          </cell>
          <cell r="Z17">
            <v>174393666</v>
          </cell>
        </row>
        <row r="18">
          <cell r="B18" t="str">
            <v>CI002</v>
          </cell>
          <cell r="C18">
            <v>14</v>
          </cell>
          <cell r="D18" t="str">
            <v>Funcionamiento SGR</v>
          </cell>
          <cell r="E18" t="str">
            <v>ST de los OCAD - Pueblos y Comunidades Étnicas</v>
          </cell>
          <cell r="F18" t="str">
            <v xml:space="preserve">Comunidades Negras, Afrocolombianas, Raizales y Palenqueras </v>
          </cell>
          <cell r="G18" t="str">
            <v>No aplica</v>
          </cell>
          <cell r="H18">
            <v>838804583</v>
          </cell>
          <cell r="I18">
            <v>0</v>
          </cell>
          <cell r="J18">
            <v>838804583</v>
          </cell>
          <cell r="K18">
            <v>0</v>
          </cell>
          <cell r="L18">
            <v>838804583</v>
          </cell>
          <cell r="M18">
            <v>167760917</v>
          </cell>
          <cell r="N18">
            <v>671043666</v>
          </cell>
          <cell r="O18">
            <v>0</v>
          </cell>
          <cell r="P18">
            <v>278242505.81</v>
          </cell>
          <cell r="Q18">
            <v>278242505.81</v>
          </cell>
          <cell r="R18">
            <v>0.33171314445476746</v>
          </cell>
          <cell r="S18">
            <v>278242505.81</v>
          </cell>
          <cell r="T18">
            <v>0</v>
          </cell>
          <cell r="U18">
            <v>0</v>
          </cell>
          <cell r="V18">
            <v>671043666</v>
          </cell>
          <cell r="W18">
            <v>0</v>
          </cell>
          <cell r="X18">
            <v>278242505.81</v>
          </cell>
          <cell r="Y18">
            <v>671043666</v>
          </cell>
          <cell r="Z18">
            <v>671043666</v>
          </cell>
        </row>
        <row r="19">
          <cell r="B19" t="str">
            <v>FU060</v>
          </cell>
          <cell r="C19">
            <v>45</v>
          </cell>
          <cell r="D19" t="str">
            <v>Funcionamiento SGR</v>
          </cell>
          <cell r="E19" t="str">
            <v>ST de los OCAD - Pueblos y Comunidades Étnicas</v>
          </cell>
          <cell r="F19" t="str">
            <v xml:space="preserve">CNARP - Juventud del Pacifico FUNDECOA </v>
          </cell>
          <cell r="G19" t="str">
            <v>No aplica</v>
          </cell>
          <cell r="H19">
            <v>0</v>
          </cell>
          <cell r="I19">
            <v>0</v>
          </cell>
          <cell r="J19">
            <v>0</v>
          </cell>
          <cell r="K19">
            <v>1024000000.02</v>
          </cell>
          <cell r="L19">
            <v>1024000000.02</v>
          </cell>
          <cell r="M19">
            <v>0</v>
          </cell>
          <cell r="N19">
            <v>1024000000.02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1024000000.02</v>
          </cell>
          <cell r="T19">
            <v>887100000</v>
          </cell>
          <cell r="U19">
            <v>733937469</v>
          </cell>
          <cell r="V19">
            <v>136900000.01999998</v>
          </cell>
          <cell r="W19">
            <v>0.86630859373307989</v>
          </cell>
          <cell r="X19">
            <v>290062531.01999998</v>
          </cell>
          <cell r="Y19">
            <v>290062531.01999998</v>
          </cell>
          <cell r="Z19">
            <v>58900000.019999981</v>
          </cell>
        </row>
        <row r="20">
          <cell r="B20" t="str">
            <v>CI003</v>
          </cell>
          <cell r="C20">
            <v>15</v>
          </cell>
          <cell r="D20" t="str">
            <v>Funcionamiento SGR</v>
          </cell>
          <cell r="E20" t="str">
            <v>ST de los OCAD - Pueblos y Comunidades Étnicas</v>
          </cell>
          <cell r="F20" t="str">
            <v>Pueblo Rrom o Gitano</v>
          </cell>
          <cell r="G20" t="str">
            <v>No aplica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B21" t="str">
            <v>FU054</v>
          </cell>
          <cell r="C21">
            <v>15</v>
          </cell>
          <cell r="D21" t="str">
            <v>Funcionamiento SGR</v>
          </cell>
          <cell r="E21" t="str">
            <v>ST de los OCAD - Pueblos y Comunidades Étnicas</v>
          </cell>
          <cell r="F21" t="str">
            <v>PRG - Min. Interior</v>
          </cell>
          <cell r="G21" t="str">
            <v>Resolución 1442 de 2025</v>
          </cell>
          <cell r="H21">
            <v>419402292</v>
          </cell>
          <cell r="I21">
            <v>0</v>
          </cell>
          <cell r="J21">
            <v>419402292</v>
          </cell>
          <cell r="K21">
            <v>414533334</v>
          </cell>
          <cell r="L21">
            <v>833935626</v>
          </cell>
          <cell r="M21">
            <v>83880458</v>
          </cell>
          <cell r="N21">
            <v>750055168</v>
          </cell>
          <cell r="O21">
            <v>0</v>
          </cell>
          <cell r="P21">
            <v>139121253.06999999</v>
          </cell>
          <cell r="Q21">
            <v>139121253.06999999</v>
          </cell>
          <cell r="R21">
            <v>0.33171314445272509</v>
          </cell>
          <cell r="S21">
            <v>553654587.06999993</v>
          </cell>
          <cell r="T21">
            <v>0</v>
          </cell>
          <cell r="U21">
            <v>0</v>
          </cell>
          <cell r="V21">
            <v>750055168</v>
          </cell>
          <cell r="W21">
            <v>0</v>
          </cell>
          <cell r="X21">
            <v>553654587.06999993</v>
          </cell>
          <cell r="Y21">
            <v>750055168</v>
          </cell>
          <cell r="Z21">
            <v>750055168</v>
          </cell>
        </row>
        <row r="22">
          <cell r="B22" t="str">
            <v>FU013</v>
          </cell>
          <cell r="C22">
            <v>16</v>
          </cell>
          <cell r="D22" t="str">
            <v>Funcionamiento SGR</v>
          </cell>
          <cell r="E22" t="str">
            <v>Entidades que emiten CTUS</v>
          </cell>
          <cell r="F22" t="str">
            <v>Min. Agricultura</v>
          </cell>
          <cell r="G22" t="str">
            <v>Resolución 1442 de 2025</v>
          </cell>
          <cell r="H22">
            <v>1891360390</v>
          </cell>
          <cell r="I22">
            <v>0</v>
          </cell>
          <cell r="J22">
            <v>1891360390</v>
          </cell>
          <cell r="K22">
            <v>848739610.15999985</v>
          </cell>
          <cell r="L22">
            <v>2740100000.1599998</v>
          </cell>
          <cell r="M22">
            <v>378272078</v>
          </cell>
          <cell r="N22">
            <v>2361827922.1599998</v>
          </cell>
          <cell r="O22">
            <v>0</v>
          </cell>
          <cell r="P22">
            <v>627389102.24000001</v>
          </cell>
          <cell r="Q22">
            <v>627389102.24000001</v>
          </cell>
          <cell r="R22">
            <v>0.33171314444202776</v>
          </cell>
          <cell r="S22">
            <v>1476128712.3999999</v>
          </cell>
          <cell r="T22">
            <v>1167369031</v>
          </cell>
          <cell r="U22">
            <v>690623472</v>
          </cell>
          <cell r="V22">
            <v>1194458891.1599998</v>
          </cell>
          <cell r="W22">
            <v>0.49426506480302235</v>
          </cell>
          <cell r="X22">
            <v>785505240.39999986</v>
          </cell>
          <cell r="Y22">
            <v>1671204450.1599998</v>
          </cell>
          <cell r="Z22">
            <v>905464589.15999985</v>
          </cell>
        </row>
        <row r="23">
          <cell r="B23" t="str">
            <v>FU014</v>
          </cell>
          <cell r="C23">
            <v>17</v>
          </cell>
          <cell r="D23" t="str">
            <v>Funcionamiento SGR</v>
          </cell>
          <cell r="E23" t="str">
            <v>Entidades que emiten CTUS</v>
          </cell>
          <cell r="F23" t="str">
            <v>Min. Salud</v>
          </cell>
          <cell r="G23" t="str">
            <v>Resolución 1442 de 2025</v>
          </cell>
          <cell r="H23">
            <v>1458254308</v>
          </cell>
          <cell r="I23">
            <v>0</v>
          </cell>
          <cell r="J23">
            <v>1458254308</v>
          </cell>
          <cell r="K23">
            <v>564812291.03999996</v>
          </cell>
          <cell r="L23">
            <v>2023066599.04</v>
          </cell>
          <cell r="M23">
            <v>291650862</v>
          </cell>
          <cell r="N23">
            <v>1731415737.04</v>
          </cell>
          <cell r="O23">
            <v>0</v>
          </cell>
          <cell r="P23">
            <v>483722121.89999998</v>
          </cell>
          <cell r="Q23">
            <v>483722121.89999998</v>
          </cell>
          <cell r="R23">
            <v>0.33171314444009858</v>
          </cell>
          <cell r="S23">
            <v>1048534412.9399999</v>
          </cell>
          <cell r="T23">
            <v>755629217.70000005</v>
          </cell>
          <cell r="U23">
            <v>512522596</v>
          </cell>
          <cell r="V23">
            <v>975786519.33999991</v>
          </cell>
          <cell r="W23">
            <v>0.4364227502008336</v>
          </cell>
          <cell r="X23">
            <v>536011816.93999994</v>
          </cell>
          <cell r="Y23">
            <v>1218893141.04</v>
          </cell>
          <cell r="Z23">
            <v>932059316.33999991</v>
          </cell>
        </row>
        <row r="24">
          <cell r="B24" t="str">
            <v>FU015</v>
          </cell>
          <cell r="C24">
            <v>18</v>
          </cell>
          <cell r="D24" t="str">
            <v>Funcionamiento SGR</v>
          </cell>
          <cell r="E24" t="str">
            <v>Entidades que emiten CTUS</v>
          </cell>
          <cell r="F24" t="str">
            <v>Min. Educación</v>
          </cell>
          <cell r="G24" t="str">
            <v>Resolución 1442 de 2025</v>
          </cell>
          <cell r="H24">
            <v>2085355137</v>
          </cell>
          <cell r="I24">
            <v>0</v>
          </cell>
          <cell r="J24">
            <v>2085355137</v>
          </cell>
          <cell r="K24">
            <v>1504324767.0900002</v>
          </cell>
          <cell r="L24">
            <v>3589679904.0900002</v>
          </cell>
          <cell r="M24">
            <v>417071027</v>
          </cell>
          <cell r="N24">
            <v>3172608877.0900002</v>
          </cell>
          <cell r="O24">
            <v>0</v>
          </cell>
          <cell r="P24">
            <v>691739709.77999997</v>
          </cell>
          <cell r="Q24">
            <v>691739709.77999997</v>
          </cell>
          <cell r="R24">
            <v>0.33171314444557365</v>
          </cell>
          <cell r="S24">
            <v>2196064476.8699999</v>
          </cell>
          <cell r="T24">
            <v>2794116248</v>
          </cell>
          <cell r="U24">
            <v>1020895621</v>
          </cell>
          <cell r="V24">
            <v>378492629.09000015</v>
          </cell>
          <cell r="W24">
            <v>0.88069987705601971</v>
          </cell>
          <cell r="X24">
            <v>1175168855.8699999</v>
          </cell>
          <cell r="Y24">
            <v>2151713256.0900002</v>
          </cell>
          <cell r="Z24">
            <v>113411080.09000015</v>
          </cell>
        </row>
        <row r="25">
          <cell r="B25" t="str">
            <v>FU016</v>
          </cell>
          <cell r="C25">
            <v>19</v>
          </cell>
          <cell r="D25" t="str">
            <v>Funcionamiento SGR</v>
          </cell>
          <cell r="E25" t="str">
            <v>Entidades que emiten CTUS</v>
          </cell>
          <cell r="F25" t="str">
            <v>Min. Transporte</v>
          </cell>
          <cell r="G25" t="str">
            <v>Resolución 1442 de 2025</v>
          </cell>
          <cell r="H25">
            <v>4833881558</v>
          </cell>
          <cell r="I25">
            <v>0</v>
          </cell>
          <cell r="J25">
            <v>4833881558</v>
          </cell>
          <cell r="K25">
            <v>1545353094.6400003</v>
          </cell>
          <cell r="L25">
            <v>6379234652.6400003</v>
          </cell>
          <cell r="M25">
            <v>966776312</v>
          </cell>
          <cell r="N25">
            <v>5412458340.6400003</v>
          </cell>
          <cell r="O25">
            <v>0</v>
          </cell>
          <cell r="P25">
            <v>1603462051.4799995</v>
          </cell>
          <cell r="Q25">
            <v>1603462051.4799995</v>
          </cell>
          <cell r="R25">
            <v>0.33171314444523248</v>
          </cell>
          <cell r="S25">
            <v>3148815146.1199999</v>
          </cell>
          <cell r="T25">
            <v>4008000210.0300002</v>
          </cell>
          <cell r="U25">
            <v>1544629971</v>
          </cell>
          <cell r="V25">
            <v>1404458130.6100001</v>
          </cell>
          <cell r="W25">
            <v>0.74051382159110923</v>
          </cell>
          <cell r="X25">
            <v>1604185175.1199999</v>
          </cell>
          <cell r="Y25">
            <v>3867828369.6400003</v>
          </cell>
          <cell r="Z25">
            <v>1070367257.6100006</v>
          </cell>
        </row>
        <row r="26">
          <cell r="B26" t="str">
            <v>FU017</v>
          </cell>
          <cell r="C26">
            <v>20</v>
          </cell>
          <cell r="D26" t="str">
            <v>Funcionamiento SGR</v>
          </cell>
          <cell r="E26" t="str">
            <v>Entidades que emiten CTUS</v>
          </cell>
          <cell r="F26" t="str">
            <v>Min. Vivienda</v>
          </cell>
          <cell r="G26" t="str">
            <v>Resolución 1442 de 2025</v>
          </cell>
          <cell r="H26">
            <v>3200466569</v>
          </cell>
          <cell r="I26">
            <v>0</v>
          </cell>
          <cell r="J26">
            <v>3200466569</v>
          </cell>
          <cell r="K26">
            <v>459736079.5400002</v>
          </cell>
          <cell r="L26">
            <v>3660202648.54</v>
          </cell>
          <cell r="M26">
            <v>640093314</v>
          </cell>
          <cell r="N26">
            <v>3020109334.54</v>
          </cell>
          <cell r="O26">
            <v>0</v>
          </cell>
          <cell r="P26">
            <v>1061636829.3000001</v>
          </cell>
          <cell r="Q26">
            <v>1061636829.3000001</v>
          </cell>
          <cell r="R26">
            <v>0.33171314444684646</v>
          </cell>
          <cell r="S26">
            <v>1521372908.8400002</v>
          </cell>
          <cell r="T26">
            <v>1555134134</v>
          </cell>
          <cell r="U26">
            <v>530250001</v>
          </cell>
          <cell r="V26">
            <v>1464975200.54</v>
          </cell>
          <cell r="W26">
            <v>0.51492643534935667</v>
          </cell>
          <cell r="X26">
            <v>991122907.84000015</v>
          </cell>
          <cell r="Y26">
            <v>2489859333.54</v>
          </cell>
          <cell r="Z26">
            <v>1464975200.54</v>
          </cell>
        </row>
        <row r="27">
          <cell r="B27" t="str">
            <v>FU019</v>
          </cell>
          <cell r="C27">
            <v>21</v>
          </cell>
          <cell r="D27" t="str">
            <v>Funcionamiento SGR</v>
          </cell>
          <cell r="E27" t="str">
            <v>Entidades que emiten CTUS</v>
          </cell>
          <cell r="F27" t="str">
            <v>Min. Deporte</v>
          </cell>
          <cell r="G27" t="str">
            <v>No aplica</v>
          </cell>
          <cell r="H27">
            <v>0</v>
          </cell>
          <cell r="I27">
            <v>0</v>
          </cell>
          <cell r="J27">
            <v>0</v>
          </cell>
          <cell r="K27">
            <v>731520459.55999994</v>
          </cell>
          <cell r="L27">
            <v>731520459.55999994</v>
          </cell>
          <cell r="M27">
            <v>0</v>
          </cell>
          <cell r="N27">
            <v>731520459.55999994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731520459.55999994</v>
          </cell>
          <cell r="T27">
            <v>451750000</v>
          </cell>
          <cell r="U27">
            <v>239966667</v>
          </cell>
          <cell r="V27">
            <v>279770459.55999994</v>
          </cell>
          <cell r="W27">
            <v>0.61754937144440469</v>
          </cell>
          <cell r="X27">
            <v>491553792.55999994</v>
          </cell>
          <cell r="Y27">
            <v>491553792.55999994</v>
          </cell>
          <cell r="Z27">
            <v>279770459.55999994</v>
          </cell>
        </row>
        <row r="28">
          <cell r="B28" t="str">
            <v>FU020</v>
          </cell>
          <cell r="C28">
            <v>22</v>
          </cell>
          <cell r="D28" t="str">
            <v>Funcionamiento SGR</v>
          </cell>
          <cell r="E28" t="str">
            <v>Entidades que emiten CTUS</v>
          </cell>
          <cell r="F28" t="str">
            <v>Min. Ambiente</v>
          </cell>
          <cell r="G28" t="str">
            <v>Resolución 1442 de 2025</v>
          </cell>
          <cell r="H28">
            <v>1674510757</v>
          </cell>
          <cell r="I28">
            <v>0</v>
          </cell>
          <cell r="J28">
            <v>1674510757</v>
          </cell>
          <cell r="K28">
            <v>1891142518.3300009</v>
          </cell>
          <cell r="L28">
            <v>3565653275.3300009</v>
          </cell>
          <cell r="M28">
            <v>334902151</v>
          </cell>
          <cell r="N28">
            <v>3230751124.3300009</v>
          </cell>
          <cell r="O28">
            <v>0</v>
          </cell>
          <cell r="P28">
            <v>555457228.61000001</v>
          </cell>
          <cell r="Q28">
            <v>555457228.61000001</v>
          </cell>
          <cell r="R28">
            <v>0.33171314444413569</v>
          </cell>
          <cell r="S28">
            <v>2446599746.940001</v>
          </cell>
          <cell r="T28">
            <v>2278179732</v>
          </cell>
          <cell r="U28">
            <v>446331460</v>
          </cell>
          <cell r="V28">
            <v>952571392.33000088</v>
          </cell>
          <cell r="W28">
            <v>0.70515482137995178</v>
          </cell>
          <cell r="X28">
            <v>2000268286.940001</v>
          </cell>
          <cell r="Y28">
            <v>2784419664.3300009</v>
          </cell>
          <cell r="Z28">
            <v>0</v>
          </cell>
        </row>
        <row r="29">
          <cell r="B29" t="str">
            <v>FU018</v>
          </cell>
          <cell r="C29">
            <v>23</v>
          </cell>
          <cell r="D29" t="str">
            <v>Funcionamiento SGR</v>
          </cell>
          <cell r="E29" t="str">
            <v>Entidades que emiten CTUS</v>
          </cell>
          <cell r="F29" t="str">
            <v>Min. Cultura</v>
          </cell>
          <cell r="G29" t="str">
            <v>Resolución 1442 de 2025</v>
          </cell>
          <cell r="H29">
            <v>691427135</v>
          </cell>
          <cell r="I29">
            <v>0</v>
          </cell>
          <cell r="J29">
            <v>691427135</v>
          </cell>
          <cell r="K29">
            <v>814311438.34999967</v>
          </cell>
          <cell r="L29">
            <v>1505738573.3499997</v>
          </cell>
          <cell r="M29">
            <v>138285427</v>
          </cell>
          <cell r="N29">
            <v>1367453146.3499997</v>
          </cell>
          <cell r="O29">
            <v>0</v>
          </cell>
          <cell r="P29">
            <v>229355469.10000002</v>
          </cell>
          <cell r="Q29">
            <v>229355469.10000002</v>
          </cell>
          <cell r="R29">
            <v>0.33171314443712135</v>
          </cell>
          <cell r="S29">
            <v>1043666907.4499997</v>
          </cell>
          <cell r="T29">
            <v>501020447.5</v>
          </cell>
          <cell r="U29">
            <v>296770632.5</v>
          </cell>
          <cell r="V29">
            <v>866432698.84999967</v>
          </cell>
          <cell r="W29">
            <v>0.36638948020802153</v>
          </cell>
          <cell r="X29">
            <v>746896274.94999969</v>
          </cell>
          <cell r="Y29">
            <v>1070682513.8499997</v>
          </cell>
          <cell r="Z29">
            <v>825289765.84999967</v>
          </cell>
        </row>
        <row r="30">
          <cell r="B30" t="str">
            <v>FU021</v>
          </cell>
          <cell r="C30">
            <v>24</v>
          </cell>
          <cell r="D30" t="str">
            <v>Funcionamiento SGR</v>
          </cell>
          <cell r="E30" t="str">
            <v>Entidades que emiten CTUS</v>
          </cell>
          <cell r="F30" t="str">
            <v>Min. Comercio</v>
          </cell>
          <cell r="G30" t="str">
            <v>Resolución 1442 de 2025</v>
          </cell>
          <cell r="H30">
            <v>115656043</v>
          </cell>
          <cell r="I30">
            <v>0</v>
          </cell>
          <cell r="J30">
            <v>115656043</v>
          </cell>
          <cell r="K30">
            <v>549356313.95000005</v>
          </cell>
          <cell r="L30">
            <v>665012356.95000005</v>
          </cell>
          <cell r="M30">
            <v>23131209</v>
          </cell>
          <cell r="N30">
            <v>641881147.95000005</v>
          </cell>
          <cell r="O30">
            <v>0</v>
          </cell>
          <cell r="P30">
            <v>38364629.700000003</v>
          </cell>
          <cell r="Q30">
            <v>38364629.700000003</v>
          </cell>
          <cell r="R30">
            <v>0.33171314446578465</v>
          </cell>
          <cell r="S30">
            <v>587720943.6500001</v>
          </cell>
          <cell r="T30">
            <v>172150933</v>
          </cell>
          <cell r="U30">
            <v>117891533</v>
          </cell>
          <cell r="V30">
            <v>469730214.95000005</v>
          </cell>
          <cell r="W30">
            <v>0.26819752153464066</v>
          </cell>
          <cell r="X30">
            <v>469829410.6500001</v>
          </cell>
          <cell r="Y30">
            <v>523989614.95000005</v>
          </cell>
          <cell r="Z30">
            <v>469730214.95000005</v>
          </cell>
        </row>
        <row r="31">
          <cell r="B31" t="str">
            <v>FU031</v>
          </cell>
          <cell r="C31">
            <v>25</v>
          </cell>
          <cell r="D31" t="str">
            <v>Funcionamiento SGR</v>
          </cell>
          <cell r="E31" t="str">
            <v>Entidades que emiten CTUS</v>
          </cell>
          <cell r="F31" t="str">
            <v>Unidad Nacional para la Gestión del Riesgo de Desastres</v>
          </cell>
          <cell r="G31" t="str">
            <v>Resolución 1442 de 2025</v>
          </cell>
          <cell r="H31">
            <v>471980337</v>
          </cell>
          <cell r="I31">
            <v>0</v>
          </cell>
          <cell r="J31">
            <v>471980337</v>
          </cell>
          <cell r="K31">
            <v>437085604.22000003</v>
          </cell>
          <cell r="L31">
            <v>909065941.22000003</v>
          </cell>
          <cell r="M31">
            <v>94396067</v>
          </cell>
          <cell r="N31">
            <v>814669874.22000003</v>
          </cell>
          <cell r="O31">
            <v>0</v>
          </cell>
          <cell r="P31">
            <v>156562081.72</v>
          </cell>
          <cell r="Q31">
            <v>156562081.72</v>
          </cell>
          <cell r="R31">
            <v>0.33171314448211853</v>
          </cell>
          <cell r="S31">
            <v>593647685.94000006</v>
          </cell>
          <cell r="T31">
            <v>415500000</v>
          </cell>
          <cell r="U31">
            <v>204000000</v>
          </cell>
          <cell r="V31">
            <v>399169874.22000003</v>
          </cell>
          <cell r="W31">
            <v>0.51002254182753171</v>
          </cell>
          <cell r="X31">
            <v>389647685.94000006</v>
          </cell>
          <cell r="Y31">
            <v>610669874.22000003</v>
          </cell>
          <cell r="Z31">
            <v>327169874.22000003</v>
          </cell>
        </row>
        <row r="32">
          <cell r="B32" t="str">
            <v>FU057</v>
          </cell>
          <cell r="C32">
            <v>25</v>
          </cell>
          <cell r="D32" t="str">
            <v>Funcionamiento SGR</v>
          </cell>
          <cell r="E32" t="str">
            <v>Entidades que emiten CTUS</v>
          </cell>
          <cell r="F32" t="str">
            <v>Min. Justicia y del Derecho</v>
          </cell>
          <cell r="G32" t="str">
            <v>Resolución 1442 de 2025</v>
          </cell>
          <cell r="H32">
            <v>760795862</v>
          </cell>
          <cell r="I32">
            <v>0</v>
          </cell>
          <cell r="J32">
            <v>760795862</v>
          </cell>
          <cell r="K32">
            <v>952800268.88</v>
          </cell>
          <cell r="L32">
            <v>1713596130.8800001</v>
          </cell>
          <cell r="M32">
            <v>152159172</v>
          </cell>
          <cell r="N32">
            <v>1561436958.8800001</v>
          </cell>
          <cell r="O32">
            <v>0</v>
          </cell>
          <cell r="P32">
            <v>252365987.66000003</v>
          </cell>
          <cell r="Q32">
            <v>252365987.66000003</v>
          </cell>
          <cell r="R32">
            <v>0.33171314443873778</v>
          </cell>
          <cell r="S32">
            <v>1205166256.54</v>
          </cell>
          <cell r="T32">
            <v>610956046.88</v>
          </cell>
          <cell r="U32">
            <v>443494333</v>
          </cell>
          <cell r="V32">
            <v>950480912.00000012</v>
          </cell>
          <cell r="W32">
            <v>0.39127807460009872</v>
          </cell>
          <cell r="X32">
            <v>761671923.53999996</v>
          </cell>
          <cell r="Y32">
            <v>1117942625.8800001</v>
          </cell>
          <cell r="Z32">
            <v>921626912.00000012</v>
          </cell>
        </row>
        <row r="33">
          <cell r="B33" t="str">
            <v>FU058</v>
          </cell>
          <cell r="C33">
            <v>25</v>
          </cell>
          <cell r="D33" t="str">
            <v>Funcionamiento SGR</v>
          </cell>
          <cell r="E33" t="str">
            <v>Entidades que emiten CTUS</v>
          </cell>
          <cell r="F33" t="str">
            <v>Min. Interior</v>
          </cell>
          <cell r="G33" t="str">
            <v>No aplica</v>
          </cell>
          <cell r="H33">
            <v>0</v>
          </cell>
          <cell r="I33">
            <v>0</v>
          </cell>
          <cell r="J33">
            <v>0</v>
          </cell>
          <cell r="K33">
            <v>45125590</v>
          </cell>
          <cell r="L33">
            <v>45125590</v>
          </cell>
          <cell r="M33">
            <v>0</v>
          </cell>
          <cell r="N33">
            <v>45125590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45125590</v>
          </cell>
          <cell r="T33">
            <v>0</v>
          </cell>
          <cell r="U33">
            <v>0</v>
          </cell>
          <cell r="V33">
            <v>45125590</v>
          </cell>
          <cell r="W33">
            <v>0</v>
          </cell>
          <cell r="X33">
            <v>45125590</v>
          </cell>
          <cell r="Y33">
            <v>45125590</v>
          </cell>
          <cell r="Z33">
            <v>45125590</v>
          </cell>
        </row>
        <row r="34">
          <cell r="B34" t="str">
            <v>FU059</v>
          </cell>
          <cell r="C34">
            <v>25</v>
          </cell>
          <cell r="D34" t="str">
            <v>Funcionamiento SGR</v>
          </cell>
          <cell r="E34" t="str">
            <v>Entidades que emiten CTUS</v>
          </cell>
          <cell r="F34" t="str">
            <v>Min. Tecnologías de la Información y las Comunicaciones</v>
          </cell>
          <cell r="G34" t="str">
            <v>Resolución 1442 de 2025</v>
          </cell>
          <cell r="H34">
            <v>1553336948</v>
          </cell>
          <cell r="I34">
            <v>0</v>
          </cell>
          <cell r="J34">
            <v>1553336948</v>
          </cell>
          <cell r="K34">
            <v>1000961774</v>
          </cell>
          <cell r="L34">
            <v>2554298722</v>
          </cell>
          <cell r="M34">
            <v>310667390</v>
          </cell>
          <cell r="N34">
            <v>2243631332</v>
          </cell>
          <cell r="O34">
            <v>0</v>
          </cell>
          <cell r="P34">
            <v>515262283.42000008</v>
          </cell>
          <cell r="Q34">
            <v>515262283.42000008</v>
          </cell>
          <cell r="R34">
            <v>0.33171314445550681</v>
          </cell>
          <cell r="S34">
            <v>1516224057.4200001</v>
          </cell>
          <cell r="T34">
            <v>722286644</v>
          </cell>
          <cell r="U34">
            <v>510320078</v>
          </cell>
          <cell r="V34">
            <v>1521344688</v>
          </cell>
          <cell r="W34">
            <v>0.32192750818653659</v>
          </cell>
          <cell r="X34">
            <v>1005903979.4200001</v>
          </cell>
          <cell r="Y34">
            <v>1733311254</v>
          </cell>
          <cell r="Z34">
            <v>1305735532</v>
          </cell>
        </row>
        <row r="35">
          <cell r="B35" t="str">
            <v>FU061</v>
          </cell>
          <cell r="D35" t="str">
            <v>Funcionamiento SGR</v>
          </cell>
          <cell r="E35" t="str">
            <v>Entidades que emiten CTUS</v>
          </cell>
          <cell r="F35" t="str">
            <v>Dpto. Prosperidad Social</v>
          </cell>
          <cell r="G35" t="str">
            <v>Resolución 1442 de 2025</v>
          </cell>
          <cell r="H35">
            <v>293349300</v>
          </cell>
          <cell r="I35">
            <v>0</v>
          </cell>
          <cell r="J35">
            <v>293349300</v>
          </cell>
          <cell r="K35">
            <v>0</v>
          </cell>
          <cell r="L35">
            <v>293349300</v>
          </cell>
          <cell r="M35">
            <v>58669860</v>
          </cell>
          <cell r="N35">
            <v>234679440</v>
          </cell>
          <cell r="O35">
            <v>0</v>
          </cell>
          <cell r="P35">
            <v>97307818.719999999</v>
          </cell>
          <cell r="Q35">
            <v>97307818.719999999</v>
          </cell>
          <cell r="R35">
            <v>0.33171314443225192</v>
          </cell>
          <cell r="S35">
            <v>97307818.719999999</v>
          </cell>
          <cell r="T35">
            <v>0</v>
          </cell>
          <cell r="U35">
            <v>0</v>
          </cell>
          <cell r="V35">
            <v>234679440</v>
          </cell>
          <cell r="W35">
            <v>0</v>
          </cell>
          <cell r="X35">
            <v>97307818.719999999</v>
          </cell>
          <cell r="Y35">
            <v>234679440</v>
          </cell>
          <cell r="Z35">
            <v>234679440</v>
          </cell>
        </row>
        <row r="36">
          <cell r="B36" t="str">
            <v>FU002</v>
          </cell>
          <cell r="C36">
            <v>26</v>
          </cell>
          <cell r="D36" t="str">
            <v>Funcionamiento SGR</v>
          </cell>
          <cell r="E36" t="str">
            <v>Otras entidades y conceptos</v>
          </cell>
          <cell r="F36" t="str">
            <v>Departamento Nacional de Planeación - SIEC</v>
          </cell>
          <cell r="G36" t="str">
            <v>Resolución 1442 de 2025</v>
          </cell>
          <cell r="H36">
            <v>34382973996</v>
          </cell>
          <cell r="I36">
            <v>0</v>
          </cell>
          <cell r="J36">
            <v>34382973996</v>
          </cell>
          <cell r="K36">
            <v>21889078954.739998</v>
          </cell>
          <cell r="L36">
            <v>56272052950.739998</v>
          </cell>
          <cell r="M36">
            <v>6876594799</v>
          </cell>
          <cell r="N36">
            <v>49395458151.739998</v>
          </cell>
          <cell r="O36">
            <v>0</v>
          </cell>
          <cell r="P36">
            <v>11405284419.549999</v>
          </cell>
          <cell r="Q36">
            <v>11405284419.549999</v>
          </cell>
          <cell r="R36">
            <v>0.33171314444401617</v>
          </cell>
          <cell r="S36">
            <v>33294363374.289997</v>
          </cell>
          <cell r="T36">
            <v>13834845318</v>
          </cell>
          <cell r="U36">
            <v>10405627921</v>
          </cell>
          <cell r="V36">
            <v>35560612833.739998</v>
          </cell>
          <cell r="W36">
            <v>0.28008334846293265</v>
          </cell>
          <cell r="X36">
            <v>22888735453.289997</v>
          </cell>
          <cell r="Y36">
            <v>38989830230.739998</v>
          </cell>
          <cell r="Z36">
            <v>12995140083.739998</v>
          </cell>
        </row>
        <row r="37">
          <cell r="B37" t="str">
            <v>FU047</v>
          </cell>
          <cell r="C37">
            <v>27</v>
          </cell>
          <cell r="D37" t="str">
            <v>Funcionamiento SGR</v>
          </cell>
          <cell r="E37" t="str">
            <v>Otras entidades y conceptos</v>
          </cell>
          <cell r="F37" t="str">
            <v>Departamento Nacional de Planeación - Estructuración de proyectos</v>
          </cell>
          <cell r="G37" t="str">
            <v>Resolución 1442 de 2025</v>
          </cell>
          <cell r="H37">
            <v>5660037019</v>
          </cell>
          <cell r="I37">
            <v>0</v>
          </cell>
          <cell r="J37">
            <v>5660037019</v>
          </cell>
          <cell r="K37">
            <v>8165061218.0100012</v>
          </cell>
          <cell r="L37">
            <v>13825098237.010002</v>
          </cell>
          <cell r="M37">
            <v>1132007404</v>
          </cell>
          <cell r="N37">
            <v>12693090833.010002</v>
          </cell>
          <cell r="O37">
            <v>0</v>
          </cell>
          <cell r="P37">
            <v>1877508677.25</v>
          </cell>
          <cell r="Q37">
            <v>1877508677.25</v>
          </cell>
          <cell r="R37">
            <v>0.33171314444542505</v>
          </cell>
          <cell r="S37">
            <v>10042569895.260002</v>
          </cell>
          <cell r="T37">
            <v>2058155823</v>
          </cell>
          <cell r="U37">
            <v>741065303</v>
          </cell>
          <cell r="V37">
            <v>10634935010.010002</v>
          </cell>
          <cell r="W37">
            <v>0.16214772667091479</v>
          </cell>
          <cell r="X37">
            <v>9301504592.2600021</v>
          </cell>
          <cell r="Y37">
            <v>11952025530.010002</v>
          </cell>
          <cell r="Z37">
            <v>3102803732.0100021</v>
          </cell>
        </row>
        <row r="38">
          <cell r="B38" t="str">
            <v>FU029</v>
          </cell>
          <cell r="C38">
            <v>28</v>
          </cell>
          <cell r="D38" t="str">
            <v>Funcionamiento SGR</v>
          </cell>
          <cell r="E38" t="str">
            <v>Otras entidades y conceptos</v>
          </cell>
          <cell r="F38" t="str">
            <v>Agencia Nacional de Licencias Ambientales - Licenciamiento Ambiental</v>
          </cell>
          <cell r="G38" t="str">
            <v>Resolución 1442 de 2025</v>
          </cell>
          <cell r="H38">
            <v>30683257639</v>
          </cell>
          <cell r="I38">
            <v>0</v>
          </cell>
          <cell r="J38">
            <v>30683257639</v>
          </cell>
          <cell r="K38">
            <v>6810700899.1799927</v>
          </cell>
          <cell r="L38">
            <v>37493958538.179993</v>
          </cell>
          <cell r="M38">
            <v>6136651528</v>
          </cell>
          <cell r="N38">
            <v>31357307010.179993</v>
          </cell>
          <cell r="O38">
            <v>0</v>
          </cell>
          <cell r="P38">
            <v>10178039873.209999</v>
          </cell>
          <cell r="Q38">
            <v>10178039873.209999</v>
          </cell>
          <cell r="R38">
            <v>0.33171314444373684</v>
          </cell>
          <cell r="S38">
            <v>16988740772.389992</v>
          </cell>
          <cell r="T38">
            <v>15881351606</v>
          </cell>
          <cell r="U38">
            <v>11891813538.48</v>
          </cell>
          <cell r="V38">
            <v>15475955404.179993</v>
          </cell>
          <cell r="W38">
            <v>0.50646414249936067</v>
          </cell>
          <cell r="X38">
            <v>5096927233.9099922</v>
          </cell>
          <cell r="Y38">
            <v>19465493471.699993</v>
          </cell>
          <cell r="Z38">
            <v>14825590766.179993</v>
          </cell>
        </row>
        <row r="39">
          <cell r="B39" t="str">
            <v>FU045</v>
          </cell>
          <cell r="C39">
            <v>29</v>
          </cell>
          <cell r="D39" t="str">
            <v>Funcionamiento SGR</v>
          </cell>
          <cell r="E39" t="str">
            <v>Otras entidades y conceptos</v>
          </cell>
          <cell r="F39" t="str">
            <v>Contraloría General de la Republica - Funcionamiento</v>
          </cell>
          <cell r="G39" t="str">
            <v>No aplica</v>
          </cell>
          <cell r="H39">
            <v>0</v>
          </cell>
          <cell r="I39">
            <v>0</v>
          </cell>
          <cell r="J39">
            <v>0</v>
          </cell>
          <cell r="K39">
            <v>3217534087</v>
          </cell>
          <cell r="L39">
            <v>3217534087</v>
          </cell>
          <cell r="M39">
            <v>0</v>
          </cell>
          <cell r="N39">
            <v>3217534087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3217534087</v>
          </cell>
          <cell r="T39">
            <v>2040000000</v>
          </cell>
          <cell r="U39">
            <v>2040000000</v>
          </cell>
          <cell r="V39">
            <v>1177534087</v>
          </cell>
          <cell r="W39">
            <v>0.63402591700343969</v>
          </cell>
          <cell r="X39">
            <v>1177534087</v>
          </cell>
          <cell r="Y39">
            <v>1177534087</v>
          </cell>
          <cell r="Z39">
            <v>1177534087</v>
          </cell>
        </row>
        <row r="40">
          <cell r="B40" t="str">
            <v>FU028</v>
          </cell>
          <cell r="C40">
            <v>30</v>
          </cell>
          <cell r="D40" t="str">
            <v>Funcionamiento SGR</v>
          </cell>
          <cell r="E40" t="str">
            <v>Otras entidades y conceptos</v>
          </cell>
          <cell r="F40" t="str">
            <v>Procuraduría General de la Nación - Funcionamiento</v>
          </cell>
          <cell r="G40" t="str">
            <v>Resolución 1442 de 2025</v>
          </cell>
          <cell r="H40">
            <v>22455738389</v>
          </cell>
          <cell r="I40">
            <v>0</v>
          </cell>
          <cell r="J40">
            <v>22455738389</v>
          </cell>
          <cell r="K40">
            <v>3074030593.3899994</v>
          </cell>
          <cell r="L40">
            <v>25529768982.389999</v>
          </cell>
          <cell r="M40">
            <v>4491147678</v>
          </cell>
          <cell r="N40">
            <v>21038621304.389999</v>
          </cell>
          <cell r="O40">
            <v>0</v>
          </cell>
          <cell r="P40">
            <v>7448863591.8399992</v>
          </cell>
          <cell r="Q40">
            <v>7448863591.8399992</v>
          </cell>
          <cell r="R40">
            <v>0.33171314444457739</v>
          </cell>
          <cell r="S40">
            <v>10522894185.23</v>
          </cell>
          <cell r="T40">
            <v>21038621304</v>
          </cell>
          <cell r="U40">
            <v>3074030593</v>
          </cell>
          <cell r="V40">
            <v>0.3899993896484375</v>
          </cell>
          <cell r="W40">
            <v>0.99999999998146272</v>
          </cell>
          <cell r="X40">
            <v>7448863592.2299995</v>
          </cell>
          <cell r="Y40">
            <v>17964590711.389999</v>
          </cell>
          <cell r="Z40">
            <v>0.3899993896484375</v>
          </cell>
        </row>
        <row r="41">
          <cell r="B41" t="str">
            <v>FU033</v>
          </cell>
          <cell r="C41">
            <v>31</v>
          </cell>
          <cell r="D41" t="str">
            <v>Funcionamiento SGR</v>
          </cell>
          <cell r="E41" t="str">
            <v>Otras entidades y conceptos</v>
          </cell>
          <cell r="F41" t="str">
            <v>Min. Ambiente - Licenciamiento Ambiental</v>
          </cell>
          <cell r="G41" t="str">
            <v>No aplica</v>
          </cell>
          <cell r="H41">
            <v>0</v>
          </cell>
          <cell r="I41">
            <v>0</v>
          </cell>
          <cell r="J41">
            <v>0</v>
          </cell>
          <cell r="K41">
            <v>126838108.09</v>
          </cell>
          <cell r="L41">
            <v>126838108.09</v>
          </cell>
          <cell r="M41">
            <v>0</v>
          </cell>
          <cell r="N41">
            <v>126838108.09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126838108.09</v>
          </cell>
          <cell r="T41">
            <v>115500000</v>
          </cell>
          <cell r="U41">
            <v>2100000</v>
          </cell>
          <cell r="V41">
            <v>11338108.090000004</v>
          </cell>
          <cell r="W41">
            <v>0.91060960888856157</v>
          </cell>
          <cell r="X41">
            <v>124738108.09</v>
          </cell>
          <cell r="Y41">
            <v>124738108.09</v>
          </cell>
          <cell r="Z41">
            <v>0</v>
          </cell>
        </row>
        <row r="42">
          <cell r="B42" t="str">
            <v>FU030</v>
          </cell>
          <cell r="C42">
            <v>32</v>
          </cell>
          <cell r="D42" t="str">
            <v>Funcionamiento SGR</v>
          </cell>
          <cell r="E42" t="str">
            <v>Otras entidades y conceptos</v>
          </cell>
          <cell r="F42" t="str">
            <v>ENTerritorio - Estructuración de proyectos</v>
          </cell>
          <cell r="G42" t="str">
            <v>No aplica</v>
          </cell>
          <cell r="H42">
            <v>0</v>
          </cell>
          <cell r="I42">
            <v>0</v>
          </cell>
          <cell r="J42">
            <v>0</v>
          </cell>
          <cell r="K42">
            <v>4755001443.6000004</v>
          </cell>
          <cell r="L42">
            <v>4755001443.6000004</v>
          </cell>
          <cell r="M42">
            <v>0</v>
          </cell>
          <cell r="N42">
            <v>4755001443.6000004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4755001443.6000004</v>
          </cell>
          <cell r="T42">
            <v>181096040.69</v>
          </cell>
          <cell r="U42">
            <v>14129267</v>
          </cell>
          <cell r="V42">
            <v>4573905402.9100008</v>
          </cell>
          <cell r="W42">
            <v>3.808538080125011E-2</v>
          </cell>
          <cell r="X42">
            <v>4740872176.6000004</v>
          </cell>
          <cell r="Y42">
            <v>4740872176.6000004</v>
          </cell>
          <cell r="Z42">
            <v>4573905402.9100008</v>
          </cell>
        </row>
        <row r="43">
          <cell r="B43" t="str">
            <v>FU034</v>
          </cell>
          <cell r="C43">
            <v>33</v>
          </cell>
          <cell r="D43" t="str">
            <v>Funcionamiento SGR</v>
          </cell>
          <cell r="E43" t="str">
            <v>Otras entidades y conceptos</v>
          </cell>
          <cell r="F43" t="str">
            <v>Min. Minas y Energía - IP - Funcionamiento</v>
          </cell>
          <cell r="G43" t="str">
            <v>No aplica</v>
          </cell>
          <cell r="H43">
            <v>0</v>
          </cell>
          <cell r="I43">
            <v>0</v>
          </cell>
          <cell r="J43">
            <v>0</v>
          </cell>
          <cell r="K43">
            <v>11657255522.529297</v>
          </cell>
          <cell r="L43">
            <v>11657255522.529297</v>
          </cell>
          <cell r="M43">
            <v>0</v>
          </cell>
          <cell r="N43">
            <v>11657255522.529297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11657255522.529297</v>
          </cell>
          <cell r="T43">
            <v>4060782753.77</v>
          </cell>
          <cell r="U43">
            <v>2163895692.6600003</v>
          </cell>
          <cell r="V43">
            <v>7596472768.7592964</v>
          </cell>
          <cell r="W43">
            <v>0.34834809496300073</v>
          </cell>
          <cell r="X43">
            <v>9493359829.869297</v>
          </cell>
          <cell r="Y43">
            <v>9493359829.869297</v>
          </cell>
          <cell r="Z43">
            <v>11657255522.529297</v>
          </cell>
        </row>
        <row r="44">
          <cell r="B44" t="str">
            <v>FU041</v>
          </cell>
          <cell r="C44">
            <v>34</v>
          </cell>
          <cell r="D44" t="str">
            <v>Funcionamiento SGR</v>
          </cell>
          <cell r="E44" t="str">
            <v>Otras entidades y conceptos</v>
          </cell>
          <cell r="F44" t="str">
            <v>Min. Interior - Consulta previa</v>
          </cell>
          <cell r="G44" t="str">
            <v>No aplica</v>
          </cell>
          <cell r="H44">
            <v>0</v>
          </cell>
          <cell r="I44">
            <v>0</v>
          </cell>
          <cell r="J44">
            <v>0</v>
          </cell>
          <cell r="K44">
            <v>1058901662.91</v>
          </cell>
          <cell r="L44">
            <v>1058901662.91</v>
          </cell>
          <cell r="M44">
            <v>0</v>
          </cell>
          <cell r="N44">
            <v>1058901662.91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1058901662.91</v>
          </cell>
          <cell r="T44">
            <v>0</v>
          </cell>
          <cell r="U44">
            <v>0</v>
          </cell>
          <cell r="V44">
            <v>1058901662.91</v>
          </cell>
          <cell r="W44">
            <v>0</v>
          </cell>
          <cell r="X44">
            <v>1058901662.91</v>
          </cell>
          <cell r="Y44">
            <v>1058901662.91</v>
          </cell>
          <cell r="Z44">
            <v>1058901662.91</v>
          </cell>
        </row>
        <row r="45">
          <cell r="B45" t="str">
            <v>FU043</v>
          </cell>
          <cell r="C45">
            <v>35</v>
          </cell>
          <cell r="D45" t="str">
            <v>Funcionamiento SGR</v>
          </cell>
          <cell r="E45" t="str">
            <v>Otras entidades y conceptos</v>
          </cell>
          <cell r="F45" t="str">
            <v>Recursos por distribuir - Funcionamiento</v>
          </cell>
          <cell r="G45" t="str">
            <v>Ley 2441 de 2025</v>
          </cell>
          <cell r="H45">
            <v>9160798033</v>
          </cell>
          <cell r="I45">
            <v>7092419612</v>
          </cell>
          <cell r="J45">
            <v>16253217645</v>
          </cell>
          <cell r="K45">
            <v>0</v>
          </cell>
          <cell r="L45">
            <v>16253217645</v>
          </cell>
          <cell r="M45">
            <v>5917945593</v>
          </cell>
          <cell r="N45">
            <v>10335272052</v>
          </cell>
          <cell r="O45">
            <v>7092419612</v>
          </cell>
          <cell r="P45">
            <v>3038757121.1099958</v>
          </cell>
          <cell r="Q45">
            <v>10131176733.109997</v>
          </cell>
          <cell r="R45">
            <v>0.33171314444041472</v>
          </cell>
          <cell r="S45">
            <v>10131176733.109997</v>
          </cell>
          <cell r="T45">
            <v>0</v>
          </cell>
          <cell r="U45">
            <v>0</v>
          </cell>
          <cell r="V45">
            <v>10335272052</v>
          </cell>
          <cell r="W45">
            <v>0</v>
          </cell>
          <cell r="X45">
            <v>10131176733.109997</v>
          </cell>
          <cell r="Y45">
            <v>10335272052</v>
          </cell>
          <cell r="Z45">
            <v>10335272052</v>
          </cell>
        </row>
        <row r="46">
          <cell r="B46" t="str">
            <v>ET1</v>
          </cell>
          <cell r="D46" t="str">
            <v>Funcionamiento SGR</v>
          </cell>
          <cell r="E46" t="str">
            <v>Fortalecimiento entidades territoriales</v>
          </cell>
          <cell r="F46" t="str">
            <v>Municipios</v>
          </cell>
          <cell r="G46" t="str">
            <v>Resolución 1442 de 2025</v>
          </cell>
          <cell r="H46">
            <v>10214464971</v>
          </cell>
          <cell r="I46">
            <v>0</v>
          </cell>
          <cell r="J46">
            <v>10214464971</v>
          </cell>
          <cell r="K46">
            <v>61397388235.07</v>
          </cell>
          <cell r="L46">
            <v>71611853206.070007</v>
          </cell>
          <cell r="M46">
            <v>0</v>
          </cell>
          <cell r="N46">
            <v>71611853206.070007</v>
          </cell>
          <cell r="O46">
            <v>0</v>
          </cell>
          <cell r="P46">
            <v>3388272294.3900003</v>
          </cell>
          <cell r="Q46">
            <v>3388272294.3900003</v>
          </cell>
          <cell r="R46">
            <v>0.33171314444855227</v>
          </cell>
          <cell r="S46">
            <v>64785660529.459999</v>
          </cell>
          <cell r="T46">
            <v>19997667883.16</v>
          </cell>
          <cell r="U46">
            <v>6407623672.9100008</v>
          </cell>
          <cell r="V46">
            <v>51614185322.910004</v>
          </cell>
          <cell r="W46">
            <v>0.2792508081813605</v>
          </cell>
          <cell r="X46">
            <v>58378036856.549995</v>
          </cell>
          <cell r="Y46">
            <v>65204229533.160004</v>
          </cell>
          <cell r="Z46">
            <v>46255247471.12001</v>
          </cell>
        </row>
        <row r="47">
          <cell r="B47" t="str">
            <v>ET2</v>
          </cell>
          <cell r="D47" t="str">
            <v>Funcionamiento SGR</v>
          </cell>
          <cell r="E47" t="str">
            <v>Fortalecimiento entidades territoriales</v>
          </cell>
          <cell r="F47" t="str">
            <v>Departamentos</v>
          </cell>
          <cell r="G47" t="str">
            <v>Resolución 1442 de 2025</v>
          </cell>
          <cell r="H47">
            <v>10214464971</v>
          </cell>
          <cell r="I47">
            <v>0</v>
          </cell>
          <cell r="J47">
            <v>10214464971</v>
          </cell>
          <cell r="K47">
            <v>0</v>
          </cell>
          <cell r="L47">
            <v>10214464971</v>
          </cell>
          <cell r="M47">
            <v>0</v>
          </cell>
          <cell r="N47">
            <v>10214464971</v>
          </cell>
          <cell r="O47">
            <v>0</v>
          </cell>
          <cell r="P47">
            <v>3388272294.3300009</v>
          </cell>
          <cell r="Q47">
            <v>3388272294.3300009</v>
          </cell>
          <cell r="R47">
            <v>0.3317131444426783</v>
          </cell>
          <cell r="S47">
            <v>3388272294.3300009</v>
          </cell>
          <cell r="T47">
            <v>3273458263.6799998</v>
          </cell>
          <cell r="U47">
            <v>481904074</v>
          </cell>
          <cell r="V47">
            <v>6941006707.3199997</v>
          </cell>
          <cell r="W47">
            <v>0.32047280723696359</v>
          </cell>
          <cell r="X47">
            <v>2906368220.3300009</v>
          </cell>
          <cell r="Y47">
            <v>9732560897</v>
          </cell>
          <cell r="Z47">
            <v>6179923063.4200001</v>
          </cell>
        </row>
        <row r="48">
          <cell r="B48" t="str">
            <v>MO001</v>
          </cell>
          <cell r="C48">
            <v>36</v>
          </cell>
          <cell r="D48" t="str">
            <v>SSEC</v>
          </cell>
          <cell r="E48" t="str">
            <v>Sistema de seguimiento evaluacion y control</v>
          </cell>
          <cell r="F48" t="str">
            <v>Departamento Nacional de Planeación - SSEC</v>
          </cell>
          <cell r="G48" t="str">
            <v>Ley 2441 de 2025</v>
          </cell>
          <cell r="H48">
            <v>102144649712</v>
          </cell>
          <cell r="I48">
            <v>9031393191</v>
          </cell>
          <cell r="J48">
            <v>111176042903</v>
          </cell>
          <cell r="K48">
            <v>96643867923.949997</v>
          </cell>
          <cell r="L48">
            <v>207819910826.95001</v>
          </cell>
          <cell r="M48">
            <v>20428929942.400002</v>
          </cell>
          <cell r="N48">
            <v>187390980884.55002</v>
          </cell>
          <cell r="O48">
            <v>9031585051</v>
          </cell>
          <cell r="P48">
            <v>33882722944.269997</v>
          </cell>
          <cell r="Q48">
            <v>42914307995.269997</v>
          </cell>
          <cell r="R48">
            <v>0.33171314444567956</v>
          </cell>
          <cell r="S48">
            <v>139558175919.22</v>
          </cell>
          <cell r="T48">
            <v>49967838001.909996</v>
          </cell>
          <cell r="U48">
            <v>41805315025.07</v>
          </cell>
          <cell r="V48">
            <v>137423142882.64001</v>
          </cell>
          <cell r="W48">
            <v>0.26665017583047262</v>
          </cell>
          <cell r="X48">
            <v>97752860894.149994</v>
          </cell>
          <cell r="Y48">
            <v>145585665859.48001</v>
          </cell>
          <cell r="Z48">
            <v>53454760788.440018</v>
          </cell>
        </row>
        <row r="49">
          <cell r="B49" t="str">
            <v>MO002</v>
          </cell>
          <cell r="C49">
            <v>37</v>
          </cell>
          <cell r="D49" t="str">
            <v>SSEC</v>
          </cell>
          <cell r="E49" t="str">
            <v>Vigilancia y control fiscal</v>
          </cell>
          <cell r="F49" t="str">
            <v>Contraloría General de la Republica - SSEC</v>
          </cell>
          <cell r="G49" t="str">
            <v>Ley 2441 de 2025</v>
          </cell>
          <cell r="H49">
            <v>127680812139</v>
          </cell>
          <cell r="I49">
            <v>37222423</v>
          </cell>
          <cell r="J49">
            <v>127718034562</v>
          </cell>
          <cell r="K49">
            <v>45844862972.150002</v>
          </cell>
          <cell r="L49">
            <v>173562897534.14999</v>
          </cell>
          <cell r="M49">
            <v>25536162427.800003</v>
          </cell>
          <cell r="N49">
            <v>148026735106.34998</v>
          </cell>
          <cell r="O49">
            <v>37222423</v>
          </cell>
          <cell r="P49">
            <v>42353403679.989998</v>
          </cell>
          <cell r="Q49">
            <v>42390626102.989998</v>
          </cell>
          <cell r="R49">
            <v>0.33171314444555594</v>
          </cell>
          <cell r="S49">
            <v>88235489075.139999</v>
          </cell>
          <cell r="T49">
            <v>59073911025.200005</v>
          </cell>
          <cell r="U49">
            <v>56316131608</v>
          </cell>
          <cell r="V49">
            <v>88952824081.149963</v>
          </cell>
          <cell r="W49">
            <v>0.3990759573448559</v>
          </cell>
          <cell r="X49">
            <v>31919357467.139999</v>
          </cell>
          <cell r="Y49">
            <v>91710603498.349976</v>
          </cell>
          <cell r="Z49">
            <v>36580454909.149979</v>
          </cell>
        </row>
        <row r="50">
          <cell r="B50" t="str">
            <v>MO003</v>
          </cell>
          <cell r="C50">
            <v>38</v>
          </cell>
          <cell r="D50" t="str">
            <v>SSEC</v>
          </cell>
          <cell r="E50" t="str">
            <v>Vigilancia y control disciplinario</v>
          </cell>
          <cell r="F50" t="str">
            <v>Procuraduría General de la Nación - SSEC</v>
          </cell>
          <cell r="G50" t="str">
            <v>Ley 2441 de 2025</v>
          </cell>
          <cell r="H50">
            <v>25536162428</v>
          </cell>
          <cell r="I50">
            <v>157938</v>
          </cell>
          <cell r="J50">
            <v>25536320366</v>
          </cell>
          <cell r="K50">
            <v>8296066442</v>
          </cell>
          <cell r="L50">
            <v>33832386808</v>
          </cell>
          <cell r="M50">
            <v>5107232485.6000004</v>
          </cell>
          <cell r="N50">
            <v>28725154322.400002</v>
          </cell>
          <cell r="O50">
            <v>157938</v>
          </cell>
          <cell r="P50">
            <v>8470680736.0699997</v>
          </cell>
          <cell r="Q50">
            <v>8470838674.0699997</v>
          </cell>
          <cell r="R50">
            <v>0.33171314444577749</v>
          </cell>
          <cell r="S50">
            <v>16766905116.07</v>
          </cell>
          <cell r="T50">
            <v>25331475731</v>
          </cell>
          <cell r="U50">
            <v>8296066442</v>
          </cell>
          <cell r="V50">
            <v>3393678591.4000015</v>
          </cell>
          <cell r="W50">
            <v>0.88185690655267968</v>
          </cell>
          <cell r="X50">
            <v>8470838674.0699997</v>
          </cell>
          <cell r="Y50">
            <v>20429087880.400002</v>
          </cell>
          <cell r="Z50">
            <v>3393678591.4000015</v>
          </cell>
        </row>
        <row r="51">
          <cell r="B51" t="str">
            <v>FI005</v>
          </cell>
          <cell r="C51">
            <v>39</v>
          </cell>
          <cell r="D51" t="str">
            <v>Fiscalización</v>
          </cell>
          <cell r="E51" t="str">
            <v>Formulación, articulación y seguimiento</v>
          </cell>
          <cell r="F51" t="str">
            <v>Ministerio de Minas y Energía - Fiscalización</v>
          </cell>
          <cell r="H51">
            <v>25500000000</v>
          </cell>
          <cell r="I51">
            <v>0</v>
          </cell>
          <cell r="J51">
            <v>25500000000</v>
          </cell>
          <cell r="K51">
            <v>8323742697.7400017</v>
          </cell>
          <cell r="L51">
            <v>33823742697.740002</v>
          </cell>
          <cell r="M51">
            <v>0</v>
          </cell>
          <cell r="N51">
            <v>33823742697.740002</v>
          </cell>
          <cell r="O51">
            <v>0</v>
          </cell>
          <cell r="P51">
            <v>8458685183.3700008</v>
          </cell>
          <cell r="Q51">
            <v>8458685183.3700008</v>
          </cell>
          <cell r="R51">
            <v>0.3317131444458824</v>
          </cell>
          <cell r="S51">
            <v>16782427881.110003</v>
          </cell>
          <cell r="T51">
            <v>7455378822.9499998</v>
          </cell>
          <cell r="U51">
            <v>4571685683.6599998</v>
          </cell>
          <cell r="V51">
            <v>26368363874.790001</v>
          </cell>
          <cell r="W51">
            <v>0.22041850570984106</v>
          </cell>
          <cell r="X51">
            <v>12210742197.450003</v>
          </cell>
          <cell r="Y51">
            <v>29252057014.080002</v>
          </cell>
          <cell r="Z51">
            <v>21703366957.450001</v>
          </cell>
        </row>
        <row r="52">
          <cell r="B52" t="str">
            <v>FI002</v>
          </cell>
          <cell r="C52">
            <v>40</v>
          </cell>
          <cell r="D52" t="str">
            <v>Fiscalización</v>
          </cell>
          <cell r="E52" t="str">
            <v>Conocimiento y cartografía</v>
          </cell>
          <cell r="F52" t="str">
            <v>Servicio Geológico Colombiano - Fiscalización</v>
          </cell>
          <cell r="H52">
            <v>96000000000</v>
          </cell>
          <cell r="I52">
            <v>0</v>
          </cell>
          <cell r="J52">
            <v>96000000000</v>
          </cell>
          <cell r="K52">
            <v>59507811511.340012</v>
          </cell>
          <cell r="L52">
            <v>155507811511.34003</v>
          </cell>
          <cell r="M52">
            <v>21329977118</v>
          </cell>
          <cell r="N52">
            <v>134177834393.34003</v>
          </cell>
          <cell r="O52">
            <v>0</v>
          </cell>
          <cell r="P52">
            <v>31844461866.780003</v>
          </cell>
          <cell r="Q52">
            <v>31844461866.780003</v>
          </cell>
          <cell r="R52">
            <v>0.33171314444562505</v>
          </cell>
          <cell r="S52">
            <v>91352273378.12001</v>
          </cell>
          <cell r="T52">
            <v>62622752619.959999</v>
          </cell>
          <cell r="U52">
            <v>30691546819.400002</v>
          </cell>
          <cell r="V52">
            <v>71555081773.380035</v>
          </cell>
          <cell r="W52">
            <v>0.46671458742121646</v>
          </cell>
          <cell r="X52">
            <v>60660726558.720009</v>
          </cell>
          <cell r="Y52">
            <v>103486287573.94003</v>
          </cell>
          <cell r="Z52">
            <v>50016389355.480026</v>
          </cell>
        </row>
        <row r="53">
          <cell r="B53" t="str">
            <v>FI004</v>
          </cell>
          <cell r="C53">
            <v>41</v>
          </cell>
          <cell r="D53" t="str">
            <v>Fiscalización</v>
          </cell>
          <cell r="E53" t="str">
            <v>Fiscalización</v>
          </cell>
          <cell r="F53" t="str">
            <v>Agencia Nacional de Hidrocarburos - Fiscalización</v>
          </cell>
          <cell r="H53">
            <v>30000000000</v>
          </cell>
          <cell r="I53">
            <v>0</v>
          </cell>
          <cell r="J53">
            <v>30000000000</v>
          </cell>
          <cell r="K53">
            <v>59510270576.519997</v>
          </cell>
          <cell r="L53">
            <v>89510270576.519989</v>
          </cell>
          <cell r="M53">
            <v>6665617849</v>
          </cell>
          <cell r="N53">
            <v>82844652727.519989</v>
          </cell>
          <cell r="O53">
            <v>0</v>
          </cell>
          <cell r="P53">
            <v>9951394333.3599987</v>
          </cell>
          <cell r="Q53">
            <v>9951394333.3599987</v>
          </cell>
          <cell r="R53">
            <v>0.33171314444533329</v>
          </cell>
          <cell r="S53">
            <v>69461664909.87999</v>
          </cell>
          <cell r="T53">
            <v>36711538335.870003</v>
          </cell>
          <cell r="U53">
            <v>13376277684.92</v>
          </cell>
          <cell r="V53">
            <v>46133114391.649986</v>
          </cell>
          <cell r="W53">
            <v>0.44313709004992757</v>
          </cell>
          <cell r="X53">
            <v>56085387224.959991</v>
          </cell>
          <cell r="Y53">
            <v>69468375042.599991</v>
          </cell>
          <cell r="Z53">
            <v>22919700996.649986</v>
          </cell>
        </row>
        <row r="54">
          <cell r="B54" t="str">
            <v>FI003</v>
          </cell>
          <cell r="C54">
            <v>42</v>
          </cell>
          <cell r="D54" t="str">
            <v>Fiscalización</v>
          </cell>
          <cell r="E54" t="str">
            <v>Fiscalización</v>
          </cell>
          <cell r="F54" t="str">
            <v>Agencia Nacional de Minería - Fiscalización</v>
          </cell>
          <cell r="H54">
            <v>103861624279</v>
          </cell>
          <cell r="I54">
            <v>0</v>
          </cell>
          <cell r="J54">
            <v>103861624279</v>
          </cell>
          <cell r="K54">
            <v>43297263932.000015</v>
          </cell>
          <cell r="L54">
            <v>147158888211</v>
          </cell>
          <cell r="M54">
            <v>23076729889</v>
          </cell>
          <cell r="N54">
            <v>124082158322</v>
          </cell>
          <cell r="O54">
            <v>0</v>
          </cell>
          <cell r="P54">
            <v>34452265976.82</v>
          </cell>
          <cell r="Q54">
            <v>34452265976.82</v>
          </cell>
          <cell r="R54">
            <v>0.33171314444565236</v>
          </cell>
          <cell r="S54">
            <v>77749529908.820007</v>
          </cell>
          <cell r="T54">
            <v>100518885204.50999</v>
          </cell>
          <cell r="U54">
            <v>39080739019.019997</v>
          </cell>
          <cell r="V54">
            <v>23563273117.490005</v>
          </cell>
          <cell r="W54">
            <v>0.81009942576641825</v>
          </cell>
          <cell r="X54">
            <v>38668790889.800011</v>
          </cell>
          <cell r="Y54">
            <v>85001419302.980011</v>
          </cell>
          <cell r="Z54">
            <v>7834802660.2100067</v>
          </cell>
        </row>
        <row r="55">
          <cell r="B55" t="str">
            <v>FI006</v>
          </cell>
          <cell r="C55">
            <v>43</v>
          </cell>
          <cell r="D55" t="str">
            <v>Fiscalización</v>
          </cell>
          <cell r="E55" t="str">
            <v>Fiscalización</v>
          </cell>
          <cell r="F55" t="str">
            <v>Departamento de Antioquia - Fiscalización</v>
          </cell>
          <cell r="H55">
            <v>0</v>
          </cell>
          <cell r="I55">
            <v>0</v>
          </cell>
          <cell r="J55">
            <v>0</v>
          </cell>
          <cell r="K55">
            <v>1880546717.0200005</v>
          </cell>
          <cell r="L55">
            <v>1880546717.0200005</v>
          </cell>
          <cell r="M55">
            <v>397428678.02000046</v>
          </cell>
          <cell r="N55">
            <v>1483118039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1880546717.0200005</v>
          </cell>
          <cell r="T55">
            <v>0</v>
          </cell>
          <cell r="U55">
            <v>0</v>
          </cell>
          <cell r="V55">
            <v>1483118039</v>
          </cell>
          <cell r="W55">
            <v>0</v>
          </cell>
          <cell r="X55">
            <v>1880546717.0200005</v>
          </cell>
          <cell r="Y55">
            <v>1483118039</v>
          </cell>
          <cell r="Z55">
            <v>1483118039</v>
          </cell>
        </row>
        <row r="56">
          <cell r="B56" t="str">
            <v>FU044</v>
          </cell>
          <cell r="C56">
            <v>44</v>
          </cell>
          <cell r="D56" t="str">
            <v>Fiscalización</v>
          </cell>
          <cell r="E56" t="str">
            <v>Otros</v>
          </cell>
          <cell r="F56" t="str">
            <v>Recursos por distribuir - Fiscalización</v>
          </cell>
          <cell r="G56" t="str">
            <v>Ley 2441 de 2025</v>
          </cell>
          <cell r="H56">
            <v>0</v>
          </cell>
          <cell r="I56">
            <v>69302224</v>
          </cell>
          <cell r="J56">
            <v>69302224</v>
          </cell>
          <cell r="K56">
            <v>381334089.30000001</v>
          </cell>
          <cell r="L56">
            <v>450636313.30000001</v>
          </cell>
          <cell r="M56">
            <v>0</v>
          </cell>
          <cell r="N56">
            <v>450636313.30000001</v>
          </cell>
          <cell r="O56">
            <v>69302224</v>
          </cell>
          <cell r="P56">
            <v>0</v>
          </cell>
          <cell r="Q56">
            <v>69302224</v>
          </cell>
          <cell r="R56">
            <v>0</v>
          </cell>
          <cell r="S56">
            <v>450636313.30000001</v>
          </cell>
          <cell r="T56">
            <v>0</v>
          </cell>
          <cell r="U56">
            <v>0</v>
          </cell>
          <cell r="V56">
            <v>450636313.30000001</v>
          </cell>
          <cell r="W56">
            <v>0</v>
          </cell>
          <cell r="X56">
            <v>450636313.30000001</v>
          </cell>
          <cell r="Y56">
            <v>450636313.30000001</v>
          </cell>
          <cell r="Z56">
            <v>450636313.30000001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572-2794-495D-8618-669349E52515}">
  <sheetPr>
    <outlinePr summaryBelow="0" summaryRight="0"/>
    <pageSetUpPr autoPageBreaks="0" fitToPage="1"/>
  </sheetPr>
  <dimension ref="A1:Y69"/>
  <sheetViews>
    <sheetView showGridLines="0" tabSelected="1" workbookViewId="0">
      <selection activeCell="B12" sqref="B12"/>
    </sheetView>
  </sheetViews>
  <sheetFormatPr baseColWidth="10" defaultColWidth="20.7109375" defaultRowHeight="12.75" x14ac:dyDescent="0.2"/>
  <cols>
    <col min="1" max="1" width="0.42578125" style="1" customWidth="1"/>
    <col min="2" max="2" width="20.85546875" style="12" customWidth="1"/>
    <col min="3" max="3" width="23.85546875" style="2" customWidth="1"/>
    <col min="4" max="4" width="32.7109375" style="7" customWidth="1"/>
    <col min="5" max="5" width="42" style="8" customWidth="1"/>
    <col min="6" max="25" width="20.7109375" style="8" customWidth="1"/>
    <col min="26" max="16384" width="20.7109375" style="8"/>
  </cols>
  <sheetData>
    <row r="1" spans="1:25" s="1" customFormat="1" x14ac:dyDescent="0.2"/>
    <row r="2" spans="1:25" s="1" customFormat="1" x14ac:dyDescent="0.2"/>
    <row r="3" spans="1:25" s="1" customFormat="1" ht="38.25" customHeight="1" x14ac:dyDescent="0.2">
      <c r="C3" s="2"/>
      <c r="D3" s="3" t="s">
        <v>0</v>
      </c>
      <c r="E3" s="4"/>
      <c r="F3" s="4"/>
    </row>
    <row r="4" spans="1:25" s="1" customFormat="1" x14ac:dyDescent="0.2">
      <c r="C4" s="5" t="s">
        <v>1</v>
      </c>
    </row>
    <row r="5" spans="1:25" s="1" customFormat="1" x14ac:dyDescent="0.2"/>
    <row r="6" spans="1:25" s="1" customFormat="1" ht="12.75" customHeight="1" x14ac:dyDescent="0.2">
      <c r="C6" s="2"/>
      <c r="D6" s="3" t="s">
        <v>2</v>
      </c>
      <c r="E6" s="4"/>
      <c r="F6" s="4"/>
    </row>
    <row r="7" spans="1:25" s="1" customFormat="1" x14ac:dyDescent="0.2"/>
    <row r="8" spans="1:25" s="1" customFormat="1" x14ac:dyDescent="0.2"/>
    <row r="9" spans="1:25" x14ac:dyDescent="0.2">
      <c r="B9" s="6" t="s">
        <v>3</v>
      </c>
    </row>
    <row r="10" spans="1:25" x14ac:dyDescent="0.2">
      <c r="B10" s="6" t="s">
        <v>4</v>
      </c>
      <c r="D10" s="8"/>
    </row>
    <row r="11" spans="1:25" x14ac:dyDescent="0.2">
      <c r="B11" s="6" t="s">
        <v>5</v>
      </c>
      <c r="D11" s="6"/>
    </row>
    <row r="12" spans="1:25" s="1" customFormat="1" ht="31.5" customHeight="1" x14ac:dyDescent="0.2">
      <c r="B12" s="9" t="s">
        <v>6</v>
      </c>
      <c r="C12" s="10" t="s">
        <v>7</v>
      </c>
      <c r="D12" s="11"/>
    </row>
    <row r="13" spans="1:25" s="1" customFormat="1" x14ac:dyDescent="0.2">
      <c r="B13" s="12"/>
      <c r="C13" s="6"/>
      <c r="D13" s="6"/>
    </row>
    <row r="14" spans="1:25" s="14" customFormat="1" x14ac:dyDescent="0.2">
      <c r="A14" s="1"/>
      <c r="B14" s="13"/>
      <c r="D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Y14" s="16"/>
    </row>
    <row r="15" spans="1:25" ht="37.5" customHeight="1" x14ac:dyDescent="0.2">
      <c r="B15" s="17" t="s">
        <v>8</v>
      </c>
      <c r="C15" s="17" t="s">
        <v>9</v>
      </c>
      <c r="D15" s="17" t="s">
        <v>10</v>
      </c>
      <c r="E15" s="17" t="s">
        <v>11</v>
      </c>
      <c r="F15" s="17" t="s">
        <v>12</v>
      </c>
      <c r="G15" s="17" t="s">
        <v>13</v>
      </c>
      <c r="H15" s="17" t="s">
        <v>14</v>
      </c>
      <c r="I15" s="17" t="s">
        <v>15</v>
      </c>
      <c r="J15" s="17" t="s">
        <v>16</v>
      </c>
      <c r="K15" s="17" t="s">
        <v>17</v>
      </c>
      <c r="L15" s="17" t="s">
        <v>18</v>
      </c>
      <c r="M15" s="17" t="s">
        <v>19</v>
      </c>
      <c r="N15" s="17" t="s">
        <v>20</v>
      </c>
      <c r="O15" s="17" t="s">
        <v>21</v>
      </c>
      <c r="P15" s="17" t="s">
        <v>22</v>
      </c>
      <c r="Q15" s="17" t="s">
        <v>23</v>
      </c>
      <c r="R15" s="17" t="s">
        <v>24</v>
      </c>
      <c r="S15" s="17" t="s">
        <v>25</v>
      </c>
      <c r="T15" s="17" t="s">
        <v>26</v>
      </c>
      <c r="U15" s="17" t="s">
        <v>27</v>
      </c>
      <c r="V15" s="17" t="s">
        <v>28</v>
      </c>
      <c r="W15" s="17" t="s">
        <v>29</v>
      </c>
      <c r="X15" s="17" t="s">
        <v>30</v>
      </c>
      <c r="Y15" s="17" t="s">
        <v>31</v>
      </c>
    </row>
    <row r="16" spans="1:25" ht="15" customHeight="1" x14ac:dyDescent="0.25">
      <c r="B16" s="18" t="s">
        <v>32</v>
      </c>
      <c r="C16" s="31" t="s">
        <v>33</v>
      </c>
      <c r="D16" s="18" t="s">
        <v>34</v>
      </c>
      <c r="E16" s="18" t="s">
        <v>35</v>
      </c>
      <c r="F16" s="19">
        <f>VLOOKUP($B16,'[1]Funcionamiento - Gral'!$B$3:$Z$56,'[1]Funcionamiento - Gral'!H$1,0)</f>
        <v>34382973996</v>
      </c>
      <c r="G16" s="19">
        <f>VLOOKUP($B16,'[1]Funcionamiento - Gral'!$B$3:$Z$56,'[1]Funcionamiento - Gral'!I$1,0)</f>
        <v>0</v>
      </c>
      <c r="H16" s="19">
        <f>VLOOKUP($B16,'[1]Funcionamiento - Gral'!$B$3:$Z$56,'[1]Funcionamiento - Gral'!J$1,0)</f>
        <v>34382973996</v>
      </c>
      <c r="I16" s="19">
        <f>VLOOKUP($B16,'[1]Funcionamiento - Gral'!$B$3:$Z$56,'[1]Funcionamiento - Gral'!K$1,0)</f>
        <v>21889078954.739998</v>
      </c>
      <c r="J16" s="19">
        <f>VLOOKUP($B16,'[1]Funcionamiento - Gral'!$B$3:$Z$56,'[1]Funcionamiento - Gral'!L$1,0)</f>
        <v>56272052950.739998</v>
      </c>
      <c r="K16" s="19">
        <f>VLOOKUP($B16,'[1]Funcionamiento - Gral'!$B$3:$Z$56,'[1]Funcionamiento - Gral'!M$1,0)</f>
        <v>6876594799</v>
      </c>
      <c r="L16" s="19">
        <f>VLOOKUP($B16,'[1]Funcionamiento - Gral'!$B$3:$Z$56,'[1]Funcionamiento - Gral'!N$1,0)</f>
        <v>49395458151.739998</v>
      </c>
      <c r="M16" s="19">
        <f>VLOOKUP($B16,'[1]Funcionamiento - Gral'!$B$3:$Z$56,'[1]Funcionamiento - Gral'!O$1,0)</f>
        <v>0</v>
      </c>
      <c r="N16" s="19">
        <f>VLOOKUP($B16,'[1]Funcionamiento - Gral'!$B$3:$Z$56,'[1]Funcionamiento - Gral'!P$1,0)</f>
        <v>11405284419.549999</v>
      </c>
      <c r="O16" s="19">
        <f>VLOOKUP($B16,'[1]Funcionamiento - Gral'!$B$3:$Z$56,'[1]Funcionamiento - Gral'!Q$1,0)</f>
        <v>11405284419.549999</v>
      </c>
      <c r="P16" s="20">
        <f>VLOOKUP($B16,'[1]Funcionamiento - Gral'!$B$3:$Z$56,'[1]Funcionamiento - Gral'!R$1,0)</f>
        <v>0.33171314444401617</v>
      </c>
      <c r="Q16" s="19">
        <f>VLOOKUP($B16,'[1]Funcionamiento - Gral'!$B$3:$Z$56,'[1]Funcionamiento - Gral'!S$1,0)</f>
        <v>33294363374.289997</v>
      </c>
      <c r="R16" s="19" t="e">
        <f>VLOOKUP($B16,'[1]Funcionamiento - Gral'!$B$3:$Z$56,'[1]Funcionamiento - Gral'!AA$1,0)</f>
        <v>#REF!</v>
      </c>
      <c r="S16" s="19">
        <f>VLOOKUP($B16,'[1]Funcionamiento - Gral'!$B$3:$Z$56,'[1]Funcionamiento - Gral'!T$1,0)</f>
        <v>13834845318</v>
      </c>
      <c r="T16" s="19">
        <f>VLOOKUP($B16,'[1]Funcionamiento - Gral'!$B$3:$Z$56,'[1]Funcionamiento - Gral'!U$1,0)</f>
        <v>10405627921</v>
      </c>
      <c r="U16" s="19">
        <f>VLOOKUP($B16,'[1]Funcionamiento - Gral'!$B$3:$Z$56,'[1]Funcionamiento - Gral'!V$1,0)</f>
        <v>35560612833.739998</v>
      </c>
      <c r="V16" s="20">
        <f>VLOOKUP($B16,'[1]Funcionamiento - Gral'!$B$3:$Z$56,'[1]Funcionamiento - Gral'!W$1,0)</f>
        <v>0.28008334846293265</v>
      </c>
      <c r="W16" s="19">
        <f>VLOOKUP($B16,'[1]Funcionamiento - Gral'!$B$3:$Z$56,'[1]Funcionamiento - Gral'!X$1,0)</f>
        <v>22888735453.289997</v>
      </c>
      <c r="X16" s="19">
        <f>VLOOKUP($B16,'[1]Funcionamiento - Gral'!$B$3:$Z$56,'[1]Funcionamiento - Gral'!Y$1,0)</f>
        <v>38989830230.739998</v>
      </c>
      <c r="Y16" s="19">
        <f>VLOOKUP($B16,'[1]Funcionamiento - Gral'!$B$3:$Z$56,'[1]Funcionamiento - Gral'!Z$1,0)</f>
        <v>12995140083.739998</v>
      </c>
    </row>
    <row r="17" spans="2:25" ht="15" customHeight="1" x14ac:dyDescent="0.25">
      <c r="B17" s="18" t="s">
        <v>36</v>
      </c>
      <c r="C17" s="31" t="s">
        <v>33</v>
      </c>
      <c r="D17" s="18" t="s">
        <v>37</v>
      </c>
      <c r="E17" s="18" t="s">
        <v>38</v>
      </c>
      <c r="F17" s="19">
        <f>VLOOKUP($B17,'[1]Funcionamiento - Gral'!$B$3:$Z$56,'[1]Funcionamiento - Gral'!H$1,0)</f>
        <v>36890922968</v>
      </c>
      <c r="G17" s="19">
        <f>VLOOKUP($B17,'[1]Funcionamiento - Gral'!$B$3:$Z$56,'[1]Funcionamiento - Gral'!I$1,0)</f>
        <v>0</v>
      </c>
      <c r="H17" s="19">
        <f>VLOOKUP($B17,'[1]Funcionamiento - Gral'!$B$3:$Z$56,'[1]Funcionamiento - Gral'!J$1,0)</f>
        <v>36890922968</v>
      </c>
      <c r="I17" s="19">
        <f>VLOOKUP($B17,'[1]Funcionamiento - Gral'!$B$3:$Z$56,'[1]Funcionamiento - Gral'!K$1,0)</f>
        <v>47350125592.019989</v>
      </c>
      <c r="J17" s="19">
        <f>VLOOKUP($B17,'[1]Funcionamiento - Gral'!$B$3:$Z$56,'[1]Funcionamiento - Gral'!L$1,0)</f>
        <v>84241048560.019989</v>
      </c>
      <c r="K17" s="19">
        <f>VLOOKUP($B17,'[1]Funcionamiento - Gral'!$B$3:$Z$56,'[1]Funcionamiento - Gral'!M$1,0)</f>
        <v>7378184594</v>
      </c>
      <c r="L17" s="19">
        <f>VLOOKUP($B17,'[1]Funcionamiento - Gral'!$B$3:$Z$56,'[1]Funcionamiento - Gral'!N$1,0)</f>
        <v>76862863966.019989</v>
      </c>
      <c r="M17" s="19">
        <f>VLOOKUP($B17,'[1]Funcionamiento - Gral'!$B$3:$Z$56,'[1]Funcionamiento - Gral'!O$1,0)</f>
        <v>0</v>
      </c>
      <c r="N17" s="19">
        <f>VLOOKUP($B17,'[1]Funcionamiento - Gral'!$B$3:$Z$56,'[1]Funcionamiento - Gral'!P$1,0)</f>
        <v>12237204059.16</v>
      </c>
      <c r="O17" s="19">
        <f>VLOOKUP($B17,'[1]Funcionamiento - Gral'!$B$3:$Z$56,'[1]Funcionamiento - Gral'!Q$1,0)</f>
        <v>12237204059.16</v>
      </c>
      <c r="P17" s="20">
        <f>VLOOKUP($B17,'[1]Funcionamiento - Gral'!$B$3:$Z$56,'[1]Funcionamiento - Gral'!R$1,0)</f>
        <v>0.3317131444440905</v>
      </c>
      <c r="Q17" s="19">
        <f>VLOOKUP($B17,'[1]Funcionamiento - Gral'!$B$3:$Z$56,'[1]Funcionamiento - Gral'!S$1,0)</f>
        <v>59587329651.179993</v>
      </c>
      <c r="R17" s="19" t="e">
        <f>VLOOKUP($B17,'[1]Funcionamiento - Gral'!$B$3:$Z$56,'[1]Funcionamiento - Gral'!AA$1,0)</f>
        <v>#REF!</v>
      </c>
      <c r="S17" s="19">
        <f>VLOOKUP($B17,'[1]Funcionamiento - Gral'!$B$3:$Z$56,'[1]Funcionamiento - Gral'!T$1,0)</f>
        <v>31879887076.099998</v>
      </c>
      <c r="T17" s="19">
        <f>VLOOKUP($B17,'[1]Funcionamiento - Gral'!$B$3:$Z$56,'[1]Funcionamiento - Gral'!U$1,0)</f>
        <v>21802540960.91</v>
      </c>
      <c r="U17" s="19">
        <f>VLOOKUP($B17,'[1]Funcionamiento - Gral'!$B$3:$Z$56,'[1]Funcionamiento - Gral'!V$1,0)</f>
        <v>44982976889.919991</v>
      </c>
      <c r="V17" s="20">
        <f>VLOOKUP($B17,'[1]Funcionamiento - Gral'!$B$3:$Z$56,'[1]Funcionamiento - Gral'!W$1,0)</f>
        <v>0.41476319552955582</v>
      </c>
      <c r="W17" s="19">
        <f>VLOOKUP($B17,'[1]Funcionamiento - Gral'!$B$3:$Z$56,'[1]Funcionamiento - Gral'!X$1,0)</f>
        <v>37784788690.269989</v>
      </c>
      <c r="X17" s="19">
        <f>VLOOKUP($B17,'[1]Funcionamiento - Gral'!$B$3:$Z$56,'[1]Funcionamiento - Gral'!Y$1,0)</f>
        <v>55060323005.109985</v>
      </c>
      <c r="Y17" s="19">
        <f>VLOOKUP($B17,'[1]Funcionamiento - Gral'!$B$3:$Z$56,'[1]Funcionamiento - Gral'!Z$1,0)</f>
        <v>15158692904.159988</v>
      </c>
    </row>
    <row r="18" spans="2:25" ht="15" customHeight="1" x14ac:dyDescent="0.25">
      <c r="B18" s="18" t="s">
        <v>39</v>
      </c>
      <c r="C18" s="31" t="s">
        <v>33</v>
      </c>
      <c r="D18" s="18" t="s">
        <v>37</v>
      </c>
      <c r="E18" s="18" t="s">
        <v>40</v>
      </c>
      <c r="F18" s="19">
        <f>VLOOKUP($B18,'[1]Funcionamiento - Gral'!$B$3:$Z$56,'[1]Funcionamiento - Gral'!H$1,0)</f>
        <v>2068030300</v>
      </c>
      <c r="G18" s="19">
        <f>VLOOKUP($B18,'[1]Funcionamiento - Gral'!$B$3:$Z$56,'[1]Funcionamiento - Gral'!I$1,0)</f>
        <v>0</v>
      </c>
      <c r="H18" s="19">
        <f>VLOOKUP($B18,'[1]Funcionamiento - Gral'!$B$3:$Z$56,'[1]Funcionamiento - Gral'!J$1,0)</f>
        <v>2068030300</v>
      </c>
      <c r="I18" s="19">
        <f>VLOOKUP($B18,'[1]Funcionamiento - Gral'!$B$3:$Z$56,'[1]Funcionamiento - Gral'!K$1,0)</f>
        <v>2398926647.8499994</v>
      </c>
      <c r="J18" s="19">
        <f>VLOOKUP($B18,'[1]Funcionamiento - Gral'!$B$3:$Z$56,'[1]Funcionamiento - Gral'!L$1,0)</f>
        <v>4466956947.8499994</v>
      </c>
      <c r="K18" s="19">
        <f>VLOOKUP($B18,'[1]Funcionamiento - Gral'!$B$3:$Z$56,'[1]Funcionamiento - Gral'!M$1,0)</f>
        <v>413606060</v>
      </c>
      <c r="L18" s="19">
        <f>VLOOKUP($B18,'[1]Funcionamiento - Gral'!$B$3:$Z$56,'[1]Funcionamiento - Gral'!N$1,0)</f>
        <v>4053350887.8499994</v>
      </c>
      <c r="M18" s="19">
        <f>VLOOKUP($B18,'[1]Funcionamiento - Gral'!$B$3:$Z$56,'[1]Funcionamiento - Gral'!O$1,0)</f>
        <v>0</v>
      </c>
      <c r="N18" s="19">
        <f>VLOOKUP($B18,'[1]Funcionamiento - Gral'!$B$3:$Z$56,'[1]Funcionamiento - Gral'!P$1,0)</f>
        <v>685992833.62</v>
      </c>
      <c r="O18" s="19">
        <f>VLOOKUP($B18,'[1]Funcionamiento - Gral'!$B$3:$Z$56,'[1]Funcionamiento - Gral'!Q$1,0)</f>
        <v>685992833.62</v>
      </c>
      <c r="P18" s="20">
        <f>VLOOKUP($B18,'[1]Funcionamiento - Gral'!$B$3:$Z$56,'[1]Funcionamiento - Gral'!R$1,0)</f>
        <v>0.33171314444474048</v>
      </c>
      <c r="Q18" s="19">
        <f>VLOOKUP($B18,'[1]Funcionamiento - Gral'!$B$3:$Z$56,'[1]Funcionamiento - Gral'!S$1,0)</f>
        <v>3084919481.4699993</v>
      </c>
      <c r="R18" s="19" t="e">
        <f>VLOOKUP($B18,'[1]Funcionamiento - Gral'!$B$3:$Z$56,'[1]Funcionamiento - Gral'!AA$1,0)</f>
        <v>#REF!</v>
      </c>
      <c r="S18" s="19">
        <f>VLOOKUP($B18,'[1]Funcionamiento - Gral'!$B$3:$Z$56,'[1]Funcionamiento - Gral'!T$1,0)</f>
        <v>926812985</v>
      </c>
      <c r="T18" s="19">
        <f>VLOOKUP($B18,'[1]Funcionamiento - Gral'!$B$3:$Z$56,'[1]Funcionamiento - Gral'!U$1,0)</f>
        <v>573708709.99000001</v>
      </c>
      <c r="U18" s="19">
        <f>VLOOKUP($B18,'[1]Funcionamiento - Gral'!$B$3:$Z$56,'[1]Funcionamiento - Gral'!V$1,0)</f>
        <v>3126537902.8499994</v>
      </c>
      <c r="V18" s="20">
        <f>VLOOKUP($B18,'[1]Funcionamiento - Gral'!$B$3:$Z$56,'[1]Funcionamiento - Gral'!W$1,0)</f>
        <v>0.22865352905373687</v>
      </c>
      <c r="W18" s="19">
        <f>VLOOKUP($B18,'[1]Funcionamiento - Gral'!$B$3:$Z$56,'[1]Funcionamiento - Gral'!X$1,0)</f>
        <v>2511210771.4799995</v>
      </c>
      <c r="X18" s="19">
        <f>VLOOKUP($B18,'[1]Funcionamiento - Gral'!$B$3:$Z$56,'[1]Funcionamiento - Gral'!Y$1,0)</f>
        <v>3479642177.8599997</v>
      </c>
      <c r="Y18" s="19">
        <f>VLOOKUP($B18,'[1]Funcionamiento - Gral'!$B$3:$Z$56,'[1]Funcionamiento - Gral'!Z$1,0)</f>
        <v>3105428902.8499994</v>
      </c>
    </row>
    <row r="19" spans="2:25" ht="15" customHeight="1" x14ac:dyDescent="0.25">
      <c r="B19" s="18" t="s">
        <v>41</v>
      </c>
      <c r="C19" s="31" t="s">
        <v>33</v>
      </c>
      <c r="D19" s="18" t="s">
        <v>42</v>
      </c>
      <c r="E19" s="18" t="s">
        <v>43</v>
      </c>
      <c r="F19" s="19">
        <f>VLOOKUP($B19,'[1]Funcionamiento - Gral'!$B$3:$Z$56,'[1]Funcionamiento - Gral'!H$1,0)</f>
        <v>0</v>
      </c>
      <c r="G19" s="19">
        <f>VLOOKUP($B19,'[1]Funcionamiento - Gral'!$B$3:$Z$56,'[1]Funcionamiento - Gral'!I$1,0)</f>
        <v>0</v>
      </c>
      <c r="H19" s="19">
        <f>VLOOKUP($B19,'[1]Funcionamiento - Gral'!$B$3:$Z$56,'[1]Funcionamiento - Gral'!J$1,0)</f>
        <v>0</v>
      </c>
      <c r="I19" s="19">
        <f>VLOOKUP($B19,'[1]Funcionamiento - Gral'!$B$3:$Z$56,'[1]Funcionamiento - Gral'!K$1,0)</f>
        <v>667600990.88999999</v>
      </c>
      <c r="J19" s="19">
        <f>VLOOKUP($B19,'[1]Funcionamiento - Gral'!$B$3:$Z$56,'[1]Funcionamiento - Gral'!L$1,0)</f>
        <v>667600990.88999999</v>
      </c>
      <c r="K19" s="19">
        <f>VLOOKUP($B19,'[1]Funcionamiento - Gral'!$B$3:$Z$56,'[1]Funcionamiento - Gral'!M$1,0)</f>
        <v>0</v>
      </c>
      <c r="L19" s="19">
        <f>VLOOKUP($B19,'[1]Funcionamiento - Gral'!$B$3:$Z$56,'[1]Funcionamiento - Gral'!N$1,0)</f>
        <v>667600990.88999999</v>
      </c>
      <c r="M19" s="19">
        <f>VLOOKUP($B19,'[1]Funcionamiento - Gral'!$B$3:$Z$56,'[1]Funcionamiento - Gral'!O$1,0)</f>
        <v>0</v>
      </c>
      <c r="N19" s="19">
        <f>VLOOKUP($B19,'[1]Funcionamiento - Gral'!$B$3:$Z$56,'[1]Funcionamiento - Gral'!P$1,0)</f>
        <v>0</v>
      </c>
      <c r="O19" s="19">
        <f>VLOOKUP($B19,'[1]Funcionamiento - Gral'!$B$3:$Z$56,'[1]Funcionamiento - Gral'!Q$1,0)</f>
        <v>0</v>
      </c>
      <c r="P19" s="20">
        <f>VLOOKUP($B19,'[1]Funcionamiento - Gral'!$B$3:$Z$56,'[1]Funcionamiento - Gral'!R$1,0)</f>
        <v>0</v>
      </c>
      <c r="Q19" s="19">
        <f>VLOOKUP($B19,'[1]Funcionamiento - Gral'!$B$3:$Z$56,'[1]Funcionamiento - Gral'!S$1,0)</f>
        <v>667600990.88999999</v>
      </c>
      <c r="R19" s="19" t="e">
        <f>VLOOKUP($B19,'[1]Funcionamiento - Gral'!$B$3:$Z$56,'[1]Funcionamiento - Gral'!AA$1,0)</f>
        <v>#REF!</v>
      </c>
      <c r="S19" s="19">
        <f>VLOOKUP($B19,'[1]Funcionamiento - Gral'!$B$3:$Z$56,'[1]Funcionamiento - Gral'!T$1,0)</f>
        <v>642857</v>
      </c>
      <c r="T19" s="19">
        <f>VLOOKUP($B19,'[1]Funcionamiento - Gral'!$B$3:$Z$56,'[1]Funcionamiento - Gral'!U$1,0)</f>
        <v>0</v>
      </c>
      <c r="U19" s="19">
        <f>VLOOKUP($B19,'[1]Funcionamiento - Gral'!$B$3:$Z$56,'[1]Funcionamiento - Gral'!V$1,0)</f>
        <v>666958133.88999999</v>
      </c>
      <c r="V19" s="20">
        <f>VLOOKUP($B19,'[1]Funcionamiento - Gral'!$B$3:$Z$56,'[1]Funcionamiento - Gral'!W$1,0)</f>
        <v>9.6293595841280436E-4</v>
      </c>
      <c r="W19" s="19">
        <f>VLOOKUP($B19,'[1]Funcionamiento - Gral'!$B$3:$Z$56,'[1]Funcionamiento - Gral'!X$1,0)</f>
        <v>667600990.88999999</v>
      </c>
      <c r="X19" s="19">
        <f>VLOOKUP($B19,'[1]Funcionamiento - Gral'!$B$3:$Z$56,'[1]Funcionamiento - Gral'!Y$1,0)</f>
        <v>667600990.88999999</v>
      </c>
      <c r="Y19" s="19">
        <f>VLOOKUP($B19,'[1]Funcionamiento - Gral'!$B$3:$Z$56,'[1]Funcionamiento - Gral'!Z$1,0)</f>
        <v>666958133.88999999</v>
      </c>
    </row>
    <row r="20" spans="2:25" ht="15" customHeight="1" x14ac:dyDescent="0.25">
      <c r="B20" s="18" t="s">
        <v>44</v>
      </c>
      <c r="C20" s="31" t="s">
        <v>33</v>
      </c>
      <c r="D20" s="18" t="s">
        <v>42</v>
      </c>
      <c r="E20" s="18" t="s">
        <v>45</v>
      </c>
      <c r="F20" s="19">
        <f>VLOOKUP($B20,'[1]Funcionamiento - Gral'!$B$3:$Z$56,'[1]Funcionamiento - Gral'!H$1,0)</f>
        <v>5231249885</v>
      </c>
      <c r="G20" s="19">
        <f>VLOOKUP($B20,'[1]Funcionamiento - Gral'!$B$3:$Z$56,'[1]Funcionamiento - Gral'!I$1,0)</f>
        <v>0</v>
      </c>
      <c r="H20" s="19">
        <f>VLOOKUP($B20,'[1]Funcionamiento - Gral'!$B$3:$Z$56,'[1]Funcionamiento - Gral'!J$1,0)</f>
        <v>5231249885</v>
      </c>
      <c r="I20" s="19">
        <f>VLOOKUP($B20,'[1]Funcionamiento - Gral'!$B$3:$Z$56,'[1]Funcionamiento - Gral'!K$1,0)</f>
        <v>5094359118.579999</v>
      </c>
      <c r="J20" s="19">
        <f>VLOOKUP($B20,'[1]Funcionamiento - Gral'!$B$3:$Z$56,'[1]Funcionamiento - Gral'!L$1,0)</f>
        <v>10325609003.579998</v>
      </c>
      <c r="K20" s="19">
        <f>VLOOKUP($B20,'[1]Funcionamiento - Gral'!$B$3:$Z$56,'[1]Funcionamiento - Gral'!M$1,0)</f>
        <v>1046249977</v>
      </c>
      <c r="L20" s="19">
        <f>VLOOKUP($B20,'[1]Funcionamiento - Gral'!$B$3:$Z$56,'[1]Funcionamiento - Gral'!N$1,0)</f>
        <v>9279359026.579998</v>
      </c>
      <c r="M20" s="19">
        <f>VLOOKUP($B20,'[1]Funcionamiento - Gral'!$B$3:$Z$56,'[1]Funcionamiento - Gral'!O$1,0)</f>
        <v>0</v>
      </c>
      <c r="N20" s="19">
        <f>VLOOKUP($B20,'[1]Funcionamiento - Gral'!$B$3:$Z$56,'[1]Funcionamiento - Gral'!P$1,0)</f>
        <v>1735274348.72</v>
      </c>
      <c r="O20" s="19">
        <f>VLOOKUP($B20,'[1]Funcionamiento - Gral'!$B$3:$Z$56,'[1]Funcionamiento - Gral'!Q$1,0)</f>
        <v>1735274348.72</v>
      </c>
      <c r="P20" s="20">
        <f>VLOOKUP($B20,'[1]Funcionamiento - Gral'!$B$3:$Z$56,'[1]Funcionamiento - Gral'!R$1,0)</f>
        <v>0.33171314444291738</v>
      </c>
      <c r="Q20" s="19">
        <f>VLOOKUP($B20,'[1]Funcionamiento - Gral'!$B$3:$Z$56,'[1]Funcionamiento - Gral'!S$1,0)</f>
        <v>6829633467.2999992</v>
      </c>
      <c r="R20" s="19" t="e">
        <f>VLOOKUP($B20,'[1]Funcionamiento - Gral'!$B$3:$Z$56,'[1]Funcionamiento - Gral'!AA$1,0)</f>
        <v>#REF!</v>
      </c>
      <c r="S20" s="19">
        <f>VLOOKUP($B20,'[1]Funcionamiento - Gral'!$B$3:$Z$56,'[1]Funcionamiento - Gral'!T$1,0)</f>
        <v>2549238020.5</v>
      </c>
      <c r="T20" s="19">
        <f>VLOOKUP($B20,'[1]Funcionamiento - Gral'!$B$3:$Z$56,'[1]Funcionamiento - Gral'!U$1,0)</f>
        <v>1768252122</v>
      </c>
      <c r="U20" s="19">
        <f>VLOOKUP($B20,'[1]Funcionamiento - Gral'!$B$3:$Z$56,'[1]Funcionamiento - Gral'!V$1,0)</f>
        <v>6730121006.079998</v>
      </c>
      <c r="V20" s="20">
        <f>VLOOKUP($B20,'[1]Funcionamiento - Gral'!$B$3:$Z$56,'[1]Funcionamiento - Gral'!W$1,0)</f>
        <v>0.27472134801530013</v>
      </c>
      <c r="W20" s="19">
        <f>VLOOKUP($B20,'[1]Funcionamiento - Gral'!$B$3:$Z$56,'[1]Funcionamiento - Gral'!X$1,0)</f>
        <v>5061381345.2999992</v>
      </c>
      <c r="X20" s="19">
        <f>VLOOKUP($B20,'[1]Funcionamiento - Gral'!$B$3:$Z$56,'[1]Funcionamiento - Gral'!Y$1,0)</f>
        <v>7511106904.579998</v>
      </c>
      <c r="Y20" s="19">
        <f>VLOOKUP($B20,'[1]Funcionamiento - Gral'!$B$3:$Z$56,'[1]Funcionamiento - Gral'!Z$1,0)</f>
        <v>6095114859.079998</v>
      </c>
    </row>
    <row r="21" spans="2:25" ht="15" customHeight="1" x14ac:dyDescent="0.25">
      <c r="B21" s="18" t="s">
        <v>46</v>
      </c>
      <c r="C21" s="31" t="s">
        <v>33</v>
      </c>
      <c r="D21" s="18" t="s">
        <v>42</v>
      </c>
      <c r="E21" s="18" t="s">
        <v>47</v>
      </c>
      <c r="F21" s="19">
        <f>VLOOKUP($B21,'[1]Funcionamiento - Gral'!$B$3:$Z$56,'[1]Funcionamiento - Gral'!H$1,0)</f>
        <v>0</v>
      </c>
      <c r="G21" s="19">
        <f>VLOOKUP($B21,'[1]Funcionamiento - Gral'!$B$3:$Z$56,'[1]Funcionamiento - Gral'!I$1,0)</f>
        <v>0</v>
      </c>
      <c r="H21" s="19">
        <f>VLOOKUP($B21,'[1]Funcionamiento - Gral'!$B$3:$Z$56,'[1]Funcionamiento - Gral'!J$1,0)</f>
        <v>0</v>
      </c>
      <c r="I21" s="19">
        <f>VLOOKUP($B21,'[1]Funcionamiento - Gral'!$B$3:$Z$56,'[1]Funcionamiento - Gral'!K$1,0)</f>
        <v>20673522.340000004</v>
      </c>
      <c r="J21" s="19">
        <f>VLOOKUP($B21,'[1]Funcionamiento - Gral'!$B$3:$Z$56,'[1]Funcionamiento - Gral'!L$1,0)</f>
        <v>20673522.340000004</v>
      </c>
      <c r="K21" s="19">
        <f>VLOOKUP($B21,'[1]Funcionamiento - Gral'!$B$3:$Z$56,'[1]Funcionamiento - Gral'!M$1,0)</f>
        <v>0</v>
      </c>
      <c r="L21" s="19">
        <f>VLOOKUP($B21,'[1]Funcionamiento - Gral'!$B$3:$Z$56,'[1]Funcionamiento - Gral'!N$1,0)</f>
        <v>20673522.340000004</v>
      </c>
      <c r="M21" s="19">
        <f>VLOOKUP($B21,'[1]Funcionamiento - Gral'!$B$3:$Z$56,'[1]Funcionamiento - Gral'!O$1,0)</f>
        <v>0</v>
      </c>
      <c r="N21" s="19">
        <f>VLOOKUP($B21,'[1]Funcionamiento - Gral'!$B$3:$Z$56,'[1]Funcionamiento - Gral'!P$1,0)</f>
        <v>0</v>
      </c>
      <c r="O21" s="19">
        <f>VLOOKUP($B21,'[1]Funcionamiento - Gral'!$B$3:$Z$56,'[1]Funcionamiento - Gral'!Q$1,0)</f>
        <v>0</v>
      </c>
      <c r="P21" s="20">
        <f>VLOOKUP($B21,'[1]Funcionamiento - Gral'!$B$3:$Z$56,'[1]Funcionamiento - Gral'!R$1,0)</f>
        <v>0</v>
      </c>
      <c r="Q21" s="19">
        <f>VLOOKUP($B21,'[1]Funcionamiento - Gral'!$B$3:$Z$56,'[1]Funcionamiento - Gral'!S$1,0)</f>
        <v>20673522.340000004</v>
      </c>
      <c r="R21" s="19" t="e">
        <f>VLOOKUP($B21,'[1]Funcionamiento - Gral'!$B$3:$Z$56,'[1]Funcionamiento - Gral'!AA$1,0)</f>
        <v>#REF!</v>
      </c>
      <c r="S21" s="19">
        <f>VLOOKUP($B21,'[1]Funcionamiento - Gral'!$B$3:$Z$56,'[1]Funcionamiento - Gral'!T$1,0)</f>
        <v>10000000</v>
      </c>
      <c r="T21" s="19">
        <f>VLOOKUP($B21,'[1]Funcionamiento - Gral'!$B$3:$Z$56,'[1]Funcionamiento - Gral'!U$1,0)</f>
        <v>0</v>
      </c>
      <c r="U21" s="19">
        <f>VLOOKUP($B21,'[1]Funcionamiento - Gral'!$B$3:$Z$56,'[1]Funcionamiento - Gral'!V$1,0)</f>
        <v>10673522.340000004</v>
      </c>
      <c r="V21" s="20">
        <f>VLOOKUP($B21,'[1]Funcionamiento - Gral'!$B$3:$Z$56,'[1]Funcionamiento - Gral'!W$1,0)</f>
        <v>0.48371050832743573</v>
      </c>
      <c r="W21" s="19">
        <f>VLOOKUP($B21,'[1]Funcionamiento - Gral'!$B$3:$Z$56,'[1]Funcionamiento - Gral'!X$1,0)</f>
        <v>20673522.340000004</v>
      </c>
      <c r="X21" s="19">
        <f>VLOOKUP($B21,'[1]Funcionamiento - Gral'!$B$3:$Z$56,'[1]Funcionamiento - Gral'!Y$1,0)</f>
        <v>20673522.340000004</v>
      </c>
      <c r="Y21" s="19">
        <f>VLOOKUP($B21,'[1]Funcionamiento - Gral'!$B$3:$Z$56,'[1]Funcionamiento - Gral'!Z$1,0)</f>
        <v>10673522.340000004</v>
      </c>
    </row>
    <row r="22" spans="2:25" ht="15" customHeight="1" x14ac:dyDescent="0.25">
      <c r="B22" s="18" t="s">
        <v>48</v>
      </c>
      <c r="C22" s="31" t="s">
        <v>33</v>
      </c>
      <c r="D22" s="18" t="s">
        <v>42</v>
      </c>
      <c r="E22" s="18" t="s">
        <v>49</v>
      </c>
      <c r="F22" s="19">
        <f>VLOOKUP($B22,'[1]Funcionamiento - Gral'!$B$3:$Z$56,'[1]Funcionamiento - Gral'!H$1,0)</f>
        <v>0</v>
      </c>
      <c r="G22" s="19">
        <f>VLOOKUP($B22,'[1]Funcionamiento - Gral'!$B$3:$Z$56,'[1]Funcionamiento - Gral'!I$1,0)</f>
        <v>0</v>
      </c>
      <c r="H22" s="19">
        <f>VLOOKUP($B22,'[1]Funcionamiento - Gral'!$B$3:$Z$56,'[1]Funcionamiento - Gral'!J$1,0)</f>
        <v>0</v>
      </c>
      <c r="I22" s="19">
        <f>VLOOKUP($B22,'[1]Funcionamiento - Gral'!$B$3:$Z$56,'[1]Funcionamiento - Gral'!K$1,0)</f>
        <v>190385069.36000001</v>
      </c>
      <c r="J22" s="19">
        <f>VLOOKUP($B22,'[1]Funcionamiento - Gral'!$B$3:$Z$56,'[1]Funcionamiento - Gral'!L$1,0)</f>
        <v>190385069.36000001</v>
      </c>
      <c r="K22" s="19">
        <f>VLOOKUP($B22,'[1]Funcionamiento - Gral'!$B$3:$Z$56,'[1]Funcionamiento - Gral'!M$1,0)</f>
        <v>0</v>
      </c>
      <c r="L22" s="19">
        <f>VLOOKUP($B22,'[1]Funcionamiento - Gral'!$B$3:$Z$56,'[1]Funcionamiento - Gral'!N$1,0)</f>
        <v>190385069.36000001</v>
      </c>
      <c r="M22" s="19">
        <f>VLOOKUP($B22,'[1]Funcionamiento - Gral'!$B$3:$Z$56,'[1]Funcionamiento - Gral'!O$1,0)</f>
        <v>0</v>
      </c>
      <c r="N22" s="19">
        <f>VLOOKUP($B22,'[1]Funcionamiento - Gral'!$B$3:$Z$56,'[1]Funcionamiento - Gral'!P$1,0)</f>
        <v>0</v>
      </c>
      <c r="O22" s="19">
        <f>VLOOKUP($B22,'[1]Funcionamiento - Gral'!$B$3:$Z$56,'[1]Funcionamiento - Gral'!Q$1,0)</f>
        <v>0</v>
      </c>
      <c r="P22" s="20">
        <f>VLOOKUP($B22,'[1]Funcionamiento - Gral'!$B$3:$Z$56,'[1]Funcionamiento - Gral'!R$1,0)</f>
        <v>0</v>
      </c>
      <c r="Q22" s="19">
        <f>VLOOKUP($B22,'[1]Funcionamiento - Gral'!$B$3:$Z$56,'[1]Funcionamiento - Gral'!S$1,0)</f>
        <v>190385069.36000001</v>
      </c>
      <c r="R22" s="19" t="e">
        <f>VLOOKUP($B22,'[1]Funcionamiento - Gral'!$B$3:$Z$56,'[1]Funcionamiento - Gral'!AA$1,0)</f>
        <v>#REF!</v>
      </c>
      <c r="S22" s="19">
        <f>VLOOKUP($B22,'[1]Funcionamiento - Gral'!$B$3:$Z$56,'[1]Funcionamiento - Gral'!T$1,0)</f>
        <v>0</v>
      </c>
      <c r="T22" s="19">
        <f>VLOOKUP($B22,'[1]Funcionamiento - Gral'!$B$3:$Z$56,'[1]Funcionamiento - Gral'!U$1,0)</f>
        <v>0</v>
      </c>
      <c r="U22" s="19">
        <f>VLOOKUP($B22,'[1]Funcionamiento - Gral'!$B$3:$Z$56,'[1]Funcionamiento - Gral'!V$1,0)</f>
        <v>190385069.36000001</v>
      </c>
      <c r="V22" s="20">
        <f>VLOOKUP($B22,'[1]Funcionamiento - Gral'!$B$3:$Z$56,'[1]Funcionamiento - Gral'!W$1,0)</f>
        <v>0</v>
      </c>
      <c r="W22" s="19">
        <f>VLOOKUP($B22,'[1]Funcionamiento - Gral'!$B$3:$Z$56,'[1]Funcionamiento - Gral'!X$1,0)</f>
        <v>190385069.36000001</v>
      </c>
      <c r="X22" s="19">
        <f>VLOOKUP($B22,'[1]Funcionamiento - Gral'!$B$3:$Z$56,'[1]Funcionamiento - Gral'!Y$1,0)</f>
        <v>190385069.36000001</v>
      </c>
      <c r="Y22" s="19">
        <f>VLOOKUP($B22,'[1]Funcionamiento - Gral'!$B$3:$Z$56,'[1]Funcionamiento - Gral'!Z$1,0)</f>
        <v>190385069.36000001</v>
      </c>
    </row>
    <row r="23" spans="2:25" ht="15" customHeight="1" x14ac:dyDescent="0.25">
      <c r="B23" s="18" t="s">
        <v>50</v>
      </c>
      <c r="C23" s="31" t="s">
        <v>33</v>
      </c>
      <c r="D23" s="18" t="s">
        <v>42</v>
      </c>
      <c r="E23" s="18" t="s">
        <v>51</v>
      </c>
      <c r="F23" s="19">
        <f>VLOOKUP($B23,'[1]Funcionamiento - Gral'!$B$3:$Z$56,'[1]Funcionamiento - Gral'!H$1,0)</f>
        <v>0</v>
      </c>
      <c r="G23" s="19">
        <f>VLOOKUP($B23,'[1]Funcionamiento - Gral'!$B$3:$Z$56,'[1]Funcionamiento - Gral'!I$1,0)</f>
        <v>0</v>
      </c>
      <c r="H23" s="19">
        <f>VLOOKUP($B23,'[1]Funcionamiento - Gral'!$B$3:$Z$56,'[1]Funcionamiento - Gral'!J$1,0)</f>
        <v>0</v>
      </c>
      <c r="I23" s="19">
        <f>VLOOKUP($B23,'[1]Funcionamiento - Gral'!$B$3:$Z$56,'[1]Funcionamiento - Gral'!K$1,0)</f>
        <v>31137040.270000003</v>
      </c>
      <c r="J23" s="19">
        <f>VLOOKUP($B23,'[1]Funcionamiento - Gral'!$B$3:$Z$56,'[1]Funcionamiento - Gral'!L$1,0)</f>
        <v>31137040.270000003</v>
      </c>
      <c r="K23" s="19">
        <f>VLOOKUP($B23,'[1]Funcionamiento - Gral'!$B$3:$Z$56,'[1]Funcionamiento - Gral'!M$1,0)</f>
        <v>0</v>
      </c>
      <c r="L23" s="19">
        <f>VLOOKUP($B23,'[1]Funcionamiento - Gral'!$B$3:$Z$56,'[1]Funcionamiento - Gral'!N$1,0)</f>
        <v>31137040.270000003</v>
      </c>
      <c r="M23" s="19">
        <f>VLOOKUP($B23,'[1]Funcionamiento - Gral'!$B$3:$Z$56,'[1]Funcionamiento - Gral'!O$1,0)</f>
        <v>0</v>
      </c>
      <c r="N23" s="19">
        <f>VLOOKUP($B23,'[1]Funcionamiento - Gral'!$B$3:$Z$56,'[1]Funcionamiento - Gral'!P$1,0)</f>
        <v>0</v>
      </c>
      <c r="O23" s="19">
        <f>VLOOKUP($B23,'[1]Funcionamiento - Gral'!$B$3:$Z$56,'[1]Funcionamiento - Gral'!Q$1,0)</f>
        <v>0</v>
      </c>
      <c r="P23" s="20">
        <f>VLOOKUP($B23,'[1]Funcionamiento - Gral'!$B$3:$Z$56,'[1]Funcionamiento - Gral'!R$1,0)</f>
        <v>0</v>
      </c>
      <c r="Q23" s="19">
        <f>VLOOKUP($B23,'[1]Funcionamiento - Gral'!$B$3:$Z$56,'[1]Funcionamiento - Gral'!S$1,0)</f>
        <v>31137040.270000003</v>
      </c>
      <c r="R23" s="19" t="e">
        <f>VLOOKUP($B23,'[1]Funcionamiento - Gral'!$B$3:$Z$56,'[1]Funcionamiento - Gral'!AA$1,0)</f>
        <v>#REF!</v>
      </c>
      <c r="S23" s="19">
        <f>VLOOKUP($B23,'[1]Funcionamiento - Gral'!$B$3:$Z$56,'[1]Funcionamiento - Gral'!T$1,0)</f>
        <v>0</v>
      </c>
      <c r="T23" s="19">
        <f>VLOOKUP($B23,'[1]Funcionamiento - Gral'!$B$3:$Z$56,'[1]Funcionamiento - Gral'!U$1,0)</f>
        <v>0</v>
      </c>
      <c r="U23" s="19">
        <f>VLOOKUP($B23,'[1]Funcionamiento - Gral'!$B$3:$Z$56,'[1]Funcionamiento - Gral'!V$1,0)</f>
        <v>31137040.270000003</v>
      </c>
      <c r="V23" s="20">
        <f>VLOOKUP($B23,'[1]Funcionamiento - Gral'!$B$3:$Z$56,'[1]Funcionamiento - Gral'!W$1,0)</f>
        <v>0</v>
      </c>
      <c r="W23" s="19">
        <f>VLOOKUP($B23,'[1]Funcionamiento - Gral'!$B$3:$Z$56,'[1]Funcionamiento - Gral'!X$1,0)</f>
        <v>31137040.270000003</v>
      </c>
      <c r="X23" s="19">
        <f>VLOOKUP($B23,'[1]Funcionamiento - Gral'!$B$3:$Z$56,'[1]Funcionamiento - Gral'!Y$1,0)</f>
        <v>31137040.270000003</v>
      </c>
      <c r="Y23" s="19">
        <f>VLOOKUP($B23,'[1]Funcionamiento - Gral'!$B$3:$Z$56,'[1]Funcionamiento - Gral'!Z$1,0)</f>
        <v>31137040.270000003</v>
      </c>
    </row>
    <row r="24" spans="2:25" ht="15" customHeight="1" x14ac:dyDescent="0.25">
      <c r="B24" s="18" t="s">
        <v>52</v>
      </c>
      <c r="C24" s="31" t="s">
        <v>33</v>
      </c>
      <c r="D24" s="18" t="s">
        <v>37</v>
      </c>
      <c r="E24" s="18" t="s">
        <v>53</v>
      </c>
      <c r="F24" s="19">
        <f>VLOOKUP($B24,'[1]Funcionamiento - Gral'!$B$3:$Z$56,'[1]Funcionamiento - Gral'!H$1,0)</f>
        <v>23990499481</v>
      </c>
      <c r="G24" s="19">
        <f>VLOOKUP($B24,'[1]Funcionamiento - Gral'!$B$3:$Z$56,'[1]Funcionamiento - Gral'!I$1,0)</f>
        <v>0</v>
      </c>
      <c r="H24" s="19">
        <f>VLOOKUP($B24,'[1]Funcionamiento - Gral'!$B$3:$Z$56,'[1]Funcionamiento - Gral'!J$1,0)</f>
        <v>23990499481</v>
      </c>
      <c r="I24" s="19">
        <f>VLOOKUP($B24,'[1]Funcionamiento - Gral'!$B$3:$Z$56,'[1]Funcionamiento - Gral'!K$1,0)</f>
        <v>12648932088.400002</v>
      </c>
      <c r="J24" s="19">
        <f>VLOOKUP($B24,'[1]Funcionamiento - Gral'!$B$3:$Z$56,'[1]Funcionamiento - Gral'!L$1,0)</f>
        <v>36639431569.400002</v>
      </c>
      <c r="K24" s="19">
        <f>VLOOKUP($B24,'[1]Funcionamiento - Gral'!$B$3:$Z$56,'[1]Funcionamiento - Gral'!M$1,0)</f>
        <v>4798099896</v>
      </c>
      <c r="L24" s="19">
        <f>VLOOKUP($B24,'[1]Funcionamiento - Gral'!$B$3:$Z$56,'[1]Funcionamiento - Gral'!N$1,0)</f>
        <v>31841331673.400002</v>
      </c>
      <c r="M24" s="19">
        <f>VLOOKUP($B24,'[1]Funcionamiento - Gral'!$B$3:$Z$56,'[1]Funcionamiento - Gral'!O$1,0)</f>
        <v>0</v>
      </c>
      <c r="N24" s="19">
        <f>VLOOKUP($B24,'[1]Funcionamiento - Gral'!$B$3:$Z$56,'[1]Funcionamiento - Gral'!P$1,0)</f>
        <v>7957964019.6300001</v>
      </c>
      <c r="O24" s="19">
        <f>VLOOKUP($B24,'[1]Funcionamiento - Gral'!$B$3:$Z$56,'[1]Funcionamiento - Gral'!Q$1,0)</f>
        <v>7957964019.6300001</v>
      </c>
      <c r="P24" s="20">
        <f>VLOOKUP($B24,'[1]Funcionamiento - Gral'!$B$3:$Z$56,'[1]Funcionamiento - Gral'!R$1,0)</f>
        <v>0.33171314444422262</v>
      </c>
      <c r="Q24" s="19">
        <f>VLOOKUP($B24,'[1]Funcionamiento - Gral'!$B$3:$Z$56,'[1]Funcionamiento - Gral'!S$1,0)</f>
        <v>20606896108.030003</v>
      </c>
      <c r="R24" s="19" t="e">
        <f>VLOOKUP($B24,'[1]Funcionamiento - Gral'!$B$3:$Z$56,'[1]Funcionamiento - Gral'!AA$1,0)</f>
        <v>#REF!</v>
      </c>
      <c r="S24" s="19">
        <f>VLOOKUP($B24,'[1]Funcionamiento - Gral'!$B$3:$Z$56,'[1]Funcionamiento - Gral'!T$1,0)</f>
        <v>8975620634.2999992</v>
      </c>
      <c r="T24" s="19">
        <f>VLOOKUP($B24,'[1]Funcionamiento - Gral'!$B$3:$Z$56,'[1]Funcionamiento - Gral'!U$1,0)</f>
        <v>7329732641.1100006</v>
      </c>
      <c r="U24" s="19">
        <f>VLOOKUP($B24,'[1]Funcionamiento - Gral'!$B$3:$Z$56,'[1]Funcionamiento - Gral'!V$1,0)</f>
        <v>22865711039.100002</v>
      </c>
      <c r="V24" s="20">
        <f>VLOOKUP($B24,'[1]Funcionamiento - Gral'!$B$3:$Z$56,'[1]Funcionamiento - Gral'!W$1,0)</f>
        <v>0.28188584341772871</v>
      </c>
      <c r="W24" s="19">
        <f>VLOOKUP($B24,'[1]Funcionamiento - Gral'!$B$3:$Z$56,'[1]Funcionamiento - Gral'!X$1,0)</f>
        <v>13277163466.920002</v>
      </c>
      <c r="X24" s="19">
        <f>VLOOKUP($B24,'[1]Funcionamiento - Gral'!$B$3:$Z$56,'[1]Funcionamiento - Gral'!Y$1,0)</f>
        <v>24511599032.290001</v>
      </c>
      <c r="Y24" s="19">
        <f>VLOOKUP($B24,'[1]Funcionamiento - Gral'!$B$3:$Z$56,'[1]Funcionamiento - Gral'!Z$1,0)</f>
        <v>7590786345.7400055</v>
      </c>
    </row>
    <row r="25" spans="2:25" ht="15" customHeight="1" x14ac:dyDescent="0.25">
      <c r="B25" s="18" t="s">
        <v>54</v>
      </c>
      <c r="C25" s="31" t="s">
        <v>33</v>
      </c>
      <c r="D25" s="18" t="s">
        <v>37</v>
      </c>
      <c r="E25" s="18" t="s">
        <v>55</v>
      </c>
      <c r="F25" s="19">
        <f>VLOOKUP($B25,'[1]Funcionamiento - Gral'!$B$3:$Z$56,'[1]Funcionamiento - Gral'!H$1,0)</f>
        <v>20682305928</v>
      </c>
      <c r="G25" s="19">
        <f>VLOOKUP($B25,'[1]Funcionamiento - Gral'!$B$3:$Z$56,'[1]Funcionamiento - Gral'!I$1,0)</f>
        <v>0</v>
      </c>
      <c r="H25" s="19">
        <f>VLOOKUP($B25,'[1]Funcionamiento - Gral'!$B$3:$Z$56,'[1]Funcionamiento - Gral'!J$1,0)</f>
        <v>20682305928</v>
      </c>
      <c r="I25" s="19">
        <f>VLOOKUP($B25,'[1]Funcionamiento - Gral'!$B$3:$Z$56,'[1]Funcionamiento - Gral'!K$1,0)</f>
        <v>8053198162.7900009</v>
      </c>
      <c r="J25" s="19">
        <f>VLOOKUP($B25,'[1]Funcionamiento - Gral'!$B$3:$Z$56,'[1]Funcionamiento - Gral'!L$1,0)</f>
        <v>28735504090.790001</v>
      </c>
      <c r="K25" s="19">
        <f>VLOOKUP($B25,'[1]Funcionamiento - Gral'!$B$3:$Z$56,'[1]Funcionamiento - Gral'!M$1,0)</f>
        <v>4136461186</v>
      </c>
      <c r="L25" s="19">
        <f>VLOOKUP($B25,'[1]Funcionamiento - Gral'!$B$3:$Z$56,'[1]Funcionamiento - Gral'!N$1,0)</f>
        <v>24599042904.790001</v>
      </c>
      <c r="M25" s="19">
        <f>VLOOKUP($B25,'[1]Funcionamiento - Gral'!$B$3:$Z$56,'[1]Funcionamiento - Gral'!O$1,0)</f>
        <v>0</v>
      </c>
      <c r="N25" s="19">
        <f>VLOOKUP($B25,'[1]Funcionamiento - Gral'!$B$3:$Z$56,'[1]Funcionamiento - Gral'!P$1,0)</f>
        <v>6860592733.7400007</v>
      </c>
      <c r="O25" s="19">
        <f>VLOOKUP($B25,'[1]Funcionamiento - Gral'!$B$3:$Z$56,'[1]Funcionamiento - Gral'!Q$1,0)</f>
        <v>6860592733.7400007</v>
      </c>
      <c r="P25" s="20">
        <f>VLOOKUP($B25,'[1]Funcionamiento - Gral'!$B$3:$Z$56,'[1]Funcionamiento - Gral'!R$1,0)</f>
        <v>0.3317131444444999</v>
      </c>
      <c r="Q25" s="19">
        <f>VLOOKUP($B25,'[1]Funcionamiento - Gral'!$B$3:$Z$56,'[1]Funcionamiento - Gral'!S$1,0)</f>
        <v>14913790896.530003</v>
      </c>
      <c r="R25" s="19" t="e">
        <f>VLOOKUP($B25,'[1]Funcionamiento - Gral'!$B$3:$Z$56,'[1]Funcionamiento - Gral'!AA$1,0)</f>
        <v>#REF!</v>
      </c>
      <c r="S25" s="19">
        <f>VLOOKUP($B25,'[1]Funcionamiento - Gral'!$B$3:$Z$56,'[1]Funcionamiento - Gral'!T$1,0)</f>
        <v>9603175349.6499996</v>
      </c>
      <c r="T25" s="19">
        <f>VLOOKUP($B25,'[1]Funcionamiento - Gral'!$B$3:$Z$56,'[1]Funcionamiento - Gral'!U$1,0)</f>
        <v>5972666249.1599998</v>
      </c>
      <c r="U25" s="19">
        <f>VLOOKUP($B25,'[1]Funcionamiento - Gral'!$B$3:$Z$56,'[1]Funcionamiento - Gral'!V$1,0)</f>
        <v>14995867555.140001</v>
      </c>
      <c r="V25" s="20">
        <f>VLOOKUP($B25,'[1]Funcionamiento - Gral'!$B$3:$Z$56,'[1]Funcionamiento - Gral'!W$1,0)</f>
        <v>0.3903881702560078</v>
      </c>
      <c r="W25" s="19">
        <f>VLOOKUP($B25,'[1]Funcionamiento - Gral'!$B$3:$Z$56,'[1]Funcionamiento - Gral'!X$1,0)</f>
        <v>8941124647.3700027</v>
      </c>
      <c r="X25" s="19">
        <f>VLOOKUP($B25,'[1]Funcionamiento - Gral'!$B$3:$Z$56,'[1]Funcionamiento - Gral'!Y$1,0)</f>
        <v>18626376655.630001</v>
      </c>
      <c r="Y25" s="19">
        <f>VLOOKUP($B25,'[1]Funcionamiento - Gral'!$B$3:$Z$56,'[1]Funcionamiento - Gral'!Z$1,0)</f>
        <v>6108031238.4600029</v>
      </c>
    </row>
    <row r="26" spans="2:25" ht="15" customHeight="1" x14ac:dyDescent="0.25">
      <c r="B26" s="18" t="s">
        <v>56</v>
      </c>
      <c r="C26" s="31" t="s">
        <v>33</v>
      </c>
      <c r="D26" s="18" t="s">
        <v>57</v>
      </c>
      <c r="E26" s="18" t="s">
        <v>58</v>
      </c>
      <c r="F26" s="19">
        <f>VLOOKUP($B26,'[1]Funcionamiento - Gral'!$B$3:$Z$56,'[1]Funcionamiento - Gral'!H$1,0)</f>
        <v>1891360390</v>
      </c>
      <c r="G26" s="19">
        <f>VLOOKUP($B26,'[1]Funcionamiento - Gral'!$B$3:$Z$56,'[1]Funcionamiento - Gral'!I$1,0)</f>
        <v>0</v>
      </c>
      <c r="H26" s="19">
        <f>VLOOKUP($B26,'[1]Funcionamiento - Gral'!$B$3:$Z$56,'[1]Funcionamiento - Gral'!J$1,0)</f>
        <v>1891360390</v>
      </c>
      <c r="I26" s="19">
        <f>VLOOKUP($B26,'[1]Funcionamiento - Gral'!$B$3:$Z$56,'[1]Funcionamiento - Gral'!K$1,0)</f>
        <v>848739610.15999985</v>
      </c>
      <c r="J26" s="19">
        <f>VLOOKUP($B26,'[1]Funcionamiento - Gral'!$B$3:$Z$56,'[1]Funcionamiento - Gral'!L$1,0)</f>
        <v>2740100000.1599998</v>
      </c>
      <c r="K26" s="19">
        <f>VLOOKUP($B26,'[1]Funcionamiento - Gral'!$B$3:$Z$56,'[1]Funcionamiento - Gral'!M$1,0)</f>
        <v>378272078</v>
      </c>
      <c r="L26" s="19">
        <f>VLOOKUP($B26,'[1]Funcionamiento - Gral'!$B$3:$Z$56,'[1]Funcionamiento - Gral'!N$1,0)</f>
        <v>2361827922.1599998</v>
      </c>
      <c r="M26" s="19">
        <f>VLOOKUP($B26,'[1]Funcionamiento - Gral'!$B$3:$Z$56,'[1]Funcionamiento - Gral'!O$1,0)</f>
        <v>0</v>
      </c>
      <c r="N26" s="19">
        <f>VLOOKUP($B26,'[1]Funcionamiento - Gral'!$B$3:$Z$56,'[1]Funcionamiento - Gral'!P$1,0)</f>
        <v>627389102.24000001</v>
      </c>
      <c r="O26" s="19">
        <f>VLOOKUP($B26,'[1]Funcionamiento - Gral'!$B$3:$Z$56,'[1]Funcionamiento - Gral'!Q$1,0)</f>
        <v>627389102.24000001</v>
      </c>
      <c r="P26" s="20">
        <f>VLOOKUP($B26,'[1]Funcionamiento - Gral'!$B$3:$Z$56,'[1]Funcionamiento - Gral'!R$1,0)</f>
        <v>0.33171314444202776</v>
      </c>
      <c r="Q26" s="19">
        <f>VLOOKUP($B26,'[1]Funcionamiento - Gral'!$B$3:$Z$56,'[1]Funcionamiento - Gral'!S$1,0)</f>
        <v>1476128712.3999999</v>
      </c>
      <c r="R26" s="19" t="e">
        <f>VLOOKUP($B26,'[1]Funcionamiento - Gral'!$B$3:$Z$56,'[1]Funcionamiento - Gral'!AA$1,0)</f>
        <v>#REF!</v>
      </c>
      <c r="S26" s="19">
        <f>VLOOKUP($B26,'[1]Funcionamiento - Gral'!$B$3:$Z$56,'[1]Funcionamiento - Gral'!T$1,0)</f>
        <v>1167369031</v>
      </c>
      <c r="T26" s="19">
        <f>VLOOKUP($B26,'[1]Funcionamiento - Gral'!$B$3:$Z$56,'[1]Funcionamiento - Gral'!U$1,0)</f>
        <v>690623472</v>
      </c>
      <c r="U26" s="19">
        <f>VLOOKUP($B26,'[1]Funcionamiento - Gral'!$B$3:$Z$56,'[1]Funcionamiento - Gral'!V$1,0)</f>
        <v>1194458891.1599998</v>
      </c>
      <c r="V26" s="20">
        <f>VLOOKUP($B26,'[1]Funcionamiento - Gral'!$B$3:$Z$56,'[1]Funcionamiento - Gral'!W$1,0)</f>
        <v>0.49426506480302235</v>
      </c>
      <c r="W26" s="19">
        <f>VLOOKUP($B26,'[1]Funcionamiento - Gral'!$B$3:$Z$56,'[1]Funcionamiento - Gral'!X$1,0)</f>
        <v>785505240.39999986</v>
      </c>
      <c r="X26" s="19">
        <f>VLOOKUP($B26,'[1]Funcionamiento - Gral'!$B$3:$Z$56,'[1]Funcionamiento - Gral'!Y$1,0)</f>
        <v>1671204450.1599998</v>
      </c>
      <c r="Y26" s="19">
        <f>VLOOKUP($B26,'[1]Funcionamiento - Gral'!$B$3:$Z$56,'[1]Funcionamiento - Gral'!Z$1,0)</f>
        <v>905464589.15999985</v>
      </c>
    </row>
    <row r="27" spans="2:25" ht="15" customHeight="1" x14ac:dyDescent="0.25">
      <c r="B27" s="18" t="s">
        <v>59</v>
      </c>
      <c r="C27" s="31" t="s">
        <v>33</v>
      </c>
      <c r="D27" s="18" t="s">
        <v>57</v>
      </c>
      <c r="E27" s="18" t="s">
        <v>60</v>
      </c>
      <c r="F27" s="19">
        <f>VLOOKUP($B27,'[1]Funcionamiento - Gral'!$B$3:$Z$56,'[1]Funcionamiento - Gral'!H$1,0)</f>
        <v>1458254308</v>
      </c>
      <c r="G27" s="19">
        <f>VLOOKUP($B27,'[1]Funcionamiento - Gral'!$B$3:$Z$56,'[1]Funcionamiento - Gral'!I$1,0)</f>
        <v>0</v>
      </c>
      <c r="H27" s="19">
        <f>VLOOKUP($B27,'[1]Funcionamiento - Gral'!$B$3:$Z$56,'[1]Funcionamiento - Gral'!J$1,0)</f>
        <v>1458254308</v>
      </c>
      <c r="I27" s="19">
        <f>VLOOKUP($B27,'[1]Funcionamiento - Gral'!$B$3:$Z$56,'[1]Funcionamiento - Gral'!K$1,0)</f>
        <v>564812291.03999996</v>
      </c>
      <c r="J27" s="19">
        <f>VLOOKUP($B27,'[1]Funcionamiento - Gral'!$B$3:$Z$56,'[1]Funcionamiento - Gral'!L$1,0)</f>
        <v>2023066599.04</v>
      </c>
      <c r="K27" s="19">
        <f>VLOOKUP($B27,'[1]Funcionamiento - Gral'!$B$3:$Z$56,'[1]Funcionamiento - Gral'!M$1,0)</f>
        <v>291650862</v>
      </c>
      <c r="L27" s="19">
        <f>VLOOKUP($B27,'[1]Funcionamiento - Gral'!$B$3:$Z$56,'[1]Funcionamiento - Gral'!N$1,0)</f>
        <v>1731415737.04</v>
      </c>
      <c r="M27" s="19">
        <f>VLOOKUP($B27,'[1]Funcionamiento - Gral'!$B$3:$Z$56,'[1]Funcionamiento - Gral'!O$1,0)</f>
        <v>0</v>
      </c>
      <c r="N27" s="19">
        <f>VLOOKUP($B27,'[1]Funcionamiento - Gral'!$B$3:$Z$56,'[1]Funcionamiento - Gral'!P$1,0)</f>
        <v>483722121.89999998</v>
      </c>
      <c r="O27" s="19">
        <f>VLOOKUP($B27,'[1]Funcionamiento - Gral'!$B$3:$Z$56,'[1]Funcionamiento - Gral'!Q$1,0)</f>
        <v>483722121.89999998</v>
      </c>
      <c r="P27" s="20">
        <f>VLOOKUP($B27,'[1]Funcionamiento - Gral'!$B$3:$Z$56,'[1]Funcionamiento - Gral'!R$1,0)</f>
        <v>0.33171314444009858</v>
      </c>
      <c r="Q27" s="19">
        <f>VLOOKUP($B27,'[1]Funcionamiento - Gral'!$B$3:$Z$56,'[1]Funcionamiento - Gral'!S$1,0)</f>
        <v>1048534412.9399999</v>
      </c>
      <c r="R27" s="19" t="e">
        <f>VLOOKUP($B27,'[1]Funcionamiento - Gral'!$B$3:$Z$56,'[1]Funcionamiento - Gral'!AA$1,0)</f>
        <v>#REF!</v>
      </c>
      <c r="S27" s="19">
        <f>VLOOKUP($B27,'[1]Funcionamiento - Gral'!$B$3:$Z$56,'[1]Funcionamiento - Gral'!T$1,0)</f>
        <v>755629217.70000005</v>
      </c>
      <c r="T27" s="19">
        <f>VLOOKUP($B27,'[1]Funcionamiento - Gral'!$B$3:$Z$56,'[1]Funcionamiento - Gral'!U$1,0)</f>
        <v>512522596</v>
      </c>
      <c r="U27" s="19">
        <f>VLOOKUP($B27,'[1]Funcionamiento - Gral'!$B$3:$Z$56,'[1]Funcionamiento - Gral'!V$1,0)</f>
        <v>975786519.33999991</v>
      </c>
      <c r="V27" s="20">
        <f>VLOOKUP($B27,'[1]Funcionamiento - Gral'!$B$3:$Z$56,'[1]Funcionamiento - Gral'!W$1,0)</f>
        <v>0.4364227502008336</v>
      </c>
      <c r="W27" s="19">
        <f>VLOOKUP($B27,'[1]Funcionamiento - Gral'!$B$3:$Z$56,'[1]Funcionamiento - Gral'!X$1,0)</f>
        <v>536011816.93999994</v>
      </c>
      <c r="X27" s="19">
        <f>VLOOKUP($B27,'[1]Funcionamiento - Gral'!$B$3:$Z$56,'[1]Funcionamiento - Gral'!Y$1,0)</f>
        <v>1218893141.04</v>
      </c>
      <c r="Y27" s="19">
        <f>VLOOKUP($B27,'[1]Funcionamiento - Gral'!$B$3:$Z$56,'[1]Funcionamiento - Gral'!Z$1,0)</f>
        <v>932059316.33999991</v>
      </c>
    </row>
    <row r="28" spans="2:25" ht="15" customHeight="1" x14ac:dyDescent="0.25">
      <c r="B28" s="18" t="s">
        <v>61</v>
      </c>
      <c r="C28" s="31" t="s">
        <v>33</v>
      </c>
      <c r="D28" s="18" t="s">
        <v>57</v>
      </c>
      <c r="E28" s="18" t="s">
        <v>62</v>
      </c>
      <c r="F28" s="19">
        <f>VLOOKUP($B28,'[1]Funcionamiento - Gral'!$B$3:$Z$56,'[1]Funcionamiento - Gral'!H$1,0)</f>
        <v>2085355137</v>
      </c>
      <c r="G28" s="19">
        <f>VLOOKUP($B28,'[1]Funcionamiento - Gral'!$B$3:$Z$56,'[1]Funcionamiento - Gral'!I$1,0)</f>
        <v>0</v>
      </c>
      <c r="H28" s="19">
        <f>VLOOKUP($B28,'[1]Funcionamiento - Gral'!$B$3:$Z$56,'[1]Funcionamiento - Gral'!J$1,0)</f>
        <v>2085355137</v>
      </c>
      <c r="I28" s="19">
        <f>VLOOKUP($B28,'[1]Funcionamiento - Gral'!$B$3:$Z$56,'[1]Funcionamiento - Gral'!K$1,0)</f>
        <v>1504324767.0900002</v>
      </c>
      <c r="J28" s="19">
        <f>VLOOKUP($B28,'[1]Funcionamiento - Gral'!$B$3:$Z$56,'[1]Funcionamiento - Gral'!L$1,0)</f>
        <v>3589679904.0900002</v>
      </c>
      <c r="K28" s="19">
        <f>VLOOKUP($B28,'[1]Funcionamiento - Gral'!$B$3:$Z$56,'[1]Funcionamiento - Gral'!M$1,0)</f>
        <v>417071027</v>
      </c>
      <c r="L28" s="19">
        <f>VLOOKUP($B28,'[1]Funcionamiento - Gral'!$B$3:$Z$56,'[1]Funcionamiento - Gral'!N$1,0)</f>
        <v>3172608877.0900002</v>
      </c>
      <c r="M28" s="19">
        <f>VLOOKUP($B28,'[1]Funcionamiento - Gral'!$B$3:$Z$56,'[1]Funcionamiento - Gral'!O$1,0)</f>
        <v>0</v>
      </c>
      <c r="N28" s="19">
        <f>VLOOKUP($B28,'[1]Funcionamiento - Gral'!$B$3:$Z$56,'[1]Funcionamiento - Gral'!P$1,0)</f>
        <v>691739709.77999997</v>
      </c>
      <c r="O28" s="19">
        <f>VLOOKUP($B28,'[1]Funcionamiento - Gral'!$B$3:$Z$56,'[1]Funcionamiento - Gral'!Q$1,0)</f>
        <v>691739709.77999997</v>
      </c>
      <c r="P28" s="20">
        <f>VLOOKUP($B28,'[1]Funcionamiento - Gral'!$B$3:$Z$56,'[1]Funcionamiento - Gral'!R$1,0)</f>
        <v>0.33171314444557365</v>
      </c>
      <c r="Q28" s="19">
        <f>VLOOKUP($B28,'[1]Funcionamiento - Gral'!$B$3:$Z$56,'[1]Funcionamiento - Gral'!S$1,0)</f>
        <v>2196064476.8699999</v>
      </c>
      <c r="R28" s="19" t="e">
        <f>VLOOKUP($B28,'[1]Funcionamiento - Gral'!$B$3:$Z$56,'[1]Funcionamiento - Gral'!AA$1,0)</f>
        <v>#REF!</v>
      </c>
      <c r="S28" s="19">
        <f>VLOOKUP($B28,'[1]Funcionamiento - Gral'!$B$3:$Z$56,'[1]Funcionamiento - Gral'!T$1,0)</f>
        <v>2794116248</v>
      </c>
      <c r="T28" s="19">
        <f>VLOOKUP($B28,'[1]Funcionamiento - Gral'!$B$3:$Z$56,'[1]Funcionamiento - Gral'!U$1,0)</f>
        <v>1020895621</v>
      </c>
      <c r="U28" s="19">
        <f>VLOOKUP($B28,'[1]Funcionamiento - Gral'!$B$3:$Z$56,'[1]Funcionamiento - Gral'!V$1,0)</f>
        <v>378492629.09000015</v>
      </c>
      <c r="V28" s="20">
        <f>VLOOKUP($B28,'[1]Funcionamiento - Gral'!$B$3:$Z$56,'[1]Funcionamiento - Gral'!W$1,0)</f>
        <v>0.88069987705601971</v>
      </c>
      <c r="W28" s="19">
        <f>VLOOKUP($B28,'[1]Funcionamiento - Gral'!$B$3:$Z$56,'[1]Funcionamiento - Gral'!X$1,0)</f>
        <v>1175168855.8699999</v>
      </c>
      <c r="X28" s="19">
        <f>VLOOKUP($B28,'[1]Funcionamiento - Gral'!$B$3:$Z$56,'[1]Funcionamiento - Gral'!Y$1,0)</f>
        <v>2151713256.0900002</v>
      </c>
      <c r="Y28" s="19">
        <f>VLOOKUP($B28,'[1]Funcionamiento - Gral'!$B$3:$Z$56,'[1]Funcionamiento - Gral'!Z$1,0)</f>
        <v>113411080.09000015</v>
      </c>
    </row>
    <row r="29" spans="2:25" ht="15" customHeight="1" x14ac:dyDescent="0.25">
      <c r="B29" s="18" t="s">
        <v>63</v>
      </c>
      <c r="C29" s="31" t="s">
        <v>33</v>
      </c>
      <c r="D29" s="18" t="s">
        <v>57</v>
      </c>
      <c r="E29" s="18" t="s">
        <v>64</v>
      </c>
      <c r="F29" s="19">
        <f>VLOOKUP($B29,'[1]Funcionamiento - Gral'!$B$3:$Z$56,'[1]Funcionamiento - Gral'!H$1,0)</f>
        <v>4833881558</v>
      </c>
      <c r="G29" s="19">
        <f>VLOOKUP($B29,'[1]Funcionamiento - Gral'!$B$3:$Z$56,'[1]Funcionamiento - Gral'!I$1,0)</f>
        <v>0</v>
      </c>
      <c r="H29" s="19">
        <f>VLOOKUP($B29,'[1]Funcionamiento - Gral'!$B$3:$Z$56,'[1]Funcionamiento - Gral'!J$1,0)</f>
        <v>4833881558</v>
      </c>
      <c r="I29" s="19">
        <f>VLOOKUP($B29,'[1]Funcionamiento - Gral'!$B$3:$Z$56,'[1]Funcionamiento - Gral'!K$1,0)</f>
        <v>1545353094.6400003</v>
      </c>
      <c r="J29" s="19">
        <f>VLOOKUP($B29,'[1]Funcionamiento - Gral'!$B$3:$Z$56,'[1]Funcionamiento - Gral'!L$1,0)</f>
        <v>6379234652.6400003</v>
      </c>
      <c r="K29" s="19">
        <f>VLOOKUP($B29,'[1]Funcionamiento - Gral'!$B$3:$Z$56,'[1]Funcionamiento - Gral'!M$1,0)</f>
        <v>966776312</v>
      </c>
      <c r="L29" s="19">
        <f>VLOOKUP($B29,'[1]Funcionamiento - Gral'!$B$3:$Z$56,'[1]Funcionamiento - Gral'!N$1,0)</f>
        <v>5412458340.6400003</v>
      </c>
      <c r="M29" s="19">
        <f>VLOOKUP($B29,'[1]Funcionamiento - Gral'!$B$3:$Z$56,'[1]Funcionamiento - Gral'!O$1,0)</f>
        <v>0</v>
      </c>
      <c r="N29" s="19">
        <f>VLOOKUP($B29,'[1]Funcionamiento - Gral'!$B$3:$Z$56,'[1]Funcionamiento - Gral'!P$1,0)</f>
        <v>1603462051.4799995</v>
      </c>
      <c r="O29" s="19">
        <f>VLOOKUP($B29,'[1]Funcionamiento - Gral'!$B$3:$Z$56,'[1]Funcionamiento - Gral'!Q$1,0)</f>
        <v>1603462051.4799995</v>
      </c>
      <c r="P29" s="20">
        <f>VLOOKUP($B29,'[1]Funcionamiento - Gral'!$B$3:$Z$56,'[1]Funcionamiento - Gral'!R$1,0)</f>
        <v>0.33171314444523248</v>
      </c>
      <c r="Q29" s="19">
        <f>VLOOKUP($B29,'[1]Funcionamiento - Gral'!$B$3:$Z$56,'[1]Funcionamiento - Gral'!S$1,0)</f>
        <v>3148815146.1199999</v>
      </c>
      <c r="R29" s="19" t="e">
        <f>VLOOKUP($B29,'[1]Funcionamiento - Gral'!$B$3:$Z$56,'[1]Funcionamiento - Gral'!AA$1,0)</f>
        <v>#REF!</v>
      </c>
      <c r="S29" s="19">
        <f>VLOOKUP($B29,'[1]Funcionamiento - Gral'!$B$3:$Z$56,'[1]Funcionamiento - Gral'!T$1,0)</f>
        <v>4008000210.0300002</v>
      </c>
      <c r="T29" s="19">
        <f>VLOOKUP($B29,'[1]Funcionamiento - Gral'!$B$3:$Z$56,'[1]Funcionamiento - Gral'!U$1,0)</f>
        <v>1544629971</v>
      </c>
      <c r="U29" s="19">
        <f>VLOOKUP($B29,'[1]Funcionamiento - Gral'!$B$3:$Z$56,'[1]Funcionamiento - Gral'!V$1,0)</f>
        <v>1404458130.6100001</v>
      </c>
      <c r="V29" s="20">
        <f>VLOOKUP($B29,'[1]Funcionamiento - Gral'!$B$3:$Z$56,'[1]Funcionamiento - Gral'!W$1,0)</f>
        <v>0.74051382159110923</v>
      </c>
      <c r="W29" s="19">
        <f>VLOOKUP($B29,'[1]Funcionamiento - Gral'!$B$3:$Z$56,'[1]Funcionamiento - Gral'!X$1,0)</f>
        <v>1604185175.1199999</v>
      </c>
      <c r="X29" s="19">
        <f>VLOOKUP($B29,'[1]Funcionamiento - Gral'!$B$3:$Z$56,'[1]Funcionamiento - Gral'!Y$1,0)</f>
        <v>3867828369.6400003</v>
      </c>
      <c r="Y29" s="19">
        <f>VLOOKUP($B29,'[1]Funcionamiento - Gral'!$B$3:$Z$56,'[1]Funcionamiento - Gral'!Z$1,0)</f>
        <v>1070367257.6100006</v>
      </c>
    </row>
    <row r="30" spans="2:25" ht="15" customHeight="1" x14ac:dyDescent="0.25">
      <c r="B30" s="18" t="s">
        <v>65</v>
      </c>
      <c r="C30" s="31" t="s">
        <v>33</v>
      </c>
      <c r="D30" s="18" t="s">
        <v>57</v>
      </c>
      <c r="E30" s="18" t="s">
        <v>66</v>
      </c>
      <c r="F30" s="19">
        <f>VLOOKUP($B30,'[1]Funcionamiento - Gral'!$B$3:$Z$56,'[1]Funcionamiento - Gral'!H$1,0)</f>
        <v>3200466569</v>
      </c>
      <c r="G30" s="19">
        <f>VLOOKUP($B30,'[1]Funcionamiento - Gral'!$B$3:$Z$56,'[1]Funcionamiento - Gral'!I$1,0)</f>
        <v>0</v>
      </c>
      <c r="H30" s="19">
        <f>VLOOKUP($B30,'[1]Funcionamiento - Gral'!$B$3:$Z$56,'[1]Funcionamiento - Gral'!J$1,0)</f>
        <v>3200466569</v>
      </c>
      <c r="I30" s="19">
        <f>VLOOKUP($B30,'[1]Funcionamiento - Gral'!$B$3:$Z$56,'[1]Funcionamiento - Gral'!K$1,0)</f>
        <v>459736079.5400002</v>
      </c>
      <c r="J30" s="19">
        <f>VLOOKUP($B30,'[1]Funcionamiento - Gral'!$B$3:$Z$56,'[1]Funcionamiento - Gral'!L$1,0)</f>
        <v>3660202648.54</v>
      </c>
      <c r="K30" s="19">
        <f>VLOOKUP($B30,'[1]Funcionamiento - Gral'!$B$3:$Z$56,'[1]Funcionamiento - Gral'!M$1,0)</f>
        <v>640093314</v>
      </c>
      <c r="L30" s="19">
        <f>VLOOKUP($B30,'[1]Funcionamiento - Gral'!$B$3:$Z$56,'[1]Funcionamiento - Gral'!N$1,0)</f>
        <v>3020109334.54</v>
      </c>
      <c r="M30" s="19">
        <f>VLOOKUP($B30,'[1]Funcionamiento - Gral'!$B$3:$Z$56,'[1]Funcionamiento - Gral'!O$1,0)</f>
        <v>0</v>
      </c>
      <c r="N30" s="19">
        <f>VLOOKUP($B30,'[1]Funcionamiento - Gral'!$B$3:$Z$56,'[1]Funcionamiento - Gral'!P$1,0)</f>
        <v>1061636829.3000001</v>
      </c>
      <c r="O30" s="19">
        <f>VLOOKUP($B30,'[1]Funcionamiento - Gral'!$B$3:$Z$56,'[1]Funcionamiento - Gral'!Q$1,0)</f>
        <v>1061636829.3000001</v>
      </c>
      <c r="P30" s="20">
        <f>VLOOKUP($B30,'[1]Funcionamiento - Gral'!$B$3:$Z$56,'[1]Funcionamiento - Gral'!R$1,0)</f>
        <v>0.33171314444684646</v>
      </c>
      <c r="Q30" s="19">
        <f>VLOOKUP($B30,'[1]Funcionamiento - Gral'!$B$3:$Z$56,'[1]Funcionamiento - Gral'!S$1,0)</f>
        <v>1521372908.8400002</v>
      </c>
      <c r="R30" s="19" t="e">
        <f>VLOOKUP($B30,'[1]Funcionamiento - Gral'!$B$3:$Z$56,'[1]Funcionamiento - Gral'!AA$1,0)</f>
        <v>#REF!</v>
      </c>
      <c r="S30" s="19">
        <f>VLOOKUP($B30,'[1]Funcionamiento - Gral'!$B$3:$Z$56,'[1]Funcionamiento - Gral'!T$1,0)</f>
        <v>1555134134</v>
      </c>
      <c r="T30" s="19">
        <f>VLOOKUP($B30,'[1]Funcionamiento - Gral'!$B$3:$Z$56,'[1]Funcionamiento - Gral'!U$1,0)</f>
        <v>530250001</v>
      </c>
      <c r="U30" s="19">
        <f>VLOOKUP($B30,'[1]Funcionamiento - Gral'!$B$3:$Z$56,'[1]Funcionamiento - Gral'!V$1,0)</f>
        <v>1464975200.54</v>
      </c>
      <c r="V30" s="20">
        <f>VLOOKUP($B30,'[1]Funcionamiento - Gral'!$B$3:$Z$56,'[1]Funcionamiento - Gral'!W$1,0)</f>
        <v>0.51492643534935667</v>
      </c>
      <c r="W30" s="19">
        <f>VLOOKUP($B30,'[1]Funcionamiento - Gral'!$B$3:$Z$56,'[1]Funcionamiento - Gral'!X$1,0)</f>
        <v>991122907.84000015</v>
      </c>
      <c r="X30" s="19">
        <f>VLOOKUP($B30,'[1]Funcionamiento - Gral'!$B$3:$Z$56,'[1]Funcionamiento - Gral'!Y$1,0)</f>
        <v>2489859333.54</v>
      </c>
      <c r="Y30" s="19">
        <f>VLOOKUP($B30,'[1]Funcionamiento - Gral'!$B$3:$Z$56,'[1]Funcionamiento - Gral'!Z$1,0)</f>
        <v>1464975200.54</v>
      </c>
    </row>
    <row r="31" spans="2:25" ht="15" customHeight="1" x14ac:dyDescent="0.25">
      <c r="B31" s="18" t="s">
        <v>67</v>
      </c>
      <c r="C31" s="31" t="s">
        <v>33</v>
      </c>
      <c r="D31" s="18" t="s">
        <v>57</v>
      </c>
      <c r="E31" s="18" t="s">
        <v>68</v>
      </c>
      <c r="F31" s="19">
        <f>VLOOKUP($B31,'[1]Funcionamiento - Gral'!$B$3:$Z$56,'[1]Funcionamiento - Gral'!H$1,0)</f>
        <v>691427135</v>
      </c>
      <c r="G31" s="19">
        <f>VLOOKUP($B31,'[1]Funcionamiento - Gral'!$B$3:$Z$56,'[1]Funcionamiento - Gral'!I$1,0)</f>
        <v>0</v>
      </c>
      <c r="H31" s="19">
        <f>VLOOKUP($B31,'[1]Funcionamiento - Gral'!$B$3:$Z$56,'[1]Funcionamiento - Gral'!J$1,0)</f>
        <v>691427135</v>
      </c>
      <c r="I31" s="19">
        <f>VLOOKUP($B31,'[1]Funcionamiento - Gral'!$B$3:$Z$56,'[1]Funcionamiento - Gral'!K$1,0)</f>
        <v>814311438.34999967</v>
      </c>
      <c r="J31" s="19">
        <f>VLOOKUP($B31,'[1]Funcionamiento - Gral'!$B$3:$Z$56,'[1]Funcionamiento - Gral'!L$1,0)</f>
        <v>1505738573.3499997</v>
      </c>
      <c r="K31" s="19">
        <f>VLOOKUP($B31,'[1]Funcionamiento - Gral'!$B$3:$Z$56,'[1]Funcionamiento - Gral'!M$1,0)</f>
        <v>138285427</v>
      </c>
      <c r="L31" s="19">
        <f>VLOOKUP($B31,'[1]Funcionamiento - Gral'!$B$3:$Z$56,'[1]Funcionamiento - Gral'!N$1,0)</f>
        <v>1367453146.3499997</v>
      </c>
      <c r="M31" s="19">
        <f>VLOOKUP($B31,'[1]Funcionamiento - Gral'!$B$3:$Z$56,'[1]Funcionamiento - Gral'!O$1,0)</f>
        <v>0</v>
      </c>
      <c r="N31" s="19">
        <f>VLOOKUP($B31,'[1]Funcionamiento - Gral'!$B$3:$Z$56,'[1]Funcionamiento - Gral'!P$1,0)</f>
        <v>229355469.10000002</v>
      </c>
      <c r="O31" s="19">
        <f>VLOOKUP($B31,'[1]Funcionamiento - Gral'!$B$3:$Z$56,'[1]Funcionamiento - Gral'!Q$1,0)</f>
        <v>229355469.10000002</v>
      </c>
      <c r="P31" s="20">
        <f>VLOOKUP($B31,'[1]Funcionamiento - Gral'!$B$3:$Z$56,'[1]Funcionamiento - Gral'!R$1,0)</f>
        <v>0.33171314443712135</v>
      </c>
      <c r="Q31" s="19">
        <f>VLOOKUP($B31,'[1]Funcionamiento - Gral'!$B$3:$Z$56,'[1]Funcionamiento - Gral'!S$1,0)</f>
        <v>1043666907.4499997</v>
      </c>
      <c r="R31" s="19" t="e">
        <f>VLOOKUP($B31,'[1]Funcionamiento - Gral'!$B$3:$Z$56,'[1]Funcionamiento - Gral'!AA$1,0)</f>
        <v>#REF!</v>
      </c>
      <c r="S31" s="19">
        <f>VLOOKUP($B31,'[1]Funcionamiento - Gral'!$B$3:$Z$56,'[1]Funcionamiento - Gral'!T$1,0)</f>
        <v>501020447.5</v>
      </c>
      <c r="T31" s="19">
        <f>VLOOKUP($B31,'[1]Funcionamiento - Gral'!$B$3:$Z$56,'[1]Funcionamiento - Gral'!U$1,0)</f>
        <v>296770632.5</v>
      </c>
      <c r="U31" s="19">
        <f>VLOOKUP($B31,'[1]Funcionamiento - Gral'!$B$3:$Z$56,'[1]Funcionamiento - Gral'!V$1,0)</f>
        <v>866432698.84999967</v>
      </c>
      <c r="V31" s="20">
        <f>VLOOKUP($B31,'[1]Funcionamiento - Gral'!$B$3:$Z$56,'[1]Funcionamiento - Gral'!W$1,0)</f>
        <v>0.36638948020802153</v>
      </c>
      <c r="W31" s="19">
        <f>VLOOKUP($B31,'[1]Funcionamiento - Gral'!$B$3:$Z$56,'[1]Funcionamiento - Gral'!X$1,0)</f>
        <v>746896274.94999969</v>
      </c>
      <c r="X31" s="19">
        <f>VLOOKUP($B31,'[1]Funcionamiento - Gral'!$B$3:$Z$56,'[1]Funcionamiento - Gral'!Y$1,0)</f>
        <v>1070682513.8499997</v>
      </c>
      <c r="Y31" s="19">
        <f>VLOOKUP($B31,'[1]Funcionamiento - Gral'!$B$3:$Z$56,'[1]Funcionamiento - Gral'!Z$1,0)</f>
        <v>825289765.84999967</v>
      </c>
    </row>
    <row r="32" spans="2:25" ht="15" customHeight="1" x14ac:dyDescent="0.25">
      <c r="B32" s="18" t="s">
        <v>69</v>
      </c>
      <c r="C32" s="31" t="s">
        <v>33</v>
      </c>
      <c r="D32" s="18" t="s">
        <v>57</v>
      </c>
      <c r="E32" s="18" t="s">
        <v>70</v>
      </c>
      <c r="F32" s="19">
        <f>VLOOKUP($B32,'[1]Funcionamiento - Gral'!$B$3:$Z$56,'[1]Funcionamiento - Gral'!H$1,0)</f>
        <v>0</v>
      </c>
      <c r="G32" s="19">
        <f>VLOOKUP($B32,'[1]Funcionamiento - Gral'!$B$3:$Z$56,'[1]Funcionamiento - Gral'!I$1,0)</f>
        <v>0</v>
      </c>
      <c r="H32" s="19">
        <f>VLOOKUP($B32,'[1]Funcionamiento - Gral'!$B$3:$Z$56,'[1]Funcionamiento - Gral'!J$1,0)</f>
        <v>0</v>
      </c>
      <c r="I32" s="19">
        <f>VLOOKUP($B32,'[1]Funcionamiento - Gral'!$B$3:$Z$56,'[1]Funcionamiento - Gral'!K$1,0)</f>
        <v>731520459.55999994</v>
      </c>
      <c r="J32" s="19">
        <f>VLOOKUP($B32,'[1]Funcionamiento - Gral'!$B$3:$Z$56,'[1]Funcionamiento - Gral'!L$1,0)</f>
        <v>731520459.55999994</v>
      </c>
      <c r="K32" s="19">
        <f>VLOOKUP($B32,'[1]Funcionamiento - Gral'!$B$3:$Z$56,'[1]Funcionamiento - Gral'!M$1,0)</f>
        <v>0</v>
      </c>
      <c r="L32" s="19">
        <f>VLOOKUP($B32,'[1]Funcionamiento - Gral'!$B$3:$Z$56,'[1]Funcionamiento - Gral'!N$1,0)</f>
        <v>731520459.55999994</v>
      </c>
      <c r="M32" s="19">
        <f>VLOOKUP($B32,'[1]Funcionamiento - Gral'!$B$3:$Z$56,'[1]Funcionamiento - Gral'!O$1,0)</f>
        <v>0</v>
      </c>
      <c r="N32" s="19">
        <f>VLOOKUP($B32,'[1]Funcionamiento - Gral'!$B$3:$Z$56,'[1]Funcionamiento - Gral'!P$1,0)</f>
        <v>0</v>
      </c>
      <c r="O32" s="19">
        <f>VLOOKUP($B32,'[1]Funcionamiento - Gral'!$B$3:$Z$56,'[1]Funcionamiento - Gral'!Q$1,0)</f>
        <v>0</v>
      </c>
      <c r="P32" s="20">
        <f>VLOOKUP($B32,'[1]Funcionamiento - Gral'!$B$3:$Z$56,'[1]Funcionamiento - Gral'!R$1,0)</f>
        <v>0</v>
      </c>
      <c r="Q32" s="19">
        <f>VLOOKUP($B32,'[1]Funcionamiento - Gral'!$B$3:$Z$56,'[1]Funcionamiento - Gral'!S$1,0)</f>
        <v>731520459.55999994</v>
      </c>
      <c r="R32" s="19" t="e">
        <f>VLOOKUP($B32,'[1]Funcionamiento - Gral'!$B$3:$Z$56,'[1]Funcionamiento - Gral'!AA$1,0)</f>
        <v>#REF!</v>
      </c>
      <c r="S32" s="19">
        <f>VLOOKUP($B32,'[1]Funcionamiento - Gral'!$B$3:$Z$56,'[1]Funcionamiento - Gral'!T$1,0)</f>
        <v>451750000</v>
      </c>
      <c r="T32" s="19">
        <f>VLOOKUP($B32,'[1]Funcionamiento - Gral'!$B$3:$Z$56,'[1]Funcionamiento - Gral'!U$1,0)</f>
        <v>239966667</v>
      </c>
      <c r="U32" s="19">
        <f>VLOOKUP($B32,'[1]Funcionamiento - Gral'!$B$3:$Z$56,'[1]Funcionamiento - Gral'!V$1,0)</f>
        <v>279770459.55999994</v>
      </c>
      <c r="V32" s="20">
        <f>VLOOKUP($B32,'[1]Funcionamiento - Gral'!$B$3:$Z$56,'[1]Funcionamiento - Gral'!W$1,0)</f>
        <v>0.61754937144440469</v>
      </c>
      <c r="W32" s="19">
        <f>VLOOKUP($B32,'[1]Funcionamiento - Gral'!$B$3:$Z$56,'[1]Funcionamiento - Gral'!X$1,0)</f>
        <v>491553792.55999994</v>
      </c>
      <c r="X32" s="19">
        <f>VLOOKUP($B32,'[1]Funcionamiento - Gral'!$B$3:$Z$56,'[1]Funcionamiento - Gral'!Y$1,0)</f>
        <v>491553792.55999994</v>
      </c>
      <c r="Y32" s="19">
        <f>VLOOKUP($B32,'[1]Funcionamiento - Gral'!$B$3:$Z$56,'[1]Funcionamiento - Gral'!Z$1,0)</f>
        <v>279770459.55999994</v>
      </c>
    </row>
    <row r="33" spans="2:25" ht="15" customHeight="1" x14ac:dyDescent="0.25">
      <c r="B33" s="18" t="s">
        <v>71</v>
      </c>
      <c r="C33" s="31" t="s">
        <v>33</v>
      </c>
      <c r="D33" s="18" t="s">
        <v>57</v>
      </c>
      <c r="E33" s="18" t="s">
        <v>72</v>
      </c>
      <c r="F33" s="19">
        <f>VLOOKUP($B33,'[1]Funcionamiento - Gral'!$B$3:$Z$56,'[1]Funcionamiento - Gral'!H$1,0)</f>
        <v>1674510757</v>
      </c>
      <c r="G33" s="19">
        <f>VLOOKUP($B33,'[1]Funcionamiento - Gral'!$B$3:$Z$56,'[1]Funcionamiento - Gral'!I$1,0)</f>
        <v>0</v>
      </c>
      <c r="H33" s="19">
        <f>VLOOKUP($B33,'[1]Funcionamiento - Gral'!$B$3:$Z$56,'[1]Funcionamiento - Gral'!J$1,0)</f>
        <v>1674510757</v>
      </c>
      <c r="I33" s="19">
        <f>VLOOKUP($B33,'[1]Funcionamiento - Gral'!$B$3:$Z$56,'[1]Funcionamiento - Gral'!K$1,0)</f>
        <v>1891142518.3300009</v>
      </c>
      <c r="J33" s="19">
        <f>VLOOKUP($B33,'[1]Funcionamiento - Gral'!$B$3:$Z$56,'[1]Funcionamiento - Gral'!L$1,0)</f>
        <v>3565653275.3300009</v>
      </c>
      <c r="K33" s="19">
        <f>VLOOKUP($B33,'[1]Funcionamiento - Gral'!$B$3:$Z$56,'[1]Funcionamiento - Gral'!M$1,0)</f>
        <v>334902151</v>
      </c>
      <c r="L33" s="19">
        <f>VLOOKUP($B33,'[1]Funcionamiento - Gral'!$B$3:$Z$56,'[1]Funcionamiento - Gral'!N$1,0)</f>
        <v>3230751124.3300009</v>
      </c>
      <c r="M33" s="19">
        <f>VLOOKUP($B33,'[1]Funcionamiento - Gral'!$B$3:$Z$56,'[1]Funcionamiento - Gral'!O$1,0)</f>
        <v>0</v>
      </c>
      <c r="N33" s="19">
        <f>VLOOKUP($B33,'[1]Funcionamiento - Gral'!$B$3:$Z$56,'[1]Funcionamiento - Gral'!P$1,0)</f>
        <v>555457228.61000001</v>
      </c>
      <c r="O33" s="19">
        <f>VLOOKUP($B33,'[1]Funcionamiento - Gral'!$B$3:$Z$56,'[1]Funcionamiento - Gral'!Q$1,0)</f>
        <v>555457228.61000001</v>
      </c>
      <c r="P33" s="20">
        <f>VLOOKUP($B33,'[1]Funcionamiento - Gral'!$B$3:$Z$56,'[1]Funcionamiento - Gral'!R$1,0)</f>
        <v>0.33171314444413569</v>
      </c>
      <c r="Q33" s="19">
        <f>VLOOKUP($B33,'[1]Funcionamiento - Gral'!$B$3:$Z$56,'[1]Funcionamiento - Gral'!S$1,0)</f>
        <v>2446599746.940001</v>
      </c>
      <c r="R33" s="19" t="e">
        <f>VLOOKUP($B33,'[1]Funcionamiento - Gral'!$B$3:$Z$56,'[1]Funcionamiento - Gral'!AA$1,0)</f>
        <v>#REF!</v>
      </c>
      <c r="S33" s="19">
        <f>VLOOKUP($B33,'[1]Funcionamiento - Gral'!$B$3:$Z$56,'[1]Funcionamiento - Gral'!T$1,0)</f>
        <v>2278179732</v>
      </c>
      <c r="T33" s="19">
        <f>VLOOKUP($B33,'[1]Funcionamiento - Gral'!$B$3:$Z$56,'[1]Funcionamiento - Gral'!U$1,0)</f>
        <v>446331460</v>
      </c>
      <c r="U33" s="19">
        <f>VLOOKUP($B33,'[1]Funcionamiento - Gral'!$B$3:$Z$56,'[1]Funcionamiento - Gral'!V$1,0)</f>
        <v>952571392.33000088</v>
      </c>
      <c r="V33" s="20">
        <f>VLOOKUP($B33,'[1]Funcionamiento - Gral'!$B$3:$Z$56,'[1]Funcionamiento - Gral'!W$1,0)</f>
        <v>0.70515482137995178</v>
      </c>
      <c r="W33" s="19">
        <f>VLOOKUP($B33,'[1]Funcionamiento - Gral'!$B$3:$Z$56,'[1]Funcionamiento - Gral'!X$1,0)</f>
        <v>2000268286.940001</v>
      </c>
      <c r="X33" s="19">
        <f>VLOOKUP($B33,'[1]Funcionamiento - Gral'!$B$3:$Z$56,'[1]Funcionamiento - Gral'!Y$1,0)</f>
        <v>2784419664.3300009</v>
      </c>
      <c r="Y33" s="19">
        <f>VLOOKUP($B33,'[1]Funcionamiento - Gral'!$B$3:$Z$56,'[1]Funcionamiento - Gral'!Z$1,0)</f>
        <v>0</v>
      </c>
    </row>
    <row r="34" spans="2:25" ht="15" customHeight="1" x14ac:dyDescent="0.25">
      <c r="B34" s="18" t="s">
        <v>73</v>
      </c>
      <c r="C34" s="31" t="s">
        <v>33</v>
      </c>
      <c r="D34" s="18" t="s">
        <v>57</v>
      </c>
      <c r="E34" s="18" t="s">
        <v>74</v>
      </c>
      <c r="F34" s="19">
        <f>VLOOKUP($B34,'[1]Funcionamiento - Gral'!$B$3:$Z$56,'[1]Funcionamiento - Gral'!H$1,0)</f>
        <v>115656043</v>
      </c>
      <c r="G34" s="19">
        <f>VLOOKUP($B34,'[1]Funcionamiento - Gral'!$B$3:$Z$56,'[1]Funcionamiento - Gral'!I$1,0)</f>
        <v>0</v>
      </c>
      <c r="H34" s="19">
        <f>VLOOKUP($B34,'[1]Funcionamiento - Gral'!$B$3:$Z$56,'[1]Funcionamiento - Gral'!J$1,0)</f>
        <v>115656043</v>
      </c>
      <c r="I34" s="19">
        <f>VLOOKUP($B34,'[1]Funcionamiento - Gral'!$B$3:$Z$56,'[1]Funcionamiento - Gral'!K$1,0)</f>
        <v>549356313.95000005</v>
      </c>
      <c r="J34" s="19">
        <f>VLOOKUP($B34,'[1]Funcionamiento - Gral'!$B$3:$Z$56,'[1]Funcionamiento - Gral'!L$1,0)</f>
        <v>665012356.95000005</v>
      </c>
      <c r="K34" s="19">
        <f>VLOOKUP($B34,'[1]Funcionamiento - Gral'!$B$3:$Z$56,'[1]Funcionamiento - Gral'!M$1,0)</f>
        <v>23131209</v>
      </c>
      <c r="L34" s="19">
        <f>VLOOKUP($B34,'[1]Funcionamiento - Gral'!$B$3:$Z$56,'[1]Funcionamiento - Gral'!N$1,0)</f>
        <v>641881147.95000005</v>
      </c>
      <c r="M34" s="19">
        <f>VLOOKUP($B34,'[1]Funcionamiento - Gral'!$B$3:$Z$56,'[1]Funcionamiento - Gral'!O$1,0)</f>
        <v>0</v>
      </c>
      <c r="N34" s="19">
        <f>VLOOKUP($B34,'[1]Funcionamiento - Gral'!$B$3:$Z$56,'[1]Funcionamiento - Gral'!P$1,0)</f>
        <v>38364629.700000003</v>
      </c>
      <c r="O34" s="19">
        <f>VLOOKUP($B34,'[1]Funcionamiento - Gral'!$B$3:$Z$56,'[1]Funcionamiento - Gral'!Q$1,0)</f>
        <v>38364629.700000003</v>
      </c>
      <c r="P34" s="20">
        <f>VLOOKUP($B34,'[1]Funcionamiento - Gral'!$B$3:$Z$56,'[1]Funcionamiento - Gral'!R$1,0)</f>
        <v>0.33171314446578465</v>
      </c>
      <c r="Q34" s="19">
        <f>VLOOKUP($B34,'[1]Funcionamiento - Gral'!$B$3:$Z$56,'[1]Funcionamiento - Gral'!S$1,0)</f>
        <v>587720943.6500001</v>
      </c>
      <c r="R34" s="19" t="e">
        <f>VLOOKUP($B34,'[1]Funcionamiento - Gral'!$B$3:$Z$56,'[1]Funcionamiento - Gral'!AA$1,0)</f>
        <v>#REF!</v>
      </c>
      <c r="S34" s="19">
        <f>VLOOKUP($B34,'[1]Funcionamiento - Gral'!$B$3:$Z$56,'[1]Funcionamiento - Gral'!T$1,0)</f>
        <v>172150933</v>
      </c>
      <c r="T34" s="19">
        <f>VLOOKUP($B34,'[1]Funcionamiento - Gral'!$B$3:$Z$56,'[1]Funcionamiento - Gral'!U$1,0)</f>
        <v>117891533</v>
      </c>
      <c r="U34" s="19">
        <f>VLOOKUP($B34,'[1]Funcionamiento - Gral'!$B$3:$Z$56,'[1]Funcionamiento - Gral'!V$1,0)</f>
        <v>469730214.95000005</v>
      </c>
      <c r="V34" s="20">
        <f>VLOOKUP($B34,'[1]Funcionamiento - Gral'!$B$3:$Z$56,'[1]Funcionamiento - Gral'!W$1,0)</f>
        <v>0.26819752153464066</v>
      </c>
      <c r="W34" s="19">
        <f>VLOOKUP($B34,'[1]Funcionamiento - Gral'!$B$3:$Z$56,'[1]Funcionamiento - Gral'!X$1,0)</f>
        <v>469829410.6500001</v>
      </c>
      <c r="X34" s="19">
        <f>VLOOKUP($B34,'[1]Funcionamiento - Gral'!$B$3:$Z$56,'[1]Funcionamiento - Gral'!Y$1,0)</f>
        <v>523989614.95000005</v>
      </c>
      <c r="Y34" s="19">
        <f>VLOOKUP($B34,'[1]Funcionamiento - Gral'!$B$3:$Z$56,'[1]Funcionamiento - Gral'!Z$1,0)</f>
        <v>469730214.95000005</v>
      </c>
    </row>
    <row r="35" spans="2:25" ht="15" customHeight="1" x14ac:dyDescent="0.25">
      <c r="B35" s="18" t="s">
        <v>75</v>
      </c>
      <c r="C35" s="31" t="s">
        <v>33</v>
      </c>
      <c r="D35" s="18" t="s">
        <v>57</v>
      </c>
      <c r="E35" s="18" t="s">
        <v>76</v>
      </c>
      <c r="F35" s="19">
        <f>VLOOKUP($B35,'[1]Funcionamiento - Gral'!$B$3:$Z$56,'[1]Funcionamiento - Gral'!H$1,0)</f>
        <v>2622967462</v>
      </c>
      <c r="G35" s="19">
        <f>VLOOKUP($B35,'[1]Funcionamiento - Gral'!$B$3:$Z$56,'[1]Funcionamiento - Gral'!I$1,0)</f>
        <v>0</v>
      </c>
      <c r="H35" s="19">
        <f>VLOOKUP($B35,'[1]Funcionamiento - Gral'!$B$3:$Z$56,'[1]Funcionamiento - Gral'!J$1,0)</f>
        <v>2622967462</v>
      </c>
      <c r="I35" s="19">
        <f>VLOOKUP($B35,'[1]Funcionamiento - Gral'!$B$3:$Z$56,'[1]Funcionamiento - Gral'!K$1,0)</f>
        <v>16340535832.080002</v>
      </c>
      <c r="J35" s="19">
        <f>VLOOKUP($B35,'[1]Funcionamiento - Gral'!$B$3:$Z$56,'[1]Funcionamiento - Gral'!L$1,0)</f>
        <v>18963503294.080002</v>
      </c>
      <c r="K35" s="19">
        <f>VLOOKUP($B35,'[1]Funcionamiento - Gral'!$B$3:$Z$56,'[1]Funcionamiento - Gral'!M$1,0)</f>
        <v>524593492</v>
      </c>
      <c r="L35" s="19">
        <f>VLOOKUP($B35,'[1]Funcionamiento - Gral'!$B$3:$Z$56,'[1]Funcionamiento - Gral'!N$1,0)</f>
        <v>18438909802.080002</v>
      </c>
      <c r="M35" s="19">
        <f>VLOOKUP($B35,'[1]Funcionamiento - Gral'!$B$3:$Z$56,'[1]Funcionamiento - Gral'!O$1,0)</f>
        <v>0</v>
      </c>
      <c r="N35" s="19">
        <f>VLOOKUP($B35,'[1]Funcionamiento - Gral'!$B$3:$Z$56,'[1]Funcionamiento - Gral'!P$1,0)</f>
        <v>870072784.5999999</v>
      </c>
      <c r="O35" s="19">
        <f>VLOOKUP($B35,'[1]Funcionamiento - Gral'!$B$3:$Z$56,'[1]Funcionamiento - Gral'!Q$1,0)</f>
        <v>870072784.5999999</v>
      </c>
      <c r="P35" s="20">
        <f>VLOOKUP($B35,'[1]Funcionamiento - Gral'!$B$3:$Z$56,'[1]Funcionamiento - Gral'!R$1,0)</f>
        <v>0.33171314444616617</v>
      </c>
      <c r="Q35" s="19">
        <f>VLOOKUP($B35,'[1]Funcionamiento - Gral'!$B$3:$Z$56,'[1]Funcionamiento - Gral'!S$1,0)</f>
        <v>17210608616.68</v>
      </c>
      <c r="R35" s="19" t="e">
        <f>VLOOKUP($B35,'[1]Funcionamiento - Gral'!$B$3:$Z$56,'[1]Funcionamiento - Gral'!AA$1,0)</f>
        <v>#REF!</v>
      </c>
      <c r="S35" s="19">
        <f>VLOOKUP($B35,'[1]Funcionamiento - Gral'!$B$3:$Z$56,'[1]Funcionamiento - Gral'!T$1,0)</f>
        <v>2873253326.2399998</v>
      </c>
      <c r="T35" s="19">
        <f>VLOOKUP($B35,'[1]Funcionamiento - Gral'!$B$3:$Z$56,'[1]Funcionamiento - Gral'!U$1,0)</f>
        <v>1446882209</v>
      </c>
      <c r="U35" s="19">
        <f>VLOOKUP($B35,'[1]Funcionamiento - Gral'!$B$3:$Z$56,'[1]Funcionamiento - Gral'!V$1,0)</f>
        <v>15565656475.840002</v>
      </c>
      <c r="V35" s="20">
        <f>VLOOKUP($B35,'[1]Funcionamiento - Gral'!$B$3:$Z$56,'[1]Funcionamiento - Gral'!W$1,0)</f>
        <v>0.15582555352138455</v>
      </c>
      <c r="W35" s="19">
        <f>VLOOKUP($B35,'[1]Funcionamiento - Gral'!$B$3:$Z$56,'[1]Funcionamiento - Gral'!X$1,0)</f>
        <v>15763726407.68</v>
      </c>
      <c r="X35" s="19">
        <f>VLOOKUP($B35,'[1]Funcionamiento - Gral'!$B$3:$Z$56,'[1]Funcionamiento - Gral'!Y$1,0)</f>
        <v>16992027593.080002</v>
      </c>
      <c r="Y35" s="19">
        <f>VLOOKUP($B35,'[1]Funcionamiento - Gral'!$B$3:$Z$56,'[1]Funcionamiento - Gral'!Z$1,0)</f>
        <v>11198973505.670002</v>
      </c>
    </row>
    <row r="36" spans="2:25" ht="15" customHeight="1" x14ac:dyDescent="0.25">
      <c r="B36" s="18" t="s">
        <v>77</v>
      </c>
      <c r="C36" s="31" t="s">
        <v>33</v>
      </c>
      <c r="D36" s="18" t="s">
        <v>57</v>
      </c>
      <c r="E36" s="18" t="s">
        <v>78</v>
      </c>
      <c r="F36" s="19">
        <f>VLOOKUP($B36,'[1]Funcionamiento - Gral'!$B$3:$Z$56,'[1]Funcionamiento - Gral'!H$1,0)</f>
        <v>8902504924</v>
      </c>
      <c r="G36" s="19">
        <f>VLOOKUP($B36,'[1]Funcionamiento - Gral'!$B$3:$Z$56,'[1]Funcionamiento - Gral'!I$1,0)</f>
        <v>0</v>
      </c>
      <c r="H36" s="19">
        <f>VLOOKUP($B36,'[1]Funcionamiento - Gral'!$B$3:$Z$56,'[1]Funcionamiento - Gral'!J$1,0)</f>
        <v>8902504924</v>
      </c>
      <c r="I36" s="19">
        <f>VLOOKUP($B36,'[1]Funcionamiento - Gral'!$B$3:$Z$56,'[1]Funcionamiento - Gral'!K$1,0)</f>
        <v>8181235309.3099995</v>
      </c>
      <c r="J36" s="19">
        <f>VLOOKUP($B36,'[1]Funcionamiento - Gral'!$B$3:$Z$56,'[1]Funcionamiento - Gral'!L$1,0)</f>
        <v>17083740233.309999</v>
      </c>
      <c r="K36" s="19">
        <f>VLOOKUP($B36,'[1]Funcionamiento - Gral'!$B$3:$Z$56,'[1]Funcionamiento - Gral'!M$1,0)</f>
        <v>1780500985</v>
      </c>
      <c r="L36" s="19">
        <f>VLOOKUP($B36,'[1]Funcionamiento - Gral'!$B$3:$Z$56,'[1]Funcionamiento - Gral'!N$1,0)</f>
        <v>15303239248.309999</v>
      </c>
      <c r="M36" s="19">
        <f>VLOOKUP($B36,'[1]Funcionamiento - Gral'!$B$3:$Z$56,'[1]Funcionamiento - Gral'!O$1,0)</f>
        <v>0</v>
      </c>
      <c r="N36" s="19">
        <f>VLOOKUP($B36,'[1]Funcionamiento - Gral'!$B$3:$Z$56,'[1]Funcionamiento - Gral'!P$1,0)</f>
        <v>2953077901.7600002</v>
      </c>
      <c r="O36" s="19">
        <f>VLOOKUP($B36,'[1]Funcionamiento - Gral'!$B$3:$Z$56,'[1]Funcionamiento - Gral'!Q$1,0)</f>
        <v>2953077901.7600002</v>
      </c>
      <c r="P36" s="20">
        <f>VLOOKUP($B36,'[1]Funcionamiento - Gral'!$B$3:$Z$56,'[1]Funcionamiento - Gral'!R$1,0)</f>
        <v>0.3317131444430752</v>
      </c>
      <c r="Q36" s="19">
        <f>VLOOKUP($B36,'[1]Funcionamiento - Gral'!$B$3:$Z$56,'[1]Funcionamiento - Gral'!S$1,0)</f>
        <v>11134313211.07</v>
      </c>
      <c r="R36" s="19" t="e">
        <f>VLOOKUP($B36,'[1]Funcionamiento - Gral'!$B$3:$Z$56,'[1]Funcionamiento - Gral'!AA$1,0)</f>
        <v>#REF!</v>
      </c>
      <c r="S36" s="19">
        <f>VLOOKUP($B36,'[1]Funcionamiento - Gral'!$B$3:$Z$56,'[1]Funcionamiento - Gral'!T$1,0)</f>
        <v>4697467860</v>
      </c>
      <c r="T36" s="19">
        <f>VLOOKUP($B36,'[1]Funcionamiento - Gral'!$B$3:$Z$56,'[1]Funcionamiento - Gral'!U$1,0)</f>
        <v>3543850919</v>
      </c>
      <c r="U36" s="19">
        <f>VLOOKUP($B36,'[1]Funcionamiento - Gral'!$B$3:$Z$56,'[1]Funcionamiento - Gral'!V$1,0)</f>
        <v>10605771388.309999</v>
      </c>
      <c r="V36" s="20">
        <f>VLOOKUP($B36,'[1]Funcionamiento - Gral'!$B$3:$Z$56,'[1]Funcionamiento - Gral'!W$1,0)</f>
        <v>0.30695905512414706</v>
      </c>
      <c r="W36" s="19">
        <f>VLOOKUP($B36,'[1]Funcionamiento - Gral'!$B$3:$Z$56,'[1]Funcionamiento - Gral'!X$1,0)</f>
        <v>7590462292.0699997</v>
      </c>
      <c r="X36" s="19">
        <f>VLOOKUP($B36,'[1]Funcionamiento - Gral'!$B$3:$Z$56,'[1]Funcionamiento - Gral'!Y$1,0)</f>
        <v>11759388329.309999</v>
      </c>
      <c r="Y36" s="19">
        <f>VLOOKUP($B36,'[1]Funcionamiento - Gral'!$B$3:$Z$56,'[1]Funcionamiento - Gral'!Z$1,0)</f>
        <v>3654578220.3099995</v>
      </c>
    </row>
    <row r="37" spans="2:25" ht="15" customHeight="1" x14ac:dyDescent="0.25">
      <c r="B37" s="18" t="s">
        <v>79</v>
      </c>
      <c r="C37" s="31" t="s">
        <v>33</v>
      </c>
      <c r="D37" s="18" t="s">
        <v>57</v>
      </c>
      <c r="E37" s="18" t="s">
        <v>80</v>
      </c>
      <c r="F37" s="19">
        <f>VLOOKUP($B37,'[1]Funcionamiento - Gral'!$B$3:$Z$56,'[1]Funcionamiento - Gral'!H$1,0)</f>
        <v>22455738389</v>
      </c>
      <c r="G37" s="19">
        <f>VLOOKUP($B37,'[1]Funcionamiento - Gral'!$B$3:$Z$56,'[1]Funcionamiento - Gral'!I$1,0)</f>
        <v>0</v>
      </c>
      <c r="H37" s="19">
        <f>VLOOKUP($B37,'[1]Funcionamiento - Gral'!$B$3:$Z$56,'[1]Funcionamiento - Gral'!J$1,0)</f>
        <v>22455738389</v>
      </c>
      <c r="I37" s="19">
        <f>VLOOKUP($B37,'[1]Funcionamiento - Gral'!$B$3:$Z$56,'[1]Funcionamiento - Gral'!K$1,0)</f>
        <v>3074030593.3899994</v>
      </c>
      <c r="J37" s="19">
        <f>VLOOKUP($B37,'[1]Funcionamiento - Gral'!$B$3:$Z$56,'[1]Funcionamiento - Gral'!L$1,0)</f>
        <v>25529768982.389999</v>
      </c>
      <c r="K37" s="19">
        <f>VLOOKUP($B37,'[1]Funcionamiento - Gral'!$B$3:$Z$56,'[1]Funcionamiento - Gral'!M$1,0)</f>
        <v>4491147678</v>
      </c>
      <c r="L37" s="19">
        <f>VLOOKUP($B37,'[1]Funcionamiento - Gral'!$B$3:$Z$56,'[1]Funcionamiento - Gral'!N$1,0)</f>
        <v>21038621304.389999</v>
      </c>
      <c r="M37" s="19">
        <f>VLOOKUP($B37,'[1]Funcionamiento - Gral'!$B$3:$Z$56,'[1]Funcionamiento - Gral'!O$1,0)</f>
        <v>0</v>
      </c>
      <c r="N37" s="19">
        <f>VLOOKUP($B37,'[1]Funcionamiento - Gral'!$B$3:$Z$56,'[1]Funcionamiento - Gral'!P$1,0)</f>
        <v>7448863591.8399992</v>
      </c>
      <c r="O37" s="19">
        <f>VLOOKUP($B37,'[1]Funcionamiento - Gral'!$B$3:$Z$56,'[1]Funcionamiento - Gral'!Q$1,0)</f>
        <v>7448863591.8399992</v>
      </c>
      <c r="P37" s="20">
        <f>VLOOKUP($B37,'[1]Funcionamiento - Gral'!$B$3:$Z$56,'[1]Funcionamiento - Gral'!R$1,0)</f>
        <v>0.33171314444457739</v>
      </c>
      <c r="Q37" s="19">
        <f>VLOOKUP($B37,'[1]Funcionamiento - Gral'!$B$3:$Z$56,'[1]Funcionamiento - Gral'!S$1,0)</f>
        <v>10522894185.23</v>
      </c>
      <c r="R37" s="19" t="e">
        <f>VLOOKUP($B37,'[1]Funcionamiento - Gral'!$B$3:$Z$56,'[1]Funcionamiento - Gral'!AA$1,0)</f>
        <v>#REF!</v>
      </c>
      <c r="S37" s="19">
        <f>VLOOKUP($B37,'[1]Funcionamiento - Gral'!$B$3:$Z$56,'[1]Funcionamiento - Gral'!T$1,0)</f>
        <v>21038621304</v>
      </c>
      <c r="T37" s="19">
        <f>VLOOKUP($B37,'[1]Funcionamiento - Gral'!$B$3:$Z$56,'[1]Funcionamiento - Gral'!U$1,0)</f>
        <v>3074030593</v>
      </c>
      <c r="U37" s="19">
        <f>VLOOKUP($B37,'[1]Funcionamiento - Gral'!$B$3:$Z$56,'[1]Funcionamiento - Gral'!V$1,0)</f>
        <v>0.3899993896484375</v>
      </c>
      <c r="V37" s="20">
        <f>VLOOKUP($B37,'[1]Funcionamiento - Gral'!$B$3:$Z$56,'[1]Funcionamiento - Gral'!W$1,0)</f>
        <v>0.99999999998146272</v>
      </c>
      <c r="W37" s="19">
        <f>VLOOKUP($B37,'[1]Funcionamiento - Gral'!$B$3:$Z$56,'[1]Funcionamiento - Gral'!X$1,0)</f>
        <v>7448863592.2299995</v>
      </c>
      <c r="X37" s="19">
        <f>VLOOKUP($B37,'[1]Funcionamiento - Gral'!$B$3:$Z$56,'[1]Funcionamiento - Gral'!Y$1,0)</f>
        <v>17964590711.389999</v>
      </c>
      <c r="Y37" s="19">
        <f>VLOOKUP($B37,'[1]Funcionamiento - Gral'!$B$3:$Z$56,'[1]Funcionamiento - Gral'!Z$1,0)</f>
        <v>0.3899993896484375</v>
      </c>
    </row>
    <row r="38" spans="2:25" ht="15" customHeight="1" x14ac:dyDescent="0.25">
      <c r="B38" s="18" t="s">
        <v>81</v>
      </c>
      <c r="C38" s="31" t="s">
        <v>33</v>
      </c>
      <c r="D38" s="18" t="s">
        <v>57</v>
      </c>
      <c r="E38" s="18" t="s">
        <v>82</v>
      </c>
      <c r="F38" s="19">
        <f>VLOOKUP($B38,'[1]Funcionamiento - Gral'!$B$3:$Z$56,'[1]Funcionamiento - Gral'!H$1,0)</f>
        <v>30683257639</v>
      </c>
      <c r="G38" s="19">
        <f>VLOOKUP($B38,'[1]Funcionamiento - Gral'!$B$3:$Z$56,'[1]Funcionamiento - Gral'!I$1,0)</f>
        <v>0</v>
      </c>
      <c r="H38" s="19">
        <f>VLOOKUP($B38,'[1]Funcionamiento - Gral'!$B$3:$Z$56,'[1]Funcionamiento - Gral'!J$1,0)</f>
        <v>30683257639</v>
      </c>
      <c r="I38" s="19">
        <f>VLOOKUP($B38,'[1]Funcionamiento - Gral'!$B$3:$Z$56,'[1]Funcionamiento - Gral'!K$1,0)</f>
        <v>6810700899.1799927</v>
      </c>
      <c r="J38" s="19">
        <f>VLOOKUP($B38,'[1]Funcionamiento - Gral'!$B$3:$Z$56,'[1]Funcionamiento - Gral'!L$1,0)</f>
        <v>37493958538.179993</v>
      </c>
      <c r="K38" s="19">
        <f>VLOOKUP($B38,'[1]Funcionamiento - Gral'!$B$3:$Z$56,'[1]Funcionamiento - Gral'!M$1,0)</f>
        <v>6136651528</v>
      </c>
      <c r="L38" s="19">
        <f>VLOOKUP($B38,'[1]Funcionamiento - Gral'!$B$3:$Z$56,'[1]Funcionamiento - Gral'!N$1,0)</f>
        <v>31357307010.179993</v>
      </c>
      <c r="M38" s="19">
        <f>VLOOKUP($B38,'[1]Funcionamiento - Gral'!$B$3:$Z$56,'[1]Funcionamiento - Gral'!O$1,0)</f>
        <v>0</v>
      </c>
      <c r="N38" s="19">
        <f>VLOOKUP($B38,'[1]Funcionamiento - Gral'!$B$3:$Z$56,'[1]Funcionamiento - Gral'!P$1,0)</f>
        <v>10178039873.209999</v>
      </c>
      <c r="O38" s="19">
        <f>VLOOKUP($B38,'[1]Funcionamiento - Gral'!$B$3:$Z$56,'[1]Funcionamiento - Gral'!Q$1,0)</f>
        <v>10178039873.209999</v>
      </c>
      <c r="P38" s="20">
        <f>VLOOKUP($B38,'[1]Funcionamiento - Gral'!$B$3:$Z$56,'[1]Funcionamiento - Gral'!R$1,0)</f>
        <v>0.33171314444373684</v>
      </c>
      <c r="Q38" s="19">
        <f>VLOOKUP($B38,'[1]Funcionamiento - Gral'!$B$3:$Z$56,'[1]Funcionamiento - Gral'!S$1,0)</f>
        <v>16988740772.389992</v>
      </c>
      <c r="R38" s="19" t="e">
        <f>VLOOKUP($B38,'[1]Funcionamiento - Gral'!$B$3:$Z$56,'[1]Funcionamiento - Gral'!AA$1,0)</f>
        <v>#REF!</v>
      </c>
      <c r="S38" s="19">
        <f>VLOOKUP($B38,'[1]Funcionamiento - Gral'!$B$3:$Z$56,'[1]Funcionamiento - Gral'!T$1,0)</f>
        <v>15881351606</v>
      </c>
      <c r="T38" s="19">
        <f>VLOOKUP($B38,'[1]Funcionamiento - Gral'!$B$3:$Z$56,'[1]Funcionamiento - Gral'!U$1,0)</f>
        <v>11891813538.48</v>
      </c>
      <c r="U38" s="19">
        <f>VLOOKUP($B38,'[1]Funcionamiento - Gral'!$B$3:$Z$56,'[1]Funcionamiento - Gral'!V$1,0)</f>
        <v>15475955404.179993</v>
      </c>
      <c r="V38" s="20">
        <f>VLOOKUP($B38,'[1]Funcionamiento - Gral'!$B$3:$Z$56,'[1]Funcionamiento - Gral'!W$1,0)</f>
        <v>0.50646414249936067</v>
      </c>
      <c r="W38" s="19">
        <f>VLOOKUP($B38,'[1]Funcionamiento - Gral'!$B$3:$Z$56,'[1]Funcionamiento - Gral'!X$1,0)</f>
        <v>5096927233.9099922</v>
      </c>
      <c r="X38" s="19">
        <f>VLOOKUP($B38,'[1]Funcionamiento - Gral'!$B$3:$Z$56,'[1]Funcionamiento - Gral'!Y$1,0)</f>
        <v>19465493471.699993</v>
      </c>
      <c r="Y38" s="19">
        <f>VLOOKUP($B38,'[1]Funcionamiento - Gral'!$B$3:$Z$56,'[1]Funcionamiento - Gral'!Z$1,0)</f>
        <v>14825590766.179993</v>
      </c>
    </row>
    <row r="39" spans="2:25" ht="15" customHeight="1" x14ac:dyDescent="0.25">
      <c r="B39" s="18" t="s">
        <v>83</v>
      </c>
      <c r="C39" s="31" t="s">
        <v>33</v>
      </c>
      <c r="D39" s="18" t="s">
        <v>57</v>
      </c>
      <c r="E39" s="18" t="s">
        <v>84</v>
      </c>
      <c r="F39" s="19">
        <f>VLOOKUP($B39,'[1]Funcionamiento - Gral'!$B$3:$Z$56,'[1]Funcionamiento - Gral'!H$1,0)</f>
        <v>0</v>
      </c>
      <c r="G39" s="19">
        <f>VLOOKUP($B39,'[1]Funcionamiento - Gral'!$B$3:$Z$56,'[1]Funcionamiento - Gral'!I$1,0)</f>
        <v>0</v>
      </c>
      <c r="H39" s="19">
        <f>VLOOKUP($B39,'[1]Funcionamiento - Gral'!$B$3:$Z$56,'[1]Funcionamiento - Gral'!J$1,0)</f>
        <v>0</v>
      </c>
      <c r="I39" s="19">
        <f>VLOOKUP($B39,'[1]Funcionamiento - Gral'!$B$3:$Z$56,'[1]Funcionamiento - Gral'!K$1,0)</f>
        <v>4755001443.6000004</v>
      </c>
      <c r="J39" s="19">
        <f>VLOOKUP($B39,'[1]Funcionamiento - Gral'!$B$3:$Z$56,'[1]Funcionamiento - Gral'!L$1,0)</f>
        <v>4755001443.6000004</v>
      </c>
      <c r="K39" s="19">
        <f>VLOOKUP($B39,'[1]Funcionamiento - Gral'!$B$3:$Z$56,'[1]Funcionamiento - Gral'!M$1,0)</f>
        <v>0</v>
      </c>
      <c r="L39" s="19">
        <f>VLOOKUP($B39,'[1]Funcionamiento - Gral'!$B$3:$Z$56,'[1]Funcionamiento - Gral'!N$1,0)</f>
        <v>4755001443.6000004</v>
      </c>
      <c r="M39" s="19">
        <f>VLOOKUP($B39,'[1]Funcionamiento - Gral'!$B$3:$Z$56,'[1]Funcionamiento - Gral'!O$1,0)</f>
        <v>0</v>
      </c>
      <c r="N39" s="19">
        <f>VLOOKUP($B39,'[1]Funcionamiento - Gral'!$B$3:$Z$56,'[1]Funcionamiento - Gral'!P$1,0)</f>
        <v>0</v>
      </c>
      <c r="O39" s="19">
        <f>VLOOKUP($B39,'[1]Funcionamiento - Gral'!$B$3:$Z$56,'[1]Funcionamiento - Gral'!Q$1,0)</f>
        <v>0</v>
      </c>
      <c r="P39" s="20">
        <f>VLOOKUP($B39,'[1]Funcionamiento - Gral'!$B$3:$Z$56,'[1]Funcionamiento - Gral'!R$1,0)</f>
        <v>0</v>
      </c>
      <c r="Q39" s="19">
        <f>VLOOKUP($B39,'[1]Funcionamiento - Gral'!$B$3:$Z$56,'[1]Funcionamiento - Gral'!S$1,0)</f>
        <v>4755001443.6000004</v>
      </c>
      <c r="R39" s="19" t="e">
        <f>VLOOKUP($B39,'[1]Funcionamiento - Gral'!$B$3:$Z$56,'[1]Funcionamiento - Gral'!AA$1,0)</f>
        <v>#REF!</v>
      </c>
      <c r="S39" s="19">
        <f>VLOOKUP($B39,'[1]Funcionamiento - Gral'!$B$3:$Z$56,'[1]Funcionamiento - Gral'!T$1,0)</f>
        <v>181096040.69</v>
      </c>
      <c r="T39" s="19">
        <f>VLOOKUP($B39,'[1]Funcionamiento - Gral'!$B$3:$Z$56,'[1]Funcionamiento - Gral'!U$1,0)</f>
        <v>14129267</v>
      </c>
      <c r="U39" s="19">
        <f>VLOOKUP($B39,'[1]Funcionamiento - Gral'!$B$3:$Z$56,'[1]Funcionamiento - Gral'!V$1,0)</f>
        <v>4573905402.9100008</v>
      </c>
      <c r="V39" s="20">
        <f>VLOOKUP($B39,'[1]Funcionamiento - Gral'!$B$3:$Z$56,'[1]Funcionamiento - Gral'!W$1,0)</f>
        <v>3.808538080125011E-2</v>
      </c>
      <c r="W39" s="19">
        <f>VLOOKUP($B39,'[1]Funcionamiento - Gral'!$B$3:$Z$56,'[1]Funcionamiento - Gral'!X$1,0)</f>
        <v>4740872176.6000004</v>
      </c>
      <c r="X39" s="19">
        <f>VLOOKUP($B39,'[1]Funcionamiento - Gral'!$B$3:$Z$56,'[1]Funcionamiento - Gral'!Y$1,0)</f>
        <v>4740872176.6000004</v>
      </c>
      <c r="Y39" s="19">
        <f>VLOOKUP($B39,'[1]Funcionamiento - Gral'!$B$3:$Z$56,'[1]Funcionamiento - Gral'!Z$1,0)</f>
        <v>4573905402.9100008</v>
      </c>
    </row>
    <row r="40" spans="2:25" ht="15" customHeight="1" x14ac:dyDescent="0.25">
      <c r="B40" s="18" t="s">
        <v>85</v>
      </c>
      <c r="C40" s="31" t="s">
        <v>33</v>
      </c>
      <c r="D40" s="18" t="s">
        <v>57</v>
      </c>
      <c r="E40" s="18" t="s">
        <v>86</v>
      </c>
      <c r="F40" s="19">
        <f>VLOOKUP($B40,'[1]Funcionamiento - Gral'!$B$3:$Z$56,'[1]Funcionamiento - Gral'!H$1,0)</f>
        <v>471980337</v>
      </c>
      <c r="G40" s="19">
        <f>VLOOKUP($B40,'[1]Funcionamiento - Gral'!$B$3:$Z$56,'[1]Funcionamiento - Gral'!I$1,0)</f>
        <v>0</v>
      </c>
      <c r="H40" s="19">
        <f>VLOOKUP($B40,'[1]Funcionamiento - Gral'!$B$3:$Z$56,'[1]Funcionamiento - Gral'!J$1,0)</f>
        <v>471980337</v>
      </c>
      <c r="I40" s="19">
        <f>VLOOKUP($B40,'[1]Funcionamiento - Gral'!$B$3:$Z$56,'[1]Funcionamiento - Gral'!K$1,0)</f>
        <v>437085604.22000003</v>
      </c>
      <c r="J40" s="19">
        <f>VLOOKUP($B40,'[1]Funcionamiento - Gral'!$B$3:$Z$56,'[1]Funcionamiento - Gral'!L$1,0)</f>
        <v>909065941.22000003</v>
      </c>
      <c r="K40" s="19">
        <f>VLOOKUP($B40,'[1]Funcionamiento - Gral'!$B$3:$Z$56,'[1]Funcionamiento - Gral'!M$1,0)</f>
        <v>94396067</v>
      </c>
      <c r="L40" s="19">
        <f>VLOOKUP($B40,'[1]Funcionamiento - Gral'!$B$3:$Z$56,'[1]Funcionamiento - Gral'!N$1,0)</f>
        <v>814669874.22000003</v>
      </c>
      <c r="M40" s="19">
        <f>VLOOKUP($B40,'[1]Funcionamiento - Gral'!$B$3:$Z$56,'[1]Funcionamiento - Gral'!O$1,0)</f>
        <v>0</v>
      </c>
      <c r="N40" s="19">
        <f>VLOOKUP($B40,'[1]Funcionamiento - Gral'!$B$3:$Z$56,'[1]Funcionamiento - Gral'!P$1,0)</f>
        <v>156562081.72</v>
      </c>
      <c r="O40" s="19">
        <f>VLOOKUP($B40,'[1]Funcionamiento - Gral'!$B$3:$Z$56,'[1]Funcionamiento - Gral'!Q$1,0)</f>
        <v>156562081.72</v>
      </c>
      <c r="P40" s="20">
        <f>VLOOKUP($B40,'[1]Funcionamiento - Gral'!$B$3:$Z$56,'[1]Funcionamiento - Gral'!R$1,0)</f>
        <v>0.33171314448211853</v>
      </c>
      <c r="Q40" s="19">
        <f>VLOOKUP($B40,'[1]Funcionamiento - Gral'!$B$3:$Z$56,'[1]Funcionamiento - Gral'!S$1,0)</f>
        <v>593647685.94000006</v>
      </c>
      <c r="R40" s="19" t="e">
        <f>VLOOKUP($B40,'[1]Funcionamiento - Gral'!$B$3:$Z$56,'[1]Funcionamiento - Gral'!AA$1,0)</f>
        <v>#REF!</v>
      </c>
      <c r="S40" s="19">
        <f>VLOOKUP($B40,'[1]Funcionamiento - Gral'!$B$3:$Z$56,'[1]Funcionamiento - Gral'!T$1,0)</f>
        <v>415500000</v>
      </c>
      <c r="T40" s="19">
        <f>VLOOKUP($B40,'[1]Funcionamiento - Gral'!$B$3:$Z$56,'[1]Funcionamiento - Gral'!U$1,0)</f>
        <v>204000000</v>
      </c>
      <c r="U40" s="19">
        <f>VLOOKUP($B40,'[1]Funcionamiento - Gral'!$B$3:$Z$56,'[1]Funcionamiento - Gral'!V$1,0)</f>
        <v>399169874.22000003</v>
      </c>
      <c r="V40" s="20">
        <f>VLOOKUP($B40,'[1]Funcionamiento - Gral'!$B$3:$Z$56,'[1]Funcionamiento - Gral'!W$1,0)</f>
        <v>0.51002254182753171</v>
      </c>
      <c r="W40" s="19">
        <f>VLOOKUP($B40,'[1]Funcionamiento - Gral'!$B$3:$Z$56,'[1]Funcionamiento - Gral'!X$1,0)</f>
        <v>389647685.94000006</v>
      </c>
      <c r="X40" s="19">
        <f>VLOOKUP($B40,'[1]Funcionamiento - Gral'!$B$3:$Z$56,'[1]Funcionamiento - Gral'!Y$1,0)</f>
        <v>610669874.22000003</v>
      </c>
      <c r="Y40" s="19">
        <f>VLOOKUP($B40,'[1]Funcionamiento - Gral'!$B$3:$Z$56,'[1]Funcionamiento - Gral'!Z$1,0)</f>
        <v>327169874.22000003</v>
      </c>
    </row>
    <row r="41" spans="2:25" ht="15" customHeight="1" x14ac:dyDescent="0.25">
      <c r="B41" s="18" t="s">
        <v>87</v>
      </c>
      <c r="C41" s="31" t="s">
        <v>33</v>
      </c>
      <c r="D41" s="18" t="s">
        <v>57</v>
      </c>
      <c r="E41" s="18" t="s">
        <v>88</v>
      </c>
      <c r="F41" s="19">
        <f>VLOOKUP($B41,'[1]Funcionamiento - Gral'!$B$3:$Z$56,'[1]Funcionamiento - Gral'!H$1,0)</f>
        <v>0</v>
      </c>
      <c r="G41" s="19">
        <f>VLOOKUP($B41,'[1]Funcionamiento - Gral'!$B$3:$Z$56,'[1]Funcionamiento - Gral'!I$1,0)</f>
        <v>0</v>
      </c>
      <c r="H41" s="19">
        <f>VLOOKUP($B41,'[1]Funcionamiento - Gral'!$B$3:$Z$56,'[1]Funcionamiento - Gral'!J$1,0)</f>
        <v>0</v>
      </c>
      <c r="I41" s="19">
        <f>VLOOKUP($B41,'[1]Funcionamiento - Gral'!$B$3:$Z$56,'[1]Funcionamiento - Gral'!K$1,0)</f>
        <v>126838108.09</v>
      </c>
      <c r="J41" s="19">
        <f>VLOOKUP($B41,'[1]Funcionamiento - Gral'!$B$3:$Z$56,'[1]Funcionamiento - Gral'!L$1,0)</f>
        <v>126838108.09</v>
      </c>
      <c r="K41" s="19">
        <f>VLOOKUP($B41,'[1]Funcionamiento - Gral'!$B$3:$Z$56,'[1]Funcionamiento - Gral'!M$1,0)</f>
        <v>0</v>
      </c>
      <c r="L41" s="19">
        <f>VLOOKUP($B41,'[1]Funcionamiento - Gral'!$B$3:$Z$56,'[1]Funcionamiento - Gral'!N$1,0)</f>
        <v>126838108.09</v>
      </c>
      <c r="M41" s="19">
        <f>VLOOKUP($B41,'[1]Funcionamiento - Gral'!$B$3:$Z$56,'[1]Funcionamiento - Gral'!O$1,0)</f>
        <v>0</v>
      </c>
      <c r="N41" s="19">
        <f>VLOOKUP($B41,'[1]Funcionamiento - Gral'!$B$3:$Z$56,'[1]Funcionamiento - Gral'!P$1,0)</f>
        <v>0</v>
      </c>
      <c r="O41" s="19">
        <f>VLOOKUP($B41,'[1]Funcionamiento - Gral'!$B$3:$Z$56,'[1]Funcionamiento - Gral'!Q$1,0)</f>
        <v>0</v>
      </c>
      <c r="P41" s="20">
        <f>VLOOKUP($B41,'[1]Funcionamiento - Gral'!$B$3:$Z$56,'[1]Funcionamiento - Gral'!R$1,0)</f>
        <v>0</v>
      </c>
      <c r="Q41" s="19">
        <f>VLOOKUP($B41,'[1]Funcionamiento - Gral'!$B$3:$Z$56,'[1]Funcionamiento - Gral'!S$1,0)</f>
        <v>126838108.09</v>
      </c>
      <c r="R41" s="19" t="e">
        <f>VLOOKUP($B41,'[1]Funcionamiento - Gral'!$B$3:$Z$56,'[1]Funcionamiento - Gral'!AA$1,0)</f>
        <v>#REF!</v>
      </c>
      <c r="S41" s="19">
        <f>VLOOKUP($B41,'[1]Funcionamiento - Gral'!$B$3:$Z$56,'[1]Funcionamiento - Gral'!T$1,0)</f>
        <v>115500000</v>
      </c>
      <c r="T41" s="19">
        <f>VLOOKUP($B41,'[1]Funcionamiento - Gral'!$B$3:$Z$56,'[1]Funcionamiento - Gral'!U$1,0)</f>
        <v>2100000</v>
      </c>
      <c r="U41" s="19">
        <f>VLOOKUP($B41,'[1]Funcionamiento - Gral'!$B$3:$Z$56,'[1]Funcionamiento - Gral'!V$1,0)</f>
        <v>11338108.090000004</v>
      </c>
      <c r="V41" s="20">
        <f>VLOOKUP($B41,'[1]Funcionamiento - Gral'!$B$3:$Z$56,'[1]Funcionamiento - Gral'!W$1,0)</f>
        <v>0.91060960888856157</v>
      </c>
      <c r="W41" s="19">
        <f>VLOOKUP($B41,'[1]Funcionamiento - Gral'!$B$3:$Z$56,'[1]Funcionamiento - Gral'!X$1,0)</f>
        <v>124738108.09</v>
      </c>
      <c r="X41" s="19">
        <f>VLOOKUP($B41,'[1]Funcionamiento - Gral'!$B$3:$Z$56,'[1]Funcionamiento - Gral'!Y$1,0)</f>
        <v>124738108.09</v>
      </c>
      <c r="Y41" s="19">
        <f>VLOOKUP($B41,'[1]Funcionamiento - Gral'!$B$3:$Z$56,'[1]Funcionamiento - Gral'!Z$1,0)</f>
        <v>0</v>
      </c>
    </row>
    <row r="42" spans="2:25" ht="15" customHeight="1" x14ac:dyDescent="0.25">
      <c r="B42" s="18" t="s">
        <v>89</v>
      </c>
      <c r="C42" s="31" t="s">
        <v>33</v>
      </c>
      <c r="D42" s="18" t="s">
        <v>57</v>
      </c>
      <c r="E42" s="18" t="s">
        <v>90</v>
      </c>
      <c r="F42" s="19">
        <f>VLOOKUP($B42,'[1]Funcionamiento - Gral'!$B$3:$Z$56,'[1]Funcionamiento - Gral'!H$1,0)</f>
        <v>0</v>
      </c>
      <c r="G42" s="19">
        <f>VLOOKUP($B42,'[1]Funcionamiento - Gral'!$B$3:$Z$56,'[1]Funcionamiento - Gral'!I$1,0)</f>
        <v>0</v>
      </c>
      <c r="H42" s="19">
        <f>VLOOKUP($B42,'[1]Funcionamiento - Gral'!$B$3:$Z$56,'[1]Funcionamiento - Gral'!J$1,0)</f>
        <v>0</v>
      </c>
      <c r="I42" s="19">
        <f>VLOOKUP($B42,'[1]Funcionamiento - Gral'!$B$3:$Z$56,'[1]Funcionamiento - Gral'!K$1,0)</f>
        <v>11657255522.529297</v>
      </c>
      <c r="J42" s="19">
        <f>VLOOKUP($B42,'[1]Funcionamiento - Gral'!$B$3:$Z$56,'[1]Funcionamiento - Gral'!L$1,0)</f>
        <v>11657255522.529297</v>
      </c>
      <c r="K42" s="19">
        <f>VLOOKUP($B42,'[1]Funcionamiento - Gral'!$B$3:$Z$56,'[1]Funcionamiento - Gral'!M$1,0)</f>
        <v>0</v>
      </c>
      <c r="L42" s="19">
        <f>VLOOKUP($B42,'[1]Funcionamiento - Gral'!$B$3:$Z$56,'[1]Funcionamiento - Gral'!N$1,0)</f>
        <v>11657255522.529297</v>
      </c>
      <c r="M42" s="19">
        <f>VLOOKUP($B42,'[1]Funcionamiento - Gral'!$B$3:$Z$56,'[1]Funcionamiento - Gral'!O$1,0)</f>
        <v>0</v>
      </c>
      <c r="N42" s="19">
        <f>VLOOKUP($B42,'[1]Funcionamiento - Gral'!$B$3:$Z$56,'[1]Funcionamiento - Gral'!P$1,0)</f>
        <v>0</v>
      </c>
      <c r="O42" s="19">
        <f>VLOOKUP($B42,'[1]Funcionamiento - Gral'!$B$3:$Z$56,'[1]Funcionamiento - Gral'!Q$1,0)</f>
        <v>0</v>
      </c>
      <c r="P42" s="20">
        <f>VLOOKUP($B42,'[1]Funcionamiento - Gral'!$B$3:$Z$56,'[1]Funcionamiento - Gral'!R$1,0)</f>
        <v>0</v>
      </c>
      <c r="Q42" s="19">
        <f>VLOOKUP($B42,'[1]Funcionamiento - Gral'!$B$3:$Z$56,'[1]Funcionamiento - Gral'!S$1,0)</f>
        <v>11657255522.529297</v>
      </c>
      <c r="R42" s="19" t="e">
        <f>VLOOKUP($B42,'[1]Funcionamiento - Gral'!$B$3:$Z$56,'[1]Funcionamiento - Gral'!AA$1,0)</f>
        <v>#REF!</v>
      </c>
      <c r="S42" s="19">
        <f>VLOOKUP($B42,'[1]Funcionamiento - Gral'!$B$3:$Z$56,'[1]Funcionamiento - Gral'!T$1,0)</f>
        <v>4060782753.77</v>
      </c>
      <c r="T42" s="19">
        <f>VLOOKUP($B42,'[1]Funcionamiento - Gral'!$B$3:$Z$56,'[1]Funcionamiento - Gral'!U$1,0)</f>
        <v>2163895692.6600003</v>
      </c>
      <c r="U42" s="19">
        <f>VLOOKUP($B42,'[1]Funcionamiento - Gral'!$B$3:$Z$56,'[1]Funcionamiento - Gral'!V$1,0)</f>
        <v>7596472768.7592964</v>
      </c>
      <c r="V42" s="20">
        <f>VLOOKUP($B42,'[1]Funcionamiento - Gral'!$B$3:$Z$56,'[1]Funcionamiento - Gral'!W$1,0)</f>
        <v>0.34834809496300073</v>
      </c>
      <c r="W42" s="19">
        <f>VLOOKUP($B42,'[1]Funcionamiento - Gral'!$B$3:$Z$56,'[1]Funcionamiento - Gral'!X$1,0)</f>
        <v>9493359829.869297</v>
      </c>
      <c r="X42" s="19">
        <f>VLOOKUP($B42,'[1]Funcionamiento - Gral'!$B$3:$Z$56,'[1]Funcionamiento - Gral'!Y$1,0)</f>
        <v>9493359829.869297</v>
      </c>
      <c r="Y42" s="19">
        <f>VLOOKUP($B42,'[1]Funcionamiento - Gral'!$B$3:$Z$56,'[1]Funcionamiento - Gral'!Z$1,0)</f>
        <v>11657255522.529297</v>
      </c>
    </row>
    <row r="43" spans="2:25" ht="15" customHeight="1" x14ac:dyDescent="0.25">
      <c r="B43" s="18" t="s">
        <v>91</v>
      </c>
      <c r="C43" s="31" t="s">
        <v>33</v>
      </c>
      <c r="D43" s="18" t="s">
        <v>57</v>
      </c>
      <c r="E43" s="18" t="s">
        <v>92</v>
      </c>
      <c r="F43" s="19">
        <f>VLOOKUP($B43,'[1]Funcionamiento - Gral'!$B$3:$Z$56,'[1]Funcionamiento - Gral'!H$1,0)</f>
        <v>0</v>
      </c>
      <c r="G43" s="19">
        <f>VLOOKUP($B43,'[1]Funcionamiento - Gral'!$B$3:$Z$56,'[1]Funcionamiento - Gral'!I$1,0)</f>
        <v>0</v>
      </c>
      <c r="H43" s="19">
        <f>VLOOKUP($B43,'[1]Funcionamiento - Gral'!$B$3:$Z$56,'[1]Funcionamiento - Gral'!J$1,0)</f>
        <v>0</v>
      </c>
      <c r="I43" s="19">
        <f>VLOOKUP($B43,'[1]Funcionamiento - Gral'!$B$3:$Z$56,'[1]Funcionamiento - Gral'!K$1,0)</f>
        <v>1058901662.91</v>
      </c>
      <c r="J43" s="19">
        <f>VLOOKUP($B43,'[1]Funcionamiento - Gral'!$B$3:$Z$56,'[1]Funcionamiento - Gral'!L$1,0)</f>
        <v>1058901662.91</v>
      </c>
      <c r="K43" s="19">
        <f>VLOOKUP($B43,'[1]Funcionamiento - Gral'!$B$3:$Z$56,'[1]Funcionamiento - Gral'!M$1,0)</f>
        <v>0</v>
      </c>
      <c r="L43" s="19">
        <f>VLOOKUP($B43,'[1]Funcionamiento - Gral'!$B$3:$Z$56,'[1]Funcionamiento - Gral'!N$1,0)</f>
        <v>1058901662.91</v>
      </c>
      <c r="M43" s="19">
        <f>VLOOKUP($B43,'[1]Funcionamiento - Gral'!$B$3:$Z$56,'[1]Funcionamiento - Gral'!O$1,0)</f>
        <v>0</v>
      </c>
      <c r="N43" s="19">
        <f>VLOOKUP($B43,'[1]Funcionamiento - Gral'!$B$3:$Z$56,'[1]Funcionamiento - Gral'!P$1,0)</f>
        <v>0</v>
      </c>
      <c r="O43" s="19">
        <f>VLOOKUP($B43,'[1]Funcionamiento - Gral'!$B$3:$Z$56,'[1]Funcionamiento - Gral'!Q$1,0)</f>
        <v>0</v>
      </c>
      <c r="P43" s="20">
        <f>VLOOKUP($B43,'[1]Funcionamiento - Gral'!$B$3:$Z$56,'[1]Funcionamiento - Gral'!R$1,0)</f>
        <v>0</v>
      </c>
      <c r="Q43" s="19">
        <f>VLOOKUP($B43,'[1]Funcionamiento - Gral'!$B$3:$Z$56,'[1]Funcionamiento - Gral'!S$1,0)</f>
        <v>1058901662.91</v>
      </c>
      <c r="R43" s="19" t="e">
        <f>VLOOKUP($B43,'[1]Funcionamiento - Gral'!$B$3:$Z$56,'[1]Funcionamiento - Gral'!AA$1,0)</f>
        <v>#REF!</v>
      </c>
      <c r="S43" s="19">
        <f>VLOOKUP($B43,'[1]Funcionamiento - Gral'!$B$3:$Z$56,'[1]Funcionamiento - Gral'!T$1,0)</f>
        <v>0</v>
      </c>
      <c r="T43" s="19">
        <f>VLOOKUP($B43,'[1]Funcionamiento - Gral'!$B$3:$Z$56,'[1]Funcionamiento - Gral'!U$1,0)</f>
        <v>0</v>
      </c>
      <c r="U43" s="19">
        <f>VLOOKUP($B43,'[1]Funcionamiento - Gral'!$B$3:$Z$56,'[1]Funcionamiento - Gral'!V$1,0)</f>
        <v>1058901662.91</v>
      </c>
      <c r="V43" s="20">
        <f>VLOOKUP($B43,'[1]Funcionamiento - Gral'!$B$3:$Z$56,'[1]Funcionamiento - Gral'!W$1,0)</f>
        <v>0</v>
      </c>
      <c r="W43" s="19">
        <f>VLOOKUP($B43,'[1]Funcionamiento - Gral'!$B$3:$Z$56,'[1]Funcionamiento - Gral'!X$1,0)</f>
        <v>1058901662.91</v>
      </c>
      <c r="X43" s="19">
        <f>VLOOKUP($B43,'[1]Funcionamiento - Gral'!$B$3:$Z$56,'[1]Funcionamiento - Gral'!Y$1,0)</f>
        <v>1058901662.91</v>
      </c>
      <c r="Y43" s="19">
        <f>VLOOKUP($B43,'[1]Funcionamiento - Gral'!$B$3:$Z$56,'[1]Funcionamiento - Gral'!Z$1,0)</f>
        <v>1058901662.91</v>
      </c>
    </row>
    <row r="44" spans="2:25" ht="15" customHeight="1" x14ac:dyDescent="0.25">
      <c r="B44" s="18" t="s">
        <v>93</v>
      </c>
      <c r="C44" s="31" t="s">
        <v>33</v>
      </c>
      <c r="D44" s="18" t="s">
        <v>57</v>
      </c>
      <c r="E44" s="18" t="s">
        <v>94</v>
      </c>
      <c r="F44" s="19">
        <f>VLOOKUP($B44,'[1]Funcionamiento - Gral'!$B$3:$Z$56,'[1]Funcionamiento - Gral'!H$1,0)</f>
        <v>9160798033</v>
      </c>
      <c r="G44" s="19">
        <f>VLOOKUP($B44,'[1]Funcionamiento - Gral'!$B$3:$Z$56,'[1]Funcionamiento - Gral'!I$1,0)</f>
        <v>7092419612</v>
      </c>
      <c r="H44" s="19">
        <f>VLOOKUP($B44,'[1]Funcionamiento - Gral'!$B$3:$Z$56,'[1]Funcionamiento - Gral'!J$1,0)</f>
        <v>16253217645</v>
      </c>
      <c r="I44" s="19">
        <f>VLOOKUP($B44,'[1]Funcionamiento - Gral'!$B$3:$Z$56,'[1]Funcionamiento - Gral'!K$1,0)</f>
        <v>0</v>
      </c>
      <c r="J44" s="19">
        <f>VLOOKUP($B44,'[1]Funcionamiento - Gral'!$B$3:$Z$56,'[1]Funcionamiento - Gral'!L$1,0)</f>
        <v>16253217645</v>
      </c>
      <c r="K44" s="19">
        <f>VLOOKUP($B44,'[1]Funcionamiento - Gral'!$B$3:$Z$56,'[1]Funcionamiento - Gral'!M$1,0)</f>
        <v>5917945593</v>
      </c>
      <c r="L44" s="19">
        <f>VLOOKUP($B44,'[1]Funcionamiento - Gral'!$B$3:$Z$56,'[1]Funcionamiento - Gral'!N$1,0)</f>
        <v>10335272052</v>
      </c>
      <c r="M44" s="19">
        <f>VLOOKUP($B44,'[1]Funcionamiento - Gral'!$B$3:$Z$56,'[1]Funcionamiento - Gral'!O$1,0)</f>
        <v>7092419612</v>
      </c>
      <c r="N44" s="19">
        <f>VLOOKUP($B44,'[1]Funcionamiento - Gral'!$B$3:$Z$56,'[1]Funcionamiento - Gral'!P$1,0)</f>
        <v>3038757121.1099958</v>
      </c>
      <c r="O44" s="19">
        <f>VLOOKUP($B44,'[1]Funcionamiento - Gral'!$B$3:$Z$56,'[1]Funcionamiento - Gral'!Q$1,0)</f>
        <v>10131176733.109997</v>
      </c>
      <c r="P44" s="20">
        <f>VLOOKUP($B44,'[1]Funcionamiento - Gral'!$B$3:$Z$56,'[1]Funcionamiento - Gral'!R$1,0)</f>
        <v>0.33171314444041472</v>
      </c>
      <c r="Q44" s="19">
        <f>VLOOKUP($B44,'[1]Funcionamiento - Gral'!$B$3:$Z$56,'[1]Funcionamiento - Gral'!S$1,0)</f>
        <v>10131176733.109997</v>
      </c>
      <c r="R44" s="19" t="e">
        <f>VLOOKUP($B44,'[1]Funcionamiento - Gral'!$B$3:$Z$56,'[1]Funcionamiento - Gral'!AA$1,0)</f>
        <v>#REF!</v>
      </c>
      <c r="S44" s="19">
        <f>VLOOKUP($B44,'[1]Funcionamiento - Gral'!$B$3:$Z$56,'[1]Funcionamiento - Gral'!T$1,0)</f>
        <v>0</v>
      </c>
      <c r="T44" s="19">
        <f>VLOOKUP($B44,'[1]Funcionamiento - Gral'!$B$3:$Z$56,'[1]Funcionamiento - Gral'!U$1,0)</f>
        <v>0</v>
      </c>
      <c r="U44" s="19">
        <f>VLOOKUP($B44,'[1]Funcionamiento - Gral'!$B$3:$Z$56,'[1]Funcionamiento - Gral'!V$1,0)</f>
        <v>10335272052</v>
      </c>
      <c r="V44" s="20">
        <f>VLOOKUP($B44,'[1]Funcionamiento - Gral'!$B$3:$Z$56,'[1]Funcionamiento - Gral'!W$1,0)</f>
        <v>0</v>
      </c>
      <c r="W44" s="19">
        <f>VLOOKUP($B44,'[1]Funcionamiento - Gral'!$B$3:$Z$56,'[1]Funcionamiento - Gral'!X$1,0)</f>
        <v>10131176733.109997</v>
      </c>
      <c r="X44" s="19">
        <f>VLOOKUP($B44,'[1]Funcionamiento - Gral'!$B$3:$Z$56,'[1]Funcionamiento - Gral'!Y$1,0)</f>
        <v>10335272052</v>
      </c>
      <c r="Y44" s="19">
        <f>VLOOKUP($B44,'[1]Funcionamiento - Gral'!$B$3:$Z$56,'[1]Funcionamiento - Gral'!Z$1,0)</f>
        <v>10335272052</v>
      </c>
    </row>
    <row r="45" spans="2:25" ht="15" customHeight="1" x14ac:dyDescent="0.25">
      <c r="B45" s="18" t="s">
        <v>95</v>
      </c>
      <c r="C45" s="31" t="s">
        <v>33</v>
      </c>
      <c r="D45" s="18" t="s">
        <v>57</v>
      </c>
      <c r="E45" s="18" t="s">
        <v>96</v>
      </c>
      <c r="F45" s="19">
        <f>VLOOKUP($B45,'[1]Funcionamiento - Gral'!$B$3:$Z$56,'[1]Funcionamiento - Gral'!H$1,0)</f>
        <v>0</v>
      </c>
      <c r="G45" s="19">
        <f>VLOOKUP($B45,'[1]Funcionamiento - Gral'!$B$3:$Z$56,'[1]Funcionamiento - Gral'!I$1,0)</f>
        <v>0</v>
      </c>
      <c r="H45" s="19">
        <f>VLOOKUP($B45,'[1]Funcionamiento - Gral'!$B$3:$Z$56,'[1]Funcionamiento - Gral'!J$1,0)</f>
        <v>0</v>
      </c>
      <c r="I45" s="19">
        <f>VLOOKUP($B45,'[1]Funcionamiento - Gral'!$B$3:$Z$56,'[1]Funcionamiento - Gral'!K$1,0)</f>
        <v>3217534087</v>
      </c>
      <c r="J45" s="19">
        <f>VLOOKUP($B45,'[1]Funcionamiento - Gral'!$B$3:$Z$56,'[1]Funcionamiento - Gral'!L$1,0)</f>
        <v>3217534087</v>
      </c>
      <c r="K45" s="19">
        <f>VLOOKUP($B45,'[1]Funcionamiento - Gral'!$B$3:$Z$56,'[1]Funcionamiento - Gral'!M$1,0)</f>
        <v>0</v>
      </c>
      <c r="L45" s="19">
        <f>VLOOKUP($B45,'[1]Funcionamiento - Gral'!$B$3:$Z$56,'[1]Funcionamiento - Gral'!N$1,0)</f>
        <v>3217534087</v>
      </c>
      <c r="M45" s="19">
        <f>VLOOKUP($B45,'[1]Funcionamiento - Gral'!$B$3:$Z$56,'[1]Funcionamiento - Gral'!O$1,0)</f>
        <v>0</v>
      </c>
      <c r="N45" s="19">
        <f>VLOOKUP($B45,'[1]Funcionamiento - Gral'!$B$3:$Z$56,'[1]Funcionamiento - Gral'!P$1,0)</f>
        <v>0</v>
      </c>
      <c r="O45" s="19">
        <f>VLOOKUP($B45,'[1]Funcionamiento - Gral'!$B$3:$Z$56,'[1]Funcionamiento - Gral'!Q$1,0)</f>
        <v>0</v>
      </c>
      <c r="P45" s="20">
        <f>VLOOKUP($B45,'[1]Funcionamiento - Gral'!$B$3:$Z$56,'[1]Funcionamiento - Gral'!R$1,0)</f>
        <v>0</v>
      </c>
      <c r="Q45" s="19">
        <f>VLOOKUP($B45,'[1]Funcionamiento - Gral'!$B$3:$Z$56,'[1]Funcionamiento - Gral'!S$1,0)</f>
        <v>3217534087</v>
      </c>
      <c r="R45" s="19" t="e">
        <f>VLOOKUP($B45,'[1]Funcionamiento - Gral'!$B$3:$Z$56,'[1]Funcionamiento - Gral'!AA$1,0)</f>
        <v>#REF!</v>
      </c>
      <c r="S45" s="19">
        <f>VLOOKUP($B45,'[1]Funcionamiento - Gral'!$B$3:$Z$56,'[1]Funcionamiento - Gral'!T$1,0)</f>
        <v>2040000000</v>
      </c>
      <c r="T45" s="19">
        <f>VLOOKUP($B45,'[1]Funcionamiento - Gral'!$B$3:$Z$56,'[1]Funcionamiento - Gral'!U$1,0)</f>
        <v>2040000000</v>
      </c>
      <c r="U45" s="19">
        <f>VLOOKUP($B45,'[1]Funcionamiento - Gral'!$B$3:$Z$56,'[1]Funcionamiento - Gral'!V$1,0)</f>
        <v>1177534087</v>
      </c>
      <c r="V45" s="20">
        <f>VLOOKUP($B45,'[1]Funcionamiento - Gral'!$B$3:$Z$56,'[1]Funcionamiento - Gral'!W$1,0)</f>
        <v>0.63402591700343969</v>
      </c>
      <c r="W45" s="19">
        <f>VLOOKUP($B45,'[1]Funcionamiento - Gral'!$B$3:$Z$56,'[1]Funcionamiento - Gral'!X$1,0)</f>
        <v>1177534087</v>
      </c>
      <c r="X45" s="19">
        <f>VLOOKUP($B45,'[1]Funcionamiento - Gral'!$B$3:$Z$56,'[1]Funcionamiento - Gral'!Y$1,0)</f>
        <v>1177534087</v>
      </c>
      <c r="Y45" s="19">
        <f>VLOOKUP($B45,'[1]Funcionamiento - Gral'!$B$3:$Z$56,'[1]Funcionamiento - Gral'!Z$1,0)</f>
        <v>1177534087</v>
      </c>
    </row>
    <row r="46" spans="2:25" ht="15" customHeight="1" x14ac:dyDescent="0.25">
      <c r="B46" s="18" t="s">
        <v>97</v>
      </c>
      <c r="C46" s="31" t="s">
        <v>33</v>
      </c>
      <c r="D46" s="18" t="s">
        <v>57</v>
      </c>
      <c r="E46" s="18" t="s">
        <v>98</v>
      </c>
      <c r="F46" s="19">
        <f>VLOOKUP($B46,'[1]Funcionamiento - Gral'!$B$3:$Z$56,'[1]Funcionamiento - Gral'!H$1,0)</f>
        <v>5032827499</v>
      </c>
      <c r="G46" s="19">
        <f>VLOOKUP($B46,'[1]Funcionamiento - Gral'!$B$3:$Z$56,'[1]Funcionamiento - Gral'!I$1,0)</f>
        <v>0</v>
      </c>
      <c r="H46" s="19">
        <f>VLOOKUP($B46,'[1]Funcionamiento - Gral'!$B$3:$Z$56,'[1]Funcionamiento - Gral'!J$1,0)</f>
        <v>5032827499</v>
      </c>
      <c r="I46" s="19">
        <f>VLOOKUP($B46,'[1]Funcionamiento - Gral'!$B$3:$Z$56,'[1]Funcionamiento - Gral'!K$1,0)</f>
        <v>4803882624.9400005</v>
      </c>
      <c r="J46" s="19">
        <f>VLOOKUP($B46,'[1]Funcionamiento - Gral'!$B$3:$Z$56,'[1]Funcionamiento - Gral'!L$1,0)</f>
        <v>9836710123.9400005</v>
      </c>
      <c r="K46" s="19">
        <f>VLOOKUP($B46,'[1]Funcionamiento - Gral'!$B$3:$Z$56,'[1]Funcionamiento - Gral'!M$1,0)</f>
        <v>1006565500</v>
      </c>
      <c r="L46" s="19">
        <f>VLOOKUP($B46,'[1]Funcionamiento - Gral'!$B$3:$Z$56,'[1]Funcionamiento - Gral'!N$1,0)</f>
        <v>8830144623.9400005</v>
      </c>
      <c r="M46" s="19">
        <f>VLOOKUP($B46,'[1]Funcionamiento - Gral'!$B$3:$Z$56,'[1]Funcionamiento - Gral'!O$1,0)</f>
        <v>0</v>
      </c>
      <c r="N46" s="19">
        <f>VLOOKUP($B46,'[1]Funcionamiento - Gral'!$B$3:$Z$56,'[1]Funcionamiento - Gral'!P$1,0)</f>
        <v>1669455035.1400001</v>
      </c>
      <c r="O46" s="19">
        <f>VLOOKUP($B46,'[1]Funcionamiento - Gral'!$B$3:$Z$56,'[1]Funcionamiento - Gral'!Q$1,0)</f>
        <v>1669455035.1400001</v>
      </c>
      <c r="P46" s="20">
        <f>VLOOKUP($B46,'[1]Funcionamiento - Gral'!$B$3:$Z$56,'[1]Funcionamiento - Gral'!R$1,0)</f>
        <v>0.33171314444449235</v>
      </c>
      <c r="Q46" s="19">
        <f>VLOOKUP($B46,'[1]Funcionamiento - Gral'!$B$3:$Z$56,'[1]Funcionamiento - Gral'!S$1,0)</f>
        <v>6473337660.0800009</v>
      </c>
      <c r="R46" s="19" t="e">
        <f>VLOOKUP($B46,'[1]Funcionamiento - Gral'!$B$3:$Z$56,'[1]Funcionamiento - Gral'!AA$1,0)</f>
        <v>#REF!</v>
      </c>
      <c r="S46" s="19">
        <f>VLOOKUP($B46,'[1]Funcionamiento - Gral'!$B$3:$Z$56,'[1]Funcionamiento - Gral'!T$1,0)</f>
        <v>2350142497</v>
      </c>
      <c r="T46" s="19">
        <f>VLOOKUP($B46,'[1]Funcionamiento - Gral'!$B$3:$Z$56,'[1]Funcionamiento - Gral'!U$1,0)</f>
        <v>1585461710</v>
      </c>
      <c r="U46" s="19">
        <f>VLOOKUP($B46,'[1]Funcionamiento - Gral'!$B$3:$Z$56,'[1]Funcionamiento - Gral'!V$1,0)</f>
        <v>6480002126.9400005</v>
      </c>
      <c r="V46" s="20">
        <f>VLOOKUP($B46,'[1]Funcionamiento - Gral'!$B$3:$Z$56,'[1]Funcionamiento - Gral'!W$1,0)</f>
        <v>0.26614994398034775</v>
      </c>
      <c r="W46" s="19">
        <f>VLOOKUP($B46,'[1]Funcionamiento - Gral'!$B$3:$Z$56,'[1]Funcionamiento - Gral'!X$1,0)</f>
        <v>4887875950.0800009</v>
      </c>
      <c r="X46" s="19">
        <f>VLOOKUP($B46,'[1]Funcionamiento - Gral'!$B$3:$Z$56,'[1]Funcionamiento - Gral'!Y$1,0)</f>
        <v>7244682913.9400005</v>
      </c>
      <c r="Y46" s="19">
        <f>VLOOKUP($B46,'[1]Funcionamiento - Gral'!$B$3:$Z$56,'[1]Funcionamiento - Gral'!Z$1,0)</f>
        <v>1883512096.9400005</v>
      </c>
    </row>
    <row r="47" spans="2:25" ht="15" customHeight="1" x14ac:dyDescent="0.25">
      <c r="B47" s="18" t="s">
        <v>99</v>
      </c>
      <c r="C47" s="31" t="s">
        <v>33</v>
      </c>
      <c r="D47" s="18" t="s">
        <v>57</v>
      </c>
      <c r="E47" s="18" t="s">
        <v>100</v>
      </c>
      <c r="F47" s="19">
        <f>VLOOKUP($B47,'[1]Funcionamiento - Gral'!$B$3:$Z$56,'[1]Funcionamiento - Gral'!H$1,0)</f>
        <v>5660037019</v>
      </c>
      <c r="G47" s="19">
        <f>VLOOKUP($B47,'[1]Funcionamiento - Gral'!$B$3:$Z$56,'[1]Funcionamiento - Gral'!I$1,0)</f>
        <v>0</v>
      </c>
      <c r="H47" s="19">
        <f>VLOOKUP($B47,'[1]Funcionamiento - Gral'!$B$3:$Z$56,'[1]Funcionamiento - Gral'!J$1,0)</f>
        <v>5660037019</v>
      </c>
      <c r="I47" s="19">
        <f>VLOOKUP($B47,'[1]Funcionamiento - Gral'!$B$3:$Z$56,'[1]Funcionamiento - Gral'!K$1,0)</f>
        <v>8165061218.0100012</v>
      </c>
      <c r="J47" s="19">
        <f>VLOOKUP($B47,'[1]Funcionamiento - Gral'!$B$3:$Z$56,'[1]Funcionamiento - Gral'!L$1,0)</f>
        <v>13825098237.010002</v>
      </c>
      <c r="K47" s="19">
        <f>VLOOKUP($B47,'[1]Funcionamiento - Gral'!$B$3:$Z$56,'[1]Funcionamiento - Gral'!M$1,0)</f>
        <v>1132007404</v>
      </c>
      <c r="L47" s="19">
        <f>VLOOKUP($B47,'[1]Funcionamiento - Gral'!$B$3:$Z$56,'[1]Funcionamiento - Gral'!N$1,0)</f>
        <v>12693090833.010002</v>
      </c>
      <c r="M47" s="19">
        <f>VLOOKUP($B47,'[1]Funcionamiento - Gral'!$B$3:$Z$56,'[1]Funcionamiento - Gral'!O$1,0)</f>
        <v>0</v>
      </c>
      <c r="N47" s="19">
        <f>VLOOKUP($B47,'[1]Funcionamiento - Gral'!$B$3:$Z$56,'[1]Funcionamiento - Gral'!P$1,0)</f>
        <v>1877508677.25</v>
      </c>
      <c r="O47" s="19">
        <f>VLOOKUP($B47,'[1]Funcionamiento - Gral'!$B$3:$Z$56,'[1]Funcionamiento - Gral'!Q$1,0)</f>
        <v>1877508677.25</v>
      </c>
      <c r="P47" s="20">
        <f>VLOOKUP($B47,'[1]Funcionamiento - Gral'!$B$3:$Z$56,'[1]Funcionamiento - Gral'!R$1,0)</f>
        <v>0.33171314444542505</v>
      </c>
      <c r="Q47" s="19">
        <f>VLOOKUP($B47,'[1]Funcionamiento - Gral'!$B$3:$Z$56,'[1]Funcionamiento - Gral'!S$1,0)</f>
        <v>10042569895.260002</v>
      </c>
      <c r="R47" s="19" t="e">
        <f>VLOOKUP($B47,'[1]Funcionamiento - Gral'!$B$3:$Z$56,'[1]Funcionamiento - Gral'!AA$1,0)</f>
        <v>#REF!</v>
      </c>
      <c r="S47" s="19">
        <f>VLOOKUP($B47,'[1]Funcionamiento - Gral'!$B$3:$Z$56,'[1]Funcionamiento - Gral'!T$1,0)</f>
        <v>2058155823</v>
      </c>
      <c r="T47" s="19">
        <f>VLOOKUP($B47,'[1]Funcionamiento - Gral'!$B$3:$Z$56,'[1]Funcionamiento - Gral'!U$1,0)</f>
        <v>741065303</v>
      </c>
      <c r="U47" s="19">
        <f>VLOOKUP($B47,'[1]Funcionamiento - Gral'!$B$3:$Z$56,'[1]Funcionamiento - Gral'!V$1,0)</f>
        <v>10634935010.010002</v>
      </c>
      <c r="V47" s="20">
        <f>VLOOKUP($B47,'[1]Funcionamiento - Gral'!$B$3:$Z$56,'[1]Funcionamiento - Gral'!W$1,0)</f>
        <v>0.16214772667091479</v>
      </c>
      <c r="W47" s="19">
        <f>VLOOKUP($B47,'[1]Funcionamiento - Gral'!$B$3:$Z$56,'[1]Funcionamiento - Gral'!X$1,0)</f>
        <v>9301504592.2600021</v>
      </c>
      <c r="X47" s="19">
        <f>VLOOKUP($B47,'[1]Funcionamiento - Gral'!$B$3:$Z$56,'[1]Funcionamiento - Gral'!Y$1,0)</f>
        <v>11952025530.010002</v>
      </c>
      <c r="Y47" s="19">
        <f>VLOOKUP($B47,'[1]Funcionamiento - Gral'!$B$3:$Z$56,'[1]Funcionamiento - Gral'!Z$1,0)</f>
        <v>3102803732.0100021</v>
      </c>
    </row>
    <row r="48" spans="2:25" ht="15" customHeight="1" x14ac:dyDescent="0.25">
      <c r="B48" s="18" t="s">
        <v>101</v>
      </c>
      <c r="C48" s="31" t="s">
        <v>33</v>
      </c>
      <c r="D48" s="18" t="s">
        <v>57</v>
      </c>
      <c r="E48" s="18" t="s">
        <v>102</v>
      </c>
      <c r="F48" s="19">
        <f>VLOOKUP($B48,'[1]Funcionamiento - Gral'!$B$3:$Z$56,'[1]Funcionamiento - Gral'!H$1,0)</f>
        <v>419402292</v>
      </c>
      <c r="G48" s="19">
        <f>VLOOKUP($B48,'[1]Funcionamiento - Gral'!$B$3:$Z$56,'[1]Funcionamiento - Gral'!I$1,0)</f>
        <v>0</v>
      </c>
      <c r="H48" s="19">
        <f>VLOOKUP($B48,'[1]Funcionamiento - Gral'!$B$3:$Z$56,'[1]Funcionamiento - Gral'!J$1,0)</f>
        <v>419402292</v>
      </c>
      <c r="I48" s="19">
        <f>VLOOKUP($B48,'[1]Funcionamiento - Gral'!$B$3:$Z$56,'[1]Funcionamiento - Gral'!K$1,0)</f>
        <v>414533334</v>
      </c>
      <c r="J48" s="19">
        <f>VLOOKUP($B48,'[1]Funcionamiento - Gral'!$B$3:$Z$56,'[1]Funcionamiento - Gral'!L$1,0)</f>
        <v>833935626</v>
      </c>
      <c r="K48" s="19">
        <f>VLOOKUP($B48,'[1]Funcionamiento - Gral'!$B$3:$Z$56,'[1]Funcionamiento - Gral'!M$1,0)</f>
        <v>83880458</v>
      </c>
      <c r="L48" s="19">
        <f>VLOOKUP($B48,'[1]Funcionamiento - Gral'!$B$3:$Z$56,'[1]Funcionamiento - Gral'!N$1,0)</f>
        <v>750055168</v>
      </c>
      <c r="M48" s="19">
        <f>VLOOKUP($B48,'[1]Funcionamiento - Gral'!$B$3:$Z$56,'[1]Funcionamiento - Gral'!O$1,0)</f>
        <v>0</v>
      </c>
      <c r="N48" s="19">
        <f>VLOOKUP($B48,'[1]Funcionamiento - Gral'!$B$3:$Z$56,'[1]Funcionamiento - Gral'!P$1,0)</f>
        <v>139121253.06999999</v>
      </c>
      <c r="O48" s="19">
        <f>VLOOKUP($B48,'[1]Funcionamiento - Gral'!$B$3:$Z$56,'[1]Funcionamiento - Gral'!Q$1,0)</f>
        <v>139121253.06999999</v>
      </c>
      <c r="P48" s="20">
        <f>VLOOKUP($B48,'[1]Funcionamiento - Gral'!$B$3:$Z$56,'[1]Funcionamiento - Gral'!R$1,0)</f>
        <v>0.33171314445272509</v>
      </c>
      <c r="Q48" s="19">
        <f>VLOOKUP($B48,'[1]Funcionamiento - Gral'!$B$3:$Z$56,'[1]Funcionamiento - Gral'!S$1,0)</f>
        <v>553654587.06999993</v>
      </c>
      <c r="R48" s="19" t="e">
        <f>VLOOKUP($B48,'[1]Funcionamiento - Gral'!$B$3:$Z$56,'[1]Funcionamiento - Gral'!AA$1,0)</f>
        <v>#REF!</v>
      </c>
      <c r="S48" s="19">
        <f>VLOOKUP($B48,'[1]Funcionamiento - Gral'!$B$3:$Z$56,'[1]Funcionamiento - Gral'!T$1,0)</f>
        <v>0</v>
      </c>
      <c r="T48" s="19">
        <f>VLOOKUP($B48,'[1]Funcionamiento - Gral'!$B$3:$Z$56,'[1]Funcionamiento - Gral'!U$1,0)</f>
        <v>0</v>
      </c>
      <c r="U48" s="19">
        <f>VLOOKUP($B48,'[1]Funcionamiento - Gral'!$B$3:$Z$56,'[1]Funcionamiento - Gral'!V$1,0)</f>
        <v>750055168</v>
      </c>
      <c r="V48" s="20">
        <f>VLOOKUP($B48,'[1]Funcionamiento - Gral'!$B$3:$Z$56,'[1]Funcionamiento - Gral'!W$1,0)</f>
        <v>0</v>
      </c>
      <c r="W48" s="19">
        <f>VLOOKUP($B48,'[1]Funcionamiento - Gral'!$B$3:$Z$56,'[1]Funcionamiento - Gral'!X$1,0)</f>
        <v>553654587.06999993</v>
      </c>
      <c r="X48" s="19">
        <f>VLOOKUP($B48,'[1]Funcionamiento - Gral'!$B$3:$Z$56,'[1]Funcionamiento - Gral'!Y$1,0)</f>
        <v>750055168</v>
      </c>
      <c r="Y48" s="19">
        <f>VLOOKUP($B48,'[1]Funcionamiento - Gral'!$B$3:$Z$56,'[1]Funcionamiento - Gral'!Z$1,0)</f>
        <v>750055168</v>
      </c>
    </row>
    <row r="49" spans="1:25" ht="15" customHeight="1" x14ac:dyDescent="0.25">
      <c r="B49" s="18" t="s">
        <v>103</v>
      </c>
      <c r="C49" s="31" t="s">
        <v>33</v>
      </c>
      <c r="D49" s="18" t="s">
        <v>57</v>
      </c>
      <c r="E49" s="18" t="s">
        <v>104</v>
      </c>
      <c r="F49" s="19">
        <f>VLOOKUP($B49,'[1]Funcionamiento - Gral'!$B$3:$Z$56,'[1]Funcionamiento - Gral'!H$1,0)</f>
        <v>838804583</v>
      </c>
      <c r="G49" s="19">
        <f>VLOOKUP($B49,'[1]Funcionamiento - Gral'!$B$3:$Z$56,'[1]Funcionamiento - Gral'!I$1,0)</f>
        <v>0</v>
      </c>
      <c r="H49" s="19">
        <f>VLOOKUP($B49,'[1]Funcionamiento - Gral'!$B$3:$Z$56,'[1]Funcionamiento - Gral'!J$1,0)</f>
        <v>838804583</v>
      </c>
      <c r="I49" s="19">
        <f>VLOOKUP($B49,'[1]Funcionamiento - Gral'!$B$3:$Z$56,'[1]Funcionamiento - Gral'!K$1,0)</f>
        <v>172014150</v>
      </c>
      <c r="J49" s="19">
        <f>VLOOKUP($B49,'[1]Funcionamiento - Gral'!$B$3:$Z$56,'[1]Funcionamiento - Gral'!L$1,0)</f>
        <v>1010818733</v>
      </c>
      <c r="K49" s="19">
        <f>VLOOKUP($B49,'[1]Funcionamiento - Gral'!$B$3:$Z$56,'[1]Funcionamiento - Gral'!M$1,0)</f>
        <v>167760917</v>
      </c>
      <c r="L49" s="19">
        <f>VLOOKUP($B49,'[1]Funcionamiento - Gral'!$B$3:$Z$56,'[1]Funcionamiento - Gral'!N$1,0)</f>
        <v>843057816</v>
      </c>
      <c r="M49" s="19">
        <f>VLOOKUP($B49,'[1]Funcionamiento - Gral'!$B$3:$Z$56,'[1]Funcionamiento - Gral'!O$1,0)</f>
        <v>0</v>
      </c>
      <c r="N49" s="19">
        <f>VLOOKUP($B49,'[1]Funcionamiento - Gral'!$B$3:$Z$56,'[1]Funcionamiento - Gral'!P$1,0)</f>
        <v>278242505.81</v>
      </c>
      <c r="O49" s="19">
        <f>VLOOKUP($B49,'[1]Funcionamiento - Gral'!$B$3:$Z$56,'[1]Funcionamiento - Gral'!Q$1,0)</f>
        <v>278242505.81</v>
      </c>
      <c r="P49" s="20">
        <f>VLOOKUP($B49,'[1]Funcionamiento - Gral'!$B$3:$Z$56,'[1]Funcionamiento - Gral'!R$1,0)</f>
        <v>0.33171314445476746</v>
      </c>
      <c r="Q49" s="19">
        <f>VLOOKUP($B49,'[1]Funcionamiento - Gral'!$B$3:$Z$56,'[1]Funcionamiento - Gral'!S$1,0)</f>
        <v>450256655.81</v>
      </c>
      <c r="R49" s="19" t="e">
        <f>VLOOKUP($B49,'[1]Funcionamiento - Gral'!$B$3:$Z$56,'[1]Funcionamiento - Gral'!AA$1,0)</f>
        <v>#REF!</v>
      </c>
      <c r="S49" s="19">
        <f>VLOOKUP($B49,'[1]Funcionamiento - Gral'!$B$3:$Z$56,'[1]Funcionamiento - Gral'!T$1,0)</f>
        <v>668664150</v>
      </c>
      <c r="T49" s="19">
        <f>VLOOKUP($B49,'[1]Funcionamiento - Gral'!$B$3:$Z$56,'[1]Funcionamiento - Gral'!U$1,0)</f>
        <v>269750000</v>
      </c>
      <c r="U49" s="19">
        <f>VLOOKUP($B49,'[1]Funcionamiento - Gral'!$B$3:$Z$56,'[1]Funcionamiento - Gral'!V$1,0)</f>
        <v>174393666</v>
      </c>
      <c r="V49" s="20">
        <f>VLOOKUP($B49,'[1]Funcionamiento - Gral'!$B$3:$Z$56,'[1]Funcionamiento - Gral'!W$1,0)</f>
        <v>0.79314151094946972</v>
      </c>
      <c r="W49" s="19">
        <f>VLOOKUP($B49,'[1]Funcionamiento - Gral'!$B$3:$Z$56,'[1]Funcionamiento - Gral'!X$1,0)</f>
        <v>180506655.81</v>
      </c>
      <c r="X49" s="19">
        <f>VLOOKUP($B49,'[1]Funcionamiento - Gral'!$B$3:$Z$56,'[1]Funcionamiento - Gral'!Y$1,0)</f>
        <v>573307816</v>
      </c>
      <c r="Y49" s="19">
        <f>VLOOKUP($B49,'[1]Funcionamiento - Gral'!$B$3:$Z$56,'[1]Funcionamiento - Gral'!Z$1,0)</f>
        <v>174393666</v>
      </c>
    </row>
    <row r="50" spans="1:25" ht="15" customHeight="1" x14ac:dyDescent="0.25">
      <c r="B50" s="18" t="s">
        <v>105</v>
      </c>
      <c r="C50" s="31" t="s">
        <v>33</v>
      </c>
      <c r="D50" s="18" t="s">
        <v>57</v>
      </c>
      <c r="E50" s="18" t="s">
        <v>106</v>
      </c>
      <c r="F50" s="19">
        <f>VLOOKUP($B50,'[1]Funcionamiento - Gral'!$B$3:$Z$56,'[1]Funcionamiento - Gral'!H$1,0)</f>
        <v>6041195013</v>
      </c>
      <c r="G50" s="19">
        <f>VLOOKUP($B50,'[1]Funcionamiento - Gral'!$B$3:$Z$56,'[1]Funcionamiento - Gral'!I$1,0)</f>
        <v>0</v>
      </c>
      <c r="H50" s="19">
        <f>VLOOKUP($B50,'[1]Funcionamiento - Gral'!$B$3:$Z$56,'[1]Funcionamiento - Gral'!J$1,0)</f>
        <v>6041195013</v>
      </c>
      <c r="I50" s="19">
        <f>VLOOKUP($B50,'[1]Funcionamiento - Gral'!$B$3:$Z$56,'[1]Funcionamiento - Gral'!K$1,0)</f>
        <v>2363731389.000001</v>
      </c>
      <c r="J50" s="19">
        <f>VLOOKUP($B50,'[1]Funcionamiento - Gral'!$B$3:$Z$56,'[1]Funcionamiento - Gral'!L$1,0)</f>
        <v>8404926402.000001</v>
      </c>
      <c r="K50" s="19">
        <f>VLOOKUP($B50,'[1]Funcionamiento - Gral'!$B$3:$Z$56,'[1]Funcionamiento - Gral'!M$1,0)</f>
        <v>1208239003</v>
      </c>
      <c r="L50" s="19">
        <f>VLOOKUP($B50,'[1]Funcionamiento - Gral'!$B$3:$Z$56,'[1]Funcionamiento - Gral'!N$1,0)</f>
        <v>7196687399.000001</v>
      </c>
      <c r="M50" s="19">
        <f>VLOOKUP($B50,'[1]Funcionamiento - Gral'!$B$3:$Z$56,'[1]Funcionamiento - Gral'!O$1,0)</f>
        <v>0</v>
      </c>
      <c r="N50" s="19">
        <f>VLOOKUP($B50,'[1]Funcionamiento - Gral'!$B$3:$Z$56,'[1]Funcionamiento - Gral'!P$1,0)</f>
        <v>2003943793.9599998</v>
      </c>
      <c r="O50" s="19">
        <f>VLOOKUP($B50,'[1]Funcionamiento - Gral'!$B$3:$Z$56,'[1]Funcionamiento - Gral'!Q$1,0)</f>
        <v>2003943793.9599998</v>
      </c>
      <c r="P50" s="20">
        <f>VLOOKUP($B50,'[1]Funcionamiento - Gral'!$B$3:$Z$56,'[1]Funcionamiento - Gral'!R$1,0)</f>
        <v>0.33171314444372824</v>
      </c>
      <c r="Q50" s="19">
        <f>VLOOKUP($B50,'[1]Funcionamiento - Gral'!$B$3:$Z$56,'[1]Funcionamiento - Gral'!S$1,0)</f>
        <v>4367675182.960001</v>
      </c>
      <c r="R50" s="19" t="e">
        <f>VLOOKUP($B50,'[1]Funcionamiento - Gral'!$B$3:$Z$56,'[1]Funcionamiento - Gral'!AA$1,0)</f>
        <v>#REF!</v>
      </c>
      <c r="S50" s="19">
        <f>VLOOKUP($B50,'[1]Funcionamiento - Gral'!$B$3:$Z$56,'[1]Funcionamiento - Gral'!T$1,0)</f>
        <v>2459730784</v>
      </c>
      <c r="T50" s="19">
        <f>VLOOKUP($B50,'[1]Funcionamiento - Gral'!$B$3:$Z$56,'[1]Funcionamiento - Gral'!U$1,0)</f>
        <v>615682113</v>
      </c>
      <c r="U50" s="19">
        <f>VLOOKUP($B50,'[1]Funcionamiento - Gral'!$B$3:$Z$56,'[1]Funcionamiento - Gral'!V$1,0)</f>
        <v>4736956615.000001</v>
      </c>
      <c r="V50" s="20">
        <f>VLOOKUP($B50,'[1]Funcionamiento - Gral'!$B$3:$Z$56,'[1]Funcionamiento - Gral'!W$1,0)</f>
        <v>0.34178652588714442</v>
      </c>
      <c r="W50" s="19">
        <f>VLOOKUP($B50,'[1]Funcionamiento - Gral'!$B$3:$Z$56,'[1]Funcionamiento - Gral'!X$1,0)</f>
        <v>3751993069.960001</v>
      </c>
      <c r="X50" s="19">
        <f>VLOOKUP($B50,'[1]Funcionamiento - Gral'!$B$3:$Z$56,'[1]Funcionamiento - Gral'!Y$1,0)</f>
        <v>6581005286.000001</v>
      </c>
      <c r="Y50" s="19">
        <f>VLOOKUP($B50,'[1]Funcionamiento - Gral'!$B$3:$Z$56,'[1]Funcionamiento - Gral'!Z$1,0)</f>
        <v>505000000.00000095</v>
      </c>
    </row>
    <row r="51" spans="1:25" ht="15" customHeight="1" x14ac:dyDescent="0.25">
      <c r="B51" s="18" t="s">
        <v>107</v>
      </c>
      <c r="C51" s="31" t="s">
        <v>33</v>
      </c>
      <c r="D51" s="18" t="s">
        <v>57</v>
      </c>
      <c r="E51" s="18" t="s">
        <v>108</v>
      </c>
      <c r="F51" s="19">
        <f>VLOOKUP($B51,'[1]Funcionamiento - Gral'!$B$3:$Z$56,'[1]Funcionamiento - Gral'!H$1,0)</f>
        <v>760795862</v>
      </c>
      <c r="G51" s="19">
        <f>VLOOKUP($B51,'[1]Funcionamiento - Gral'!$B$3:$Z$56,'[1]Funcionamiento - Gral'!I$1,0)</f>
        <v>0</v>
      </c>
      <c r="H51" s="19">
        <f>VLOOKUP($B51,'[1]Funcionamiento - Gral'!$B$3:$Z$56,'[1]Funcionamiento - Gral'!J$1,0)</f>
        <v>760795862</v>
      </c>
      <c r="I51" s="19">
        <f>VLOOKUP($B51,'[1]Funcionamiento - Gral'!$B$3:$Z$56,'[1]Funcionamiento - Gral'!K$1,0)</f>
        <v>952800268.88</v>
      </c>
      <c r="J51" s="19">
        <f>VLOOKUP($B51,'[1]Funcionamiento - Gral'!$B$3:$Z$56,'[1]Funcionamiento - Gral'!L$1,0)</f>
        <v>1713596130.8800001</v>
      </c>
      <c r="K51" s="19">
        <f>VLOOKUP($B51,'[1]Funcionamiento - Gral'!$B$3:$Z$56,'[1]Funcionamiento - Gral'!M$1,0)</f>
        <v>152159172</v>
      </c>
      <c r="L51" s="19">
        <f>VLOOKUP($B51,'[1]Funcionamiento - Gral'!$B$3:$Z$56,'[1]Funcionamiento - Gral'!N$1,0)</f>
        <v>1561436958.8800001</v>
      </c>
      <c r="M51" s="19">
        <f>VLOOKUP($B51,'[1]Funcionamiento - Gral'!$B$3:$Z$56,'[1]Funcionamiento - Gral'!O$1,0)</f>
        <v>0</v>
      </c>
      <c r="N51" s="19">
        <f>VLOOKUP($B51,'[1]Funcionamiento - Gral'!$B$3:$Z$56,'[1]Funcionamiento - Gral'!P$1,0)</f>
        <v>252365987.66000003</v>
      </c>
      <c r="O51" s="19">
        <f>VLOOKUP($B51,'[1]Funcionamiento - Gral'!$B$3:$Z$56,'[1]Funcionamiento - Gral'!Q$1,0)</f>
        <v>252365987.66000003</v>
      </c>
      <c r="P51" s="20">
        <f>VLOOKUP($B51,'[1]Funcionamiento - Gral'!$B$3:$Z$56,'[1]Funcionamiento - Gral'!R$1,0)</f>
        <v>0.33171314443873778</v>
      </c>
      <c r="Q51" s="19">
        <f>VLOOKUP($B51,'[1]Funcionamiento - Gral'!$B$3:$Z$56,'[1]Funcionamiento - Gral'!S$1,0)</f>
        <v>1205166256.54</v>
      </c>
      <c r="R51" s="19" t="e">
        <f>VLOOKUP($B51,'[1]Funcionamiento - Gral'!$B$3:$Z$56,'[1]Funcionamiento - Gral'!AA$1,0)</f>
        <v>#REF!</v>
      </c>
      <c r="S51" s="19">
        <f>VLOOKUP($B51,'[1]Funcionamiento - Gral'!$B$3:$Z$56,'[1]Funcionamiento - Gral'!T$1,0)</f>
        <v>610956046.88</v>
      </c>
      <c r="T51" s="19">
        <f>VLOOKUP($B51,'[1]Funcionamiento - Gral'!$B$3:$Z$56,'[1]Funcionamiento - Gral'!U$1,0)</f>
        <v>443494333</v>
      </c>
      <c r="U51" s="19">
        <f>VLOOKUP($B51,'[1]Funcionamiento - Gral'!$B$3:$Z$56,'[1]Funcionamiento - Gral'!V$1,0)</f>
        <v>950480912.00000012</v>
      </c>
      <c r="V51" s="20">
        <f>VLOOKUP($B51,'[1]Funcionamiento - Gral'!$B$3:$Z$56,'[1]Funcionamiento - Gral'!W$1,0)</f>
        <v>0.39127807460009872</v>
      </c>
      <c r="W51" s="19">
        <f>VLOOKUP($B51,'[1]Funcionamiento - Gral'!$B$3:$Z$56,'[1]Funcionamiento - Gral'!X$1,0)</f>
        <v>761671923.53999996</v>
      </c>
      <c r="X51" s="19">
        <f>VLOOKUP($B51,'[1]Funcionamiento - Gral'!$B$3:$Z$56,'[1]Funcionamiento - Gral'!Y$1,0)</f>
        <v>1117942625.8800001</v>
      </c>
      <c r="Y51" s="19">
        <f>VLOOKUP($B51,'[1]Funcionamiento - Gral'!$B$3:$Z$56,'[1]Funcionamiento - Gral'!Z$1,0)</f>
        <v>921626912.00000012</v>
      </c>
    </row>
    <row r="52" spans="1:25" ht="15" customHeight="1" x14ac:dyDescent="0.25">
      <c r="B52" s="18" t="s">
        <v>109</v>
      </c>
      <c r="C52" s="31" t="s">
        <v>33</v>
      </c>
      <c r="D52" s="18" t="s">
        <v>57</v>
      </c>
      <c r="E52" s="18" t="s">
        <v>110</v>
      </c>
      <c r="F52" s="19">
        <f>VLOOKUP($B52,'[1]Funcionamiento - Gral'!$B$3:$Z$56,'[1]Funcionamiento - Gral'!H$1,0)</f>
        <v>0</v>
      </c>
      <c r="G52" s="19">
        <f>VLOOKUP($B52,'[1]Funcionamiento - Gral'!$B$3:$Z$56,'[1]Funcionamiento - Gral'!I$1,0)</f>
        <v>0</v>
      </c>
      <c r="H52" s="19">
        <f>VLOOKUP($B52,'[1]Funcionamiento - Gral'!$B$3:$Z$56,'[1]Funcionamiento - Gral'!J$1,0)</f>
        <v>0</v>
      </c>
      <c r="I52" s="19">
        <f>VLOOKUP($B52,'[1]Funcionamiento - Gral'!$B$3:$Z$56,'[1]Funcionamiento - Gral'!K$1,0)</f>
        <v>45125590</v>
      </c>
      <c r="J52" s="19">
        <f>VLOOKUP($B52,'[1]Funcionamiento - Gral'!$B$3:$Z$56,'[1]Funcionamiento - Gral'!L$1,0)</f>
        <v>45125590</v>
      </c>
      <c r="K52" s="19">
        <f>VLOOKUP($B52,'[1]Funcionamiento - Gral'!$B$3:$Z$56,'[1]Funcionamiento - Gral'!M$1,0)</f>
        <v>0</v>
      </c>
      <c r="L52" s="19">
        <f>VLOOKUP($B52,'[1]Funcionamiento - Gral'!$B$3:$Z$56,'[1]Funcionamiento - Gral'!N$1,0)</f>
        <v>45125590</v>
      </c>
      <c r="M52" s="19">
        <f>VLOOKUP($B52,'[1]Funcionamiento - Gral'!$B$3:$Z$56,'[1]Funcionamiento - Gral'!O$1,0)</f>
        <v>0</v>
      </c>
      <c r="N52" s="19">
        <f>VLOOKUP($B52,'[1]Funcionamiento - Gral'!$B$3:$Z$56,'[1]Funcionamiento - Gral'!P$1,0)</f>
        <v>0</v>
      </c>
      <c r="O52" s="19">
        <f>VLOOKUP($B52,'[1]Funcionamiento - Gral'!$B$3:$Z$56,'[1]Funcionamiento - Gral'!Q$1,0)</f>
        <v>0</v>
      </c>
      <c r="P52" s="20">
        <f>VLOOKUP($B52,'[1]Funcionamiento - Gral'!$B$3:$Z$56,'[1]Funcionamiento - Gral'!R$1,0)</f>
        <v>0</v>
      </c>
      <c r="Q52" s="19">
        <f>VLOOKUP($B52,'[1]Funcionamiento - Gral'!$B$3:$Z$56,'[1]Funcionamiento - Gral'!S$1,0)</f>
        <v>45125590</v>
      </c>
      <c r="R52" s="19" t="e">
        <f>VLOOKUP($B52,'[1]Funcionamiento - Gral'!$B$3:$Z$56,'[1]Funcionamiento - Gral'!AA$1,0)</f>
        <v>#REF!</v>
      </c>
      <c r="S52" s="19">
        <f>VLOOKUP($B52,'[1]Funcionamiento - Gral'!$B$3:$Z$56,'[1]Funcionamiento - Gral'!T$1,0)</f>
        <v>0</v>
      </c>
      <c r="T52" s="19">
        <f>VLOOKUP($B52,'[1]Funcionamiento - Gral'!$B$3:$Z$56,'[1]Funcionamiento - Gral'!U$1,0)</f>
        <v>0</v>
      </c>
      <c r="U52" s="19">
        <f>VLOOKUP($B52,'[1]Funcionamiento - Gral'!$B$3:$Z$56,'[1]Funcionamiento - Gral'!V$1,0)</f>
        <v>45125590</v>
      </c>
      <c r="V52" s="20">
        <f>VLOOKUP($B52,'[1]Funcionamiento - Gral'!$B$3:$Z$56,'[1]Funcionamiento - Gral'!W$1,0)</f>
        <v>0</v>
      </c>
      <c r="W52" s="19">
        <f>VLOOKUP($B52,'[1]Funcionamiento - Gral'!$B$3:$Z$56,'[1]Funcionamiento - Gral'!X$1,0)</f>
        <v>45125590</v>
      </c>
      <c r="X52" s="19">
        <f>VLOOKUP($B52,'[1]Funcionamiento - Gral'!$B$3:$Z$56,'[1]Funcionamiento - Gral'!Y$1,0)</f>
        <v>45125590</v>
      </c>
      <c r="Y52" s="19">
        <f>VLOOKUP($B52,'[1]Funcionamiento - Gral'!$B$3:$Z$56,'[1]Funcionamiento - Gral'!Z$1,0)</f>
        <v>45125590</v>
      </c>
    </row>
    <row r="53" spans="1:25" ht="15" customHeight="1" x14ac:dyDescent="0.25">
      <c r="B53" s="18" t="s">
        <v>111</v>
      </c>
      <c r="C53" s="31" t="s">
        <v>33</v>
      </c>
      <c r="D53" s="18" t="s">
        <v>57</v>
      </c>
      <c r="E53" s="18" t="s">
        <v>112</v>
      </c>
      <c r="F53" s="19">
        <f>VLOOKUP($B53,'[1]Funcionamiento - Gral'!$B$3:$Z$56,'[1]Funcionamiento - Gral'!H$1,0)</f>
        <v>1553336948</v>
      </c>
      <c r="G53" s="19">
        <f>VLOOKUP($B53,'[1]Funcionamiento - Gral'!$B$3:$Z$56,'[1]Funcionamiento - Gral'!I$1,0)</f>
        <v>0</v>
      </c>
      <c r="H53" s="19">
        <f>VLOOKUP($B53,'[1]Funcionamiento - Gral'!$B$3:$Z$56,'[1]Funcionamiento - Gral'!J$1,0)</f>
        <v>1553336948</v>
      </c>
      <c r="I53" s="19">
        <f>VLOOKUP($B53,'[1]Funcionamiento - Gral'!$B$3:$Z$56,'[1]Funcionamiento - Gral'!K$1,0)</f>
        <v>1000961774</v>
      </c>
      <c r="J53" s="19">
        <f>VLOOKUP($B53,'[1]Funcionamiento - Gral'!$B$3:$Z$56,'[1]Funcionamiento - Gral'!L$1,0)</f>
        <v>2554298722</v>
      </c>
      <c r="K53" s="19">
        <f>VLOOKUP($B53,'[1]Funcionamiento - Gral'!$B$3:$Z$56,'[1]Funcionamiento - Gral'!M$1,0)</f>
        <v>310667390</v>
      </c>
      <c r="L53" s="19">
        <f>VLOOKUP($B53,'[1]Funcionamiento - Gral'!$B$3:$Z$56,'[1]Funcionamiento - Gral'!N$1,0)</f>
        <v>2243631332</v>
      </c>
      <c r="M53" s="19">
        <f>VLOOKUP($B53,'[1]Funcionamiento - Gral'!$B$3:$Z$56,'[1]Funcionamiento - Gral'!O$1,0)</f>
        <v>0</v>
      </c>
      <c r="N53" s="19">
        <f>VLOOKUP($B53,'[1]Funcionamiento - Gral'!$B$3:$Z$56,'[1]Funcionamiento - Gral'!P$1,0)</f>
        <v>515262283.42000008</v>
      </c>
      <c r="O53" s="19">
        <f>VLOOKUP($B53,'[1]Funcionamiento - Gral'!$B$3:$Z$56,'[1]Funcionamiento - Gral'!Q$1,0)</f>
        <v>515262283.42000008</v>
      </c>
      <c r="P53" s="20">
        <f>VLOOKUP($B53,'[1]Funcionamiento - Gral'!$B$3:$Z$56,'[1]Funcionamiento - Gral'!R$1,0)</f>
        <v>0.33171314445550681</v>
      </c>
      <c r="Q53" s="19">
        <f>VLOOKUP($B53,'[1]Funcionamiento - Gral'!$B$3:$Z$56,'[1]Funcionamiento - Gral'!S$1,0)</f>
        <v>1516224057.4200001</v>
      </c>
      <c r="R53" s="19" t="e">
        <f>VLOOKUP($B53,'[1]Funcionamiento - Gral'!$B$3:$Z$56,'[1]Funcionamiento - Gral'!AA$1,0)</f>
        <v>#REF!</v>
      </c>
      <c r="S53" s="19">
        <f>VLOOKUP($B53,'[1]Funcionamiento - Gral'!$B$3:$Z$56,'[1]Funcionamiento - Gral'!T$1,0)</f>
        <v>722286644</v>
      </c>
      <c r="T53" s="19">
        <f>VLOOKUP($B53,'[1]Funcionamiento - Gral'!$B$3:$Z$56,'[1]Funcionamiento - Gral'!U$1,0)</f>
        <v>510320078</v>
      </c>
      <c r="U53" s="19">
        <f>VLOOKUP($B53,'[1]Funcionamiento - Gral'!$B$3:$Z$56,'[1]Funcionamiento - Gral'!V$1,0)</f>
        <v>1521344688</v>
      </c>
      <c r="V53" s="20">
        <f>VLOOKUP($B53,'[1]Funcionamiento - Gral'!$B$3:$Z$56,'[1]Funcionamiento - Gral'!W$1,0)</f>
        <v>0.32192750818653659</v>
      </c>
      <c r="W53" s="19">
        <f>VLOOKUP($B53,'[1]Funcionamiento - Gral'!$B$3:$Z$56,'[1]Funcionamiento - Gral'!X$1,0)</f>
        <v>1005903979.4200001</v>
      </c>
      <c r="X53" s="19">
        <f>VLOOKUP($B53,'[1]Funcionamiento - Gral'!$B$3:$Z$56,'[1]Funcionamiento - Gral'!Y$1,0)</f>
        <v>1733311254</v>
      </c>
      <c r="Y53" s="19">
        <f>VLOOKUP($B53,'[1]Funcionamiento - Gral'!$B$3:$Z$56,'[1]Funcionamiento - Gral'!Z$1,0)</f>
        <v>1305735532</v>
      </c>
    </row>
    <row r="54" spans="1:25" s="22" customFormat="1" ht="15" customHeight="1" x14ac:dyDescent="0.25">
      <c r="A54"/>
      <c r="B54" s="21" t="s">
        <v>113</v>
      </c>
      <c r="C54" s="32" t="s">
        <v>33</v>
      </c>
      <c r="D54" s="18" t="s">
        <v>57</v>
      </c>
      <c r="E54" s="18" t="s">
        <v>114</v>
      </c>
      <c r="F54" s="19">
        <f>VLOOKUP($B54,'[1]Funcionamiento - Gral'!$B$3:$Z$56,'[1]Funcionamiento - Gral'!H$1,0)</f>
        <v>0</v>
      </c>
      <c r="G54" s="19">
        <f>VLOOKUP($B54,'[1]Funcionamiento - Gral'!$B$3:$Z$56,'[1]Funcionamiento - Gral'!I$1,0)</f>
        <v>0</v>
      </c>
      <c r="H54" s="19">
        <f>VLOOKUP($B54,'[1]Funcionamiento - Gral'!$B$3:$Z$56,'[1]Funcionamiento - Gral'!J$1,0)</f>
        <v>0</v>
      </c>
      <c r="I54" s="19">
        <f>VLOOKUP($B54,'[1]Funcionamiento - Gral'!$B$3:$Z$56,'[1]Funcionamiento - Gral'!K$1,0)</f>
        <v>1024000000.02</v>
      </c>
      <c r="J54" s="19">
        <f>VLOOKUP($B54,'[1]Funcionamiento - Gral'!$B$3:$Z$56,'[1]Funcionamiento - Gral'!L$1,0)</f>
        <v>1024000000.02</v>
      </c>
      <c r="K54" s="19">
        <f>VLOOKUP($B54,'[1]Funcionamiento - Gral'!$B$3:$Z$56,'[1]Funcionamiento - Gral'!M$1,0)</f>
        <v>0</v>
      </c>
      <c r="L54" s="19">
        <f>VLOOKUP($B54,'[1]Funcionamiento - Gral'!$B$3:$Z$56,'[1]Funcionamiento - Gral'!N$1,0)</f>
        <v>1024000000.02</v>
      </c>
      <c r="M54" s="19">
        <f>VLOOKUP($B54,'[1]Funcionamiento - Gral'!$B$3:$Z$56,'[1]Funcionamiento - Gral'!O$1,0)</f>
        <v>0</v>
      </c>
      <c r="N54" s="19">
        <f>VLOOKUP($B54,'[1]Funcionamiento - Gral'!$B$3:$Z$56,'[1]Funcionamiento - Gral'!P$1,0)</f>
        <v>0</v>
      </c>
      <c r="O54" s="19">
        <f>VLOOKUP($B54,'[1]Funcionamiento - Gral'!$B$3:$Z$56,'[1]Funcionamiento - Gral'!Q$1,0)</f>
        <v>0</v>
      </c>
      <c r="P54" s="20">
        <f>VLOOKUP($B54,'[1]Funcionamiento - Gral'!$B$3:$Z$56,'[1]Funcionamiento - Gral'!R$1,0)</f>
        <v>0</v>
      </c>
      <c r="Q54" s="19">
        <f>VLOOKUP($B54,'[1]Funcionamiento - Gral'!$B$3:$Z$56,'[1]Funcionamiento - Gral'!S$1,0)</f>
        <v>1024000000.02</v>
      </c>
      <c r="R54" s="19" t="e">
        <f>VLOOKUP($B54,'[1]Funcionamiento - Gral'!$B$3:$Z$56,'[1]Funcionamiento - Gral'!AA$1,0)</f>
        <v>#REF!</v>
      </c>
      <c r="S54" s="19">
        <f>VLOOKUP($B54,'[1]Funcionamiento - Gral'!$B$3:$Z$56,'[1]Funcionamiento - Gral'!T$1,0)</f>
        <v>887100000</v>
      </c>
      <c r="T54" s="19">
        <f>VLOOKUP($B54,'[1]Funcionamiento - Gral'!$B$3:$Z$56,'[1]Funcionamiento - Gral'!U$1,0)</f>
        <v>733937469</v>
      </c>
      <c r="U54" s="19">
        <f>VLOOKUP($B54,'[1]Funcionamiento - Gral'!$B$3:$Z$56,'[1]Funcionamiento - Gral'!V$1,0)</f>
        <v>136900000.01999998</v>
      </c>
      <c r="V54" s="20">
        <f>VLOOKUP($B54,'[1]Funcionamiento - Gral'!$B$3:$Z$56,'[1]Funcionamiento - Gral'!W$1,0)</f>
        <v>0.86630859373307989</v>
      </c>
      <c r="W54" s="19">
        <f>VLOOKUP($B54,'[1]Funcionamiento - Gral'!$B$3:$Z$56,'[1]Funcionamiento - Gral'!X$1,0)</f>
        <v>290062531.01999998</v>
      </c>
      <c r="X54" s="19">
        <f>VLOOKUP($B54,'[1]Funcionamiento - Gral'!$B$3:$Z$56,'[1]Funcionamiento - Gral'!Y$1,0)</f>
        <v>290062531.01999998</v>
      </c>
      <c r="Y54" s="19">
        <f>VLOOKUP($B54,'[1]Funcionamiento - Gral'!$B$3:$Z$56,'[1]Funcionamiento - Gral'!Z$1,0)</f>
        <v>58900000.019999981</v>
      </c>
    </row>
    <row r="55" spans="1:25" s="22" customFormat="1" ht="15" customHeight="1" x14ac:dyDescent="0.25">
      <c r="A55"/>
      <c r="B55" s="21" t="s">
        <v>115</v>
      </c>
      <c r="C55" s="32" t="s">
        <v>33</v>
      </c>
      <c r="D55" s="18" t="s">
        <v>57</v>
      </c>
      <c r="E55" s="18" t="s">
        <v>116</v>
      </c>
      <c r="F55" s="19">
        <f>VLOOKUP($B55,'[1]Funcionamiento - Gral'!$B$3:$Z$56,'[1]Funcionamiento - Gral'!H$1,0)</f>
        <v>293349300</v>
      </c>
      <c r="G55" s="19">
        <f>VLOOKUP($B55,'[1]Funcionamiento - Gral'!$B$3:$Z$56,'[1]Funcionamiento - Gral'!I$1,0)</f>
        <v>0</v>
      </c>
      <c r="H55" s="19">
        <f>VLOOKUP($B55,'[1]Funcionamiento - Gral'!$B$3:$Z$56,'[1]Funcionamiento - Gral'!J$1,0)</f>
        <v>293349300</v>
      </c>
      <c r="I55" s="19">
        <f>VLOOKUP($B55,'[1]Funcionamiento - Gral'!$B$3:$Z$56,'[1]Funcionamiento - Gral'!K$1,0)</f>
        <v>0</v>
      </c>
      <c r="J55" s="19">
        <f>VLOOKUP($B55,'[1]Funcionamiento - Gral'!$B$3:$Z$56,'[1]Funcionamiento - Gral'!L$1,0)</f>
        <v>293349300</v>
      </c>
      <c r="K55" s="19">
        <f>VLOOKUP($B55,'[1]Funcionamiento - Gral'!$B$3:$Z$56,'[1]Funcionamiento - Gral'!M$1,0)</f>
        <v>58669860</v>
      </c>
      <c r="L55" s="19">
        <f>VLOOKUP($B55,'[1]Funcionamiento - Gral'!$B$3:$Z$56,'[1]Funcionamiento - Gral'!N$1,0)</f>
        <v>234679440</v>
      </c>
      <c r="M55" s="19">
        <f>VLOOKUP($B55,'[1]Funcionamiento - Gral'!$B$3:$Z$56,'[1]Funcionamiento - Gral'!O$1,0)</f>
        <v>0</v>
      </c>
      <c r="N55" s="19">
        <f>VLOOKUP($B55,'[1]Funcionamiento - Gral'!$B$3:$Z$56,'[1]Funcionamiento - Gral'!P$1,0)</f>
        <v>97307818.719999999</v>
      </c>
      <c r="O55" s="19">
        <f>VLOOKUP($B55,'[1]Funcionamiento - Gral'!$B$3:$Z$56,'[1]Funcionamiento - Gral'!Q$1,0)</f>
        <v>97307818.719999999</v>
      </c>
      <c r="P55" s="20">
        <f>VLOOKUP($B55,'[1]Funcionamiento - Gral'!$B$3:$Z$56,'[1]Funcionamiento - Gral'!R$1,0)</f>
        <v>0.33171314443225192</v>
      </c>
      <c r="Q55" s="19">
        <f>VLOOKUP($B55,'[1]Funcionamiento - Gral'!$B$3:$Z$56,'[1]Funcionamiento - Gral'!S$1,0)</f>
        <v>97307818.719999999</v>
      </c>
      <c r="R55" s="19" t="e">
        <f>VLOOKUP($B55,'[1]Funcionamiento - Gral'!$B$3:$Z$56,'[1]Funcionamiento - Gral'!AA$1,0)</f>
        <v>#REF!</v>
      </c>
      <c r="S55" s="19">
        <f>VLOOKUP($B55,'[1]Funcionamiento - Gral'!$B$3:$Z$56,'[1]Funcionamiento - Gral'!T$1,0)</f>
        <v>0</v>
      </c>
      <c r="T55" s="19">
        <f>VLOOKUP($B55,'[1]Funcionamiento - Gral'!$B$3:$Z$56,'[1]Funcionamiento - Gral'!U$1,0)</f>
        <v>0</v>
      </c>
      <c r="U55" s="19">
        <f>VLOOKUP($B55,'[1]Funcionamiento - Gral'!$B$3:$Z$56,'[1]Funcionamiento - Gral'!V$1,0)</f>
        <v>234679440</v>
      </c>
      <c r="V55" s="20">
        <f>VLOOKUP($B55,'[1]Funcionamiento - Gral'!$B$3:$Z$56,'[1]Funcionamiento - Gral'!W$1,0)</f>
        <v>0</v>
      </c>
      <c r="W55" s="19">
        <f>VLOOKUP($B55,'[1]Funcionamiento - Gral'!$B$3:$Z$56,'[1]Funcionamiento - Gral'!X$1,0)</f>
        <v>97307818.719999999</v>
      </c>
      <c r="X55" s="19">
        <f>VLOOKUP($B55,'[1]Funcionamiento - Gral'!$B$3:$Z$56,'[1]Funcionamiento - Gral'!Y$1,0)</f>
        <v>234679440</v>
      </c>
      <c r="Y55" s="19">
        <f>VLOOKUP($B55,'[1]Funcionamiento - Gral'!$B$3:$Z$56,'[1]Funcionamiento - Gral'!Z$1,0)</f>
        <v>234679440</v>
      </c>
    </row>
    <row r="56" spans="1:25" s="22" customFormat="1" ht="15" customHeight="1" x14ac:dyDescent="0.25">
      <c r="A56"/>
      <c r="B56" s="21" t="s">
        <v>117</v>
      </c>
      <c r="C56" s="32" t="s">
        <v>33</v>
      </c>
      <c r="D56" s="18" t="s">
        <v>42</v>
      </c>
      <c r="E56" s="18" t="s">
        <v>118</v>
      </c>
      <c r="F56" s="19">
        <f>VLOOKUP($B56,'[1]Funcionamiento - Gral'!$B$3:$Z$56,'[1]Funcionamiento - Gral'!H$1,0)</f>
        <v>0</v>
      </c>
      <c r="G56" s="19">
        <f>VLOOKUP($B56,'[1]Funcionamiento - Gral'!$B$3:$Z$56,'[1]Funcionamiento - Gral'!I$1,0)</f>
        <v>0</v>
      </c>
      <c r="H56" s="19">
        <f>VLOOKUP($B56,'[1]Funcionamiento - Gral'!$B$3:$Z$56,'[1]Funcionamiento - Gral'!J$1,0)</f>
        <v>0</v>
      </c>
      <c r="I56" s="19">
        <f>VLOOKUP($B56,'[1]Funcionamiento - Gral'!$B$3:$Z$56,'[1]Funcionamiento - Gral'!K$1,0)</f>
        <v>0</v>
      </c>
      <c r="J56" s="19">
        <f>VLOOKUP($B56,'[1]Funcionamiento - Gral'!$B$3:$Z$56,'[1]Funcionamiento - Gral'!L$1,0)</f>
        <v>0</v>
      </c>
      <c r="K56" s="19">
        <f>VLOOKUP($B56,'[1]Funcionamiento - Gral'!$B$3:$Z$56,'[1]Funcionamiento - Gral'!M$1,0)</f>
        <v>0</v>
      </c>
      <c r="L56" s="19">
        <f>VLOOKUP($B56,'[1]Funcionamiento - Gral'!$B$3:$Z$56,'[1]Funcionamiento - Gral'!N$1,0)</f>
        <v>0</v>
      </c>
      <c r="M56" s="19">
        <f>VLOOKUP($B56,'[1]Funcionamiento - Gral'!$B$3:$Z$56,'[1]Funcionamiento - Gral'!O$1,0)</f>
        <v>0</v>
      </c>
      <c r="N56" s="19">
        <f>VLOOKUP($B56,'[1]Funcionamiento - Gral'!$B$3:$Z$56,'[1]Funcionamiento - Gral'!P$1,0)</f>
        <v>0</v>
      </c>
      <c r="O56" s="19">
        <f>VLOOKUP($B56,'[1]Funcionamiento - Gral'!$B$3:$Z$56,'[1]Funcionamiento - Gral'!Q$1,0)</f>
        <v>0</v>
      </c>
      <c r="P56" s="20">
        <f>VLOOKUP($B56,'[1]Funcionamiento - Gral'!$B$3:$Z$56,'[1]Funcionamiento - Gral'!R$1,0)</f>
        <v>0</v>
      </c>
      <c r="Q56" s="19">
        <f>VLOOKUP($B56,'[1]Funcionamiento - Gral'!$B$3:$Z$56,'[1]Funcionamiento - Gral'!S$1,0)</f>
        <v>0</v>
      </c>
      <c r="R56" s="19" t="e">
        <f>VLOOKUP($B56,'[1]Funcionamiento - Gral'!$B$3:$Z$56,'[1]Funcionamiento - Gral'!AA$1,0)</f>
        <v>#REF!</v>
      </c>
      <c r="S56" s="19">
        <f>VLOOKUP($B56,'[1]Funcionamiento - Gral'!$B$3:$Z$56,'[1]Funcionamiento - Gral'!T$1,0)</f>
        <v>0</v>
      </c>
      <c r="T56" s="19">
        <f>VLOOKUP($B56,'[1]Funcionamiento - Gral'!$B$3:$Z$56,'[1]Funcionamiento - Gral'!U$1,0)</f>
        <v>0</v>
      </c>
      <c r="U56" s="19">
        <f>VLOOKUP($B56,'[1]Funcionamiento - Gral'!$B$3:$Z$56,'[1]Funcionamiento - Gral'!V$1,0)</f>
        <v>0</v>
      </c>
      <c r="V56" s="20">
        <f>VLOOKUP($B56,'[1]Funcionamiento - Gral'!$B$3:$Z$56,'[1]Funcionamiento - Gral'!W$1,0)</f>
        <v>0</v>
      </c>
      <c r="W56" s="19">
        <f>VLOOKUP($B56,'[1]Funcionamiento - Gral'!$B$3:$Z$56,'[1]Funcionamiento - Gral'!X$1,0)</f>
        <v>0</v>
      </c>
      <c r="X56" s="19">
        <f>VLOOKUP($B56,'[1]Funcionamiento - Gral'!$B$3:$Z$56,'[1]Funcionamiento - Gral'!Y$1,0)</f>
        <v>0</v>
      </c>
      <c r="Y56" s="19">
        <f>VLOOKUP($B56,'[1]Funcionamiento - Gral'!$B$3:$Z$56,'[1]Funcionamiento - Gral'!Z$1,0)</f>
        <v>0</v>
      </c>
    </row>
    <row r="57" spans="1:25" s="22" customFormat="1" ht="15" customHeight="1" x14ac:dyDescent="0.25">
      <c r="A57"/>
      <c r="B57" s="21" t="s">
        <v>119</v>
      </c>
      <c r="C57" s="32" t="s">
        <v>33</v>
      </c>
      <c r="D57" s="18" t="s">
        <v>42</v>
      </c>
      <c r="E57" s="18" t="s">
        <v>120</v>
      </c>
      <c r="F57" s="19">
        <f>VLOOKUP($B57,'[1]Funcionamiento - Gral'!$B$3:$Z$56,'[1]Funcionamiento - Gral'!H$1,0)</f>
        <v>838804583</v>
      </c>
      <c r="G57" s="19">
        <f>VLOOKUP($B57,'[1]Funcionamiento - Gral'!$B$3:$Z$56,'[1]Funcionamiento - Gral'!I$1,0)</f>
        <v>0</v>
      </c>
      <c r="H57" s="19">
        <f>VLOOKUP($B57,'[1]Funcionamiento - Gral'!$B$3:$Z$56,'[1]Funcionamiento - Gral'!J$1,0)</f>
        <v>838804583</v>
      </c>
      <c r="I57" s="19">
        <f>VLOOKUP($B57,'[1]Funcionamiento - Gral'!$B$3:$Z$56,'[1]Funcionamiento - Gral'!K$1,0)</f>
        <v>0</v>
      </c>
      <c r="J57" s="19">
        <f>VLOOKUP($B57,'[1]Funcionamiento - Gral'!$B$3:$Z$56,'[1]Funcionamiento - Gral'!L$1,0)</f>
        <v>838804583</v>
      </c>
      <c r="K57" s="19">
        <f>VLOOKUP($B57,'[1]Funcionamiento - Gral'!$B$3:$Z$56,'[1]Funcionamiento - Gral'!M$1,0)</f>
        <v>167760917</v>
      </c>
      <c r="L57" s="19">
        <f>VLOOKUP($B57,'[1]Funcionamiento - Gral'!$B$3:$Z$56,'[1]Funcionamiento - Gral'!N$1,0)</f>
        <v>671043666</v>
      </c>
      <c r="M57" s="19">
        <f>VLOOKUP($B57,'[1]Funcionamiento - Gral'!$B$3:$Z$56,'[1]Funcionamiento - Gral'!O$1,0)</f>
        <v>0</v>
      </c>
      <c r="N57" s="19">
        <f>VLOOKUP($B57,'[1]Funcionamiento - Gral'!$B$3:$Z$56,'[1]Funcionamiento - Gral'!P$1,0)</f>
        <v>278242505.81</v>
      </c>
      <c r="O57" s="19">
        <f>VLOOKUP($B57,'[1]Funcionamiento - Gral'!$B$3:$Z$56,'[1]Funcionamiento - Gral'!Q$1,0)</f>
        <v>278242505.81</v>
      </c>
      <c r="P57" s="20">
        <f>VLOOKUP($B57,'[1]Funcionamiento - Gral'!$B$3:$Z$56,'[1]Funcionamiento - Gral'!R$1,0)</f>
        <v>0.33171314445476746</v>
      </c>
      <c r="Q57" s="19">
        <f>VLOOKUP($B57,'[1]Funcionamiento - Gral'!$B$3:$Z$56,'[1]Funcionamiento - Gral'!S$1,0)</f>
        <v>278242505.81</v>
      </c>
      <c r="R57" s="19" t="e">
        <f>VLOOKUP($B57,'[1]Funcionamiento - Gral'!$B$3:$Z$56,'[1]Funcionamiento - Gral'!AA$1,0)</f>
        <v>#REF!</v>
      </c>
      <c r="S57" s="19">
        <f>VLOOKUP($B57,'[1]Funcionamiento - Gral'!$B$3:$Z$56,'[1]Funcionamiento - Gral'!T$1,0)</f>
        <v>0</v>
      </c>
      <c r="T57" s="19">
        <f>VLOOKUP($B57,'[1]Funcionamiento - Gral'!$B$3:$Z$56,'[1]Funcionamiento - Gral'!U$1,0)</f>
        <v>0</v>
      </c>
      <c r="U57" s="19">
        <f>VLOOKUP($B57,'[1]Funcionamiento - Gral'!$B$3:$Z$56,'[1]Funcionamiento - Gral'!V$1,0)</f>
        <v>671043666</v>
      </c>
      <c r="V57" s="20">
        <f>VLOOKUP($B57,'[1]Funcionamiento - Gral'!$B$3:$Z$56,'[1]Funcionamiento - Gral'!W$1,0)</f>
        <v>0</v>
      </c>
      <c r="W57" s="19">
        <f>VLOOKUP($B57,'[1]Funcionamiento - Gral'!$B$3:$Z$56,'[1]Funcionamiento - Gral'!X$1,0)</f>
        <v>278242505.81</v>
      </c>
      <c r="X57" s="19">
        <f>VLOOKUP($B57,'[1]Funcionamiento - Gral'!$B$3:$Z$56,'[1]Funcionamiento - Gral'!Y$1,0)</f>
        <v>671043666</v>
      </c>
      <c r="Y57" s="19">
        <f>VLOOKUP($B57,'[1]Funcionamiento - Gral'!$B$3:$Z$56,'[1]Funcionamiento - Gral'!Z$1,0)</f>
        <v>671043666</v>
      </c>
    </row>
    <row r="58" spans="1:25" s="22" customFormat="1" ht="15" customHeight="1" x14ac:dyDescent="0.25">
      <c r="A58"/>
      <c r="B58" s="21" t="s">
        <v>121</v>
      </c>
      <c r="C58" s="32" t="s">
        <v>33</v>
      </c>
      <c r="D58" s="18" t="s">
        <v>42</v>
      </c>
      <c r="E58" s="18" t="s">
        <v>122</v>
      </c>
      <c r="F58" s="19">
        <f>VLOOKUP($B58,'[1]Funcionamiento - Gral'!$B$3:$Z$56,'[1]Funcionamiento - Gral'!H$1,0)</f>
        <v>0</v>
      </c>
      <c r="G58" s="19">
        <f>VLOOKUP($B58,'[1]Funcionamiento - Gral'!$B$3:$Z$56,'[1]Funcionamiento - Gral'!I$1,0)</f>
        <v>0</v>
      </c>
      <c r="H58" s="19">
        <f>VLOOKUP($B58,'[1]Funcionamiento - Gral'!$B$3:$Z$56,'[1]Funcionamiento - Gral'!J$1,0)</f>
        <v>0</v>
      </c>
      <c r="I58" s="19">
        <f>VLOOKUP($B58,'[1]Funcionamiento - Gral'!$B$3:$Z$56,'[1]Funcionamiento - Gral'!K$1,0)</f>
        <v>0</v>
      </c>
      <c r="J58" s="19">
        <f>VLOOKUP($B58,'[1]Funcionamiento - Gral'!$B$3:$Z$56,'[1]Funcionamiento - Gral'!L$1,0)</f>
        <v>0</v>
      </c>
      <c r="K58" s="19">
        <f>VLOOKUP($B58,'[1]Funcionamiento - Gral'!$B$3:$Z$56,'[1]Funcionamiento - Gral'!M$1,0)</f>
        <v>0</v>
      </c>
      <c r="L58" s="19">
        <f>VLOOKUP($B58,'[1]Funcionamiento - Gral'!$B$3:$Z$56,'[1]Funcionamiento - Gral'!N$1,0)</f>
        <v>0</v>
      </c>
      <c r="M58" s="19">
        <f>VLOOKUP($B58,'[1]Funcionamiento - Gral'!$B$3:$Z$56,'[1]Funcionamiento - Gral'!O$1,0)</f>
        <v>0</v>
      </c>
      <c r="N58" s="19">
        <f>VLOOKUP($B58,'[1]Funcionamiento - Gral'!$B$3:$Z$56,'[1]Funcionamiento - Gral'!P$1,0)</f>
        <v>0</v>
      </c>
      <c r="O58" s="19">
        <f>VLOOKUP($B58,'[1]Funcionamiento - Gral'!$B$3:$Z$56,'[1]Funcionamiento - Gral'!Q$1,0)</f>
        <v>0</v>
      </c>
      <c r="P58" s="20">
        <f>VLOOKUP($B58,'[1]Funcionamiento - Gral'!$B$3:$Z$56,'[1]Funcionamiento - Gral'!R$1,0)</f>
        <v>0</v>
      </c>
      <c r="Q58" s="19">
        <f>VLOOKUP($B58,'[1]Funcionamiento - Gral'!$B$3:$Z$56,'[1]Funcionamiento - Gral'!S$1,0)</f>
        <v>0</v>
      </c>
      <c r="R58" s="19" t="e">
        <f>VLOOKUP($B58,'[1]Funcionamiento - Gral'!$B$3:$Z$56,'[1]Funcionamiento - Gral'!AA$1,0)</f>
        <v>#REF!</v>
      </c>
      <c r="S58" s="19">
        <f>VLOOKUP($B58,'[1]Funcionamiento - Gral'!$B$3:$Z$56,'[1]Funcionamiento - Gral'!T$1,0)</f>
        <v>0</v>
      </c>
      <c r="T58" s="19">
        <f>VLOOKUP($B58,'[1]Funcionamiento - Gral'!$B$3:$Z$56,'[1]Funcionamiento - Gral'!U$1,0)</f>
        <v>0</v>
      </c>
      <c r="U58" s="19">
        <f>VLOOKUP($B58,'[1]Funcionamiento - Gral'!$B$3:$Z$56,'[1]Funcionamiento - Gral'!V$1,0)</f>
        <v>0</v>
      </c>
      <c r="V58" s="20">
        <f>VLOOKUP($B58,'[1]Funcionamiento - Gral'!$B$3:$Z$56,'[1]Funcionamiento - Gral'!W$1,0)</f>
        <v>0</v>
      </c>
      <c r="W58" s="19">
        <f>VLOOKUP($B58,'[1]Funcionamiento - Gral'!$B$3:$Z$56,'[1]Funcionamiento - Gral'!X$1,0)</f>
        <v>0</v>
      </c>
      <c r="X58" s="19">
        <f>VLOOKUP($B58,'[1]Funcionamiento - Gral'!$B$3:$Z$56,'[1]Funcionamiento - Gral'!Y$1,0)</f>
        <v>0</v>
      </c>
      <c r="Y58" s="19">
        <f>VLOOKUP($B58,'[1]Funcionamiento - Gral'!$B$3:$Z$56,'[1]Funcionamiento - Gral'!Z$1,0)</f>
        <v>0</v>
      </c>
    </row>
    <row r="59" spans="1:25" s="22" customFormat="1" ht="15" customHeight="1" x14ac:dyDescent="0.25">
      <c r="A59"/>
      <c r="B59" s="21" t="s">
        <v>123</v>
      </c>
      <c r="C59" s="32" t="s">
        <v>33</v>
      </c>
      <c r="D59" s="18" t="s">
        <v>124</v>
      </c>
      <c r="E59" s="18" t="s">
        <v>125</v>
      </c>
      <c r="F59" s="19">
        <f>VLOOKUP($B59,'[1]Funcionamiento - Gral'!$B$3:$Z$56,'[1]Funcionamiento - Gral'!H$1,0)</f>
        <v>10214464971</v>
      </c>
      <c r="G59" s="19">
        <f>VLOOKUP($B59,'[1]Funcionamiento - Gral'!$B$3:$Z$56,'[1]Funcionamiento - Gral'!I$1,0)</f>
        <v>0</v>
      </c>
      <c r="H59" s="19">
        <f>VLOOKUP($B59,'[1]Funcionamiento - Gral'!$B$3:$Z$56,'[1]Funcionamiento - Gral'!J$1,0)</f>
        <v>10214464971</v>
      </c>
      <c r="I59" s="19">
        <f>VLOOKUP($B59,'[1]Funcionamiento - Gral'!$B$3:$Z$56,'[1]Funcionamiento - Gral'!K$1,0)</f>
        <v>61397388235.07</v>
      </c>
      <c r="J59" s="19">
        <f>VLOOKUP($B59,'[1]Funcionamiento - Gral'!$B$3:$Z$56,'[1]Funcionamiento - Gral'!L$1,0)</f>
        <v>71611853206.070007</v>
      </c>
      <c r="K59" s="19">
        <f>VLOOKUP($B59,'[1]Funcionamiento - Gral'!$B$3:$Z$56,'[1]Funcionamiento - Gral'!M$1,0)</f>
        <v>0</v>
      </c>
      <c r="L59" s="19">
        <f>VLOOKUP($B59,'[1]Funcionamiento - Gral'!$B$3:$Z$56,'[1]Funcionamiento - Gral'!N$1,0)</f>
        <v>71611853206.070007</v>
      </c>
      <c r="M59" s="19">
        <f>VLOOKUP($B59,'[1]Funcionamiento - Gral'!$B$3:$Z$56,'[1]Funcionamiento - Gral'!O$1,0)</f>
        <v>0</v>
      </c>
      <c r="N59" s="19">
        <f>VLOOKUP($B59,'[1]Funcionamiento - Gral'!$B$3:$Z$56,'[1]Funcionamiento - Gral'!P$1,0)</f>
        <v>3388272294.3900003</v>
      </c>
      <c r="O59" s="19">
        <f>VLOOKUP($B59,'[1]Funcionamiento - Gral'!$B$3:$Z$56,'[1]Funcionamiento - Gral'!Q$1,0)</f>
        <v>3388272294.3900003</v>
      </c>
      <c r="P59" s="20">
        <f>VLOOKUP($B59,'[1]Funcionamiento - Gral'!$B$3:$Z$56,'[1]Funcionamiento - Gral'!R$1,0)</f>
        <v>0.33171314444855227</v>
      </c>
      <c r="Q59" s="19">
        <f>VLOOKUP($B59,'[1]Funcionamiento - Gral'!$B$3:$Z$56,'[1]Funcionamiento - Gral'!S$1,0)</f>
        <v>64785660529.459999</v>
      </c>
      <c r="R59" s="19" t="e">
        <f>VLOOKUP($B59,'[1]Funcionamiento - Gral'!$B$3:$Z$56,'[1]Funcionamiento - Gral'!AA$1,0)</f>
        <v>#REF!</v>
      </c>
      <c r="S59" s="19">
        <f>VLOOKUP($B59,'[1]Funcionamiento - Gral'!$B$3:$Z$56,'[1]Funcionamiento - Gral'!T$1,0)</f>
        <v>19997667883.16</v>
      </c>
      <c r="T59" s="19">
        <f>VLOOKUP($B59,'[1]Funcionamiento - Gral'!$B$3:$Z$56,'[1]Funcionamiento - Gral'!U$1,0)</f>
        <v>6407623672.9100008</v>
      </c>
      <c r="U59" s="19">
        <f>VLOOKUP($B59,'[1]Funcionamiento - Gral'!$B$3:$Z$56,'[1]Funcionamiento - Gral'!V$1,0)</f>
        <v>51614185322.910004</v>
      </c>
      <c r="V59" s="20">
        <f>VLOOKUP($B59,'[1]Funcionamiento - Gral'!$B$3:$Z$56,'[1]Funcionamiento - Gral'!W$1,0)</f>
        <v>0.2792508081813605</v>
      </c>
      <c r="W59" s="19">
        <f>VLOOKUP($B59,'[1]Funcionamiento - Gral'!$B$3:$Z$56,'[1]Funcionamiento - Gral'!X$1,0)</f>
        <v>58378036856.549995</v>
      </c>
      <c r="X59" s="19">
        <f>VLOOKUP($B59,'[1]Funcionamiento - Gral'!$B$3:$Z$56,'[1]Funcionamiento - Gral'!Y$1,0)</f>
        <v>65204229533.160004</v>
      </c>
      <c r="Y59" s="19">
        <f>VLOOKUP($B59,'[1]Funcionamiento - Gral'!$B$3:$Z$56,'[1]Funcionamiento - Gral'!Z$1,0)</f>
        <v>46255247471.12001</v>
      </c>
    </row>
    <row r="60" spans="1:25" s="22" customFormat="1" ht="15" customHeight="1" x14ac:dyDescent="0.25">
      <c r="A60"/>
      <c r="B60" s="21" t="s">
        <v>126</v>
      </c>
      <c r="C60" s="32" t="s">
        <v>33</v>
      </c>
      <c r="D60" s="18" t="s">
        <v>124</v>
      </c>
      <c r="E60" s="18" t="s">
        <v>127</v>
      </c>
      <c r="F60" s="19">
        <f>VLOOKUP($B60,'[1]Funcionamiento - Gral'!$B$3:$Z$56,'[1]Funcionamiento - Gral'!H$1,0)</f>
        <v>10214464971</v>
      </c>
      <c r="G60" s="19">
        <f>VLOOKUP($B60,'[1]Funcionamiento - Gral'!$B$3:$Z$56,'[1]Funcionamiento - Gral'!I$1,0)</f>
        <v>0</v>
      </c>
      <c r="H60" s="19">
        <f>VLOOKUP($B60,'[1]Funcionamiento - Gral'!$B$3:$Z$56,'[1]Funcionamiento - Gral'!J$1,0)</f>
        <v>10214464971</v>
      </c>
      <c r="I60" s="19">
        <f>VLOOKUP($B60,'[1]Funcionamiento - Gral'!$B$3:$Z$56,'[1]Funcionamiento - Gral'!K$1,0)</f>
        <v>0</v>
      </c>
      <c r="J60" s="19">
        <f>VLOOKUP($B60,'[1]Funcionamiento - Gral'!$B$3:$Z$56,'[1]Funcionamiento - Gral'!L$1,0)</f>
        <v>10214464971</v>
      </c>
      <c r="K60" s="19">
        <f>VLOOKUP($B60,'[1]Funcionamiento - Gral'!$B$3:$Z$56,'[1]Funcionamiento - Gral'!M$1,0)</f>
        <v>0</v>
      </c>
      <c r="L60" s="19">
        <f>VLOOKUP($B60,'[1]Funcionamiento - Gral'!$B$3:$Z$56,'[1]Funcionamiento - Gral'!N$1,0)</f>
        <v>10214464971</v>
      </c>
      <c r="M60" s="19">
        <f>VLOOKUP($B60,'[1]Funcionamiento - Gral'!$B$3:$Z$56,'[1]Funcionamiento - Gral'!O$1,0)</f>
        <v>0</v>
      </c>
      <c r="N60" s="19">
        <f>VLOOKUP($B60,'[1]Funcionamiento - Gral'!$B$3:$Z$56,'[1]Funcionamiento - Gral'!P$1,0)</f>
        <v>3388272294.3300009</v>
      </c>
      <c r="O60" s="19">
        <f>VLOOKUP($B60,'[1]Funcionamiento - Gral'!$B$3:$Z$56,'[1]Funcionamiento - Gral'!Q$1,0)</f>
        <v>3388272294.3300009</v>
      </c>
      <c r="P60" s="20">
        <f>VLOOKUP($B60,'[1]Funcionamiento - Gral'!$B$3:$Z$56,'[1]Funcionamiento - Gral'!R$1,0)</f>
        <v>0.3317131444426783</v>
      </c>
      <c r="Q60" s="19">
        <f>VLOOKUP($B60,'[1]Funcionamiento - Gral'!$B$3:$Z$56,'[1]Funcionamiento - Gral'!S$1,0)</f>
        <v>3388272294.3300009</v>
      </c>
      <c r="R60" s="19" t="e">
        <f>VLOOKUP($B60,'[1]Funcionamiento - Gral'!$B$3:$Z$56,'[1]Funcionamiento - Gral'!AA$1,0)</f>
        <v>#REF!</v>
      </c>
      <c r="S60" s="19">
        <f>VLOOKUP($B60,'[1]Funcionamiento - Gral'!$B$3:$Z$56,'[1]Funcionamiento - Gral'!T$1,0)</f>
        <v>3273458263.6799998</v>
      </c>
      <c r="T60" s="19">
        <f>VLOOKUP($B60,'[1]Funcionamiento - Gral'!$B$3:$Z$56,'[1]Funcionamiento - Gral'!U$1,0)</f>
        <v>481904074</v>
      </c>
      <c r="U60" s="19">
        <f>VLOOKUP($B60,'[1]Funcionamiento - Gral'!$B$3:$Z$56,'[1]Funcionamiento - Gral'!V$1,0)</f>
        <v>6941006707.3199997</v>
      </c>
      <c r="V60" s="20">
        <f>VLOOKUP($B60,'[1]Funcionamiento - Gral'!$B$3:$Z$56,'[1]Funcionamiento - Gral'!W$1,0)</f>
        <v>0.32047280723696359</v>
      </c>
      <c r="W60" s="19">
        <f>VLOOKUP($B60,'[1]Funcionamiento - Gral'!$B$3:$Z$56,'[1]Funcionamiento - Gral'!X$1,0)</f>
        <v>2906368220.3300009</v>
      </c>
      <c r="X60" s="19">
        <f>VLOOKUP($B60,'[1]Funcionamiento - Gral'!$B$3:$Z$56,'[1]Funcionamiento - Gral'!Y$1,0)</f>
        <v>9732560897</v>
      </c>
      <c r="Y60" s="19">
        <f>VLOOKUP($B60,'[1]Funcionamiento - Gral'!$B$3:$Z$56,'[1]Funcionamiento - Gral'!Z$1,0)</f>
        <v>6179923063.4200001</v>
      </c>
    </row>
    <row r="61" spans="1:25" s="22" customFormat="1" ht="15" customHeight="1" x14ac:dyDescent="0.25">
      <c r="A61"/>
      <c r="B61" s="21" t="s">
        <v>128</v>
      </c>
      <c r="C61" s="32" t="s">
        <v>129</v>
      </c>
      <c r="D61" s="18" t="s">
        <v>130</v>
      </c>
      <c r="E61" s="18" t="s">
        <v>131</v>
      </c>
      <c r="F61" s="19">
        <f>VLOOKUP($B61,'[1]Funcionamiento - Gral'!$B$3:$Z$56,'[1]Funcionamiento - Gral'!H$1,0)</f>
        <v>102144649712</v>
      </c>
      <c r="G61" s="19">
        <f>VLOOKUP($B61,'[1]Funcionamiento - Gral'!$B$3:$Z$56,'[1]Funcionamiento - Gral'!I$1,0)</f>
        <v>9031393191</v>
      </c>
      <c r="H61" s="19">
        <f>VLOOKUP($B61,'[1]Funcionamiento - Gral'!$B$3:$Z$56,'[1]Funcionamiento - Gral'!J$1,0)</f>
        <v>111176042903</v>
      </c>
      <c r="I61" s="19">
        <f>VLOOKUP($B61,'[1]Funcionamiento - Gral'!$B$3:$Z$56,'[1]Funcionamiento - Gral'!K$1,0)</f>
        <v>96643867923.949997</v>
      </c>
      <c r="J61" s="19">
        <f>VLOOKUP($B61,'[1]Funcionamiento - Gral'!$B$3:$Z$56,'[1]Funcionamiento - Gral'!L$1,0)</f>
        <v>207819910826.95001</v>
      </c>
      <c r="K61" s="19">
        <f>VLOOKUP($B61,'[1]Funcionamiento - Gral'!$B$3:$Z$56,'[1]Funcionamiento - Gral'!M$1,0)</f>
        <v>20428929942.400002</v>
      </c>
      <c r="L61" s="19">
        <f>VLOOKUP($B61,'[1]Funcionamiento - Gral'!$B$3:$Z$56,'[1]Funcionamiento - Gral'!N$1,0)</f>
        <v>187390980884.55002</v>
      </c>
      <c r="M61" s="19">
        <f>VLOOKUP($B61,'[1]Funcionamiento - Gral'!$B$3:$Z$56,'[1]Funcionamiento - Gral'!O$1,0)</f>
        <v>9031585051</v>
      </c>
      <c r="N61" s="19">
        <f>VLOOKUP($B61,'[1]Funcionamiento - Gral'!$B$3:$Z$56,'[1]Funcionamiento - Gral'!P$1,0)</f>
        <v>33882722944.269997</v>
      </c>
      <c r="O61" s="19">
        <f>VLOOKUP($B61,'[1]Funcionamiento - Gral'!$B$3:$Z$56,'[1]Funcionamiento - Gral'!Q$1,0)</f>
        <v>42914307995.269997</v>
      </c>
      <c r="P61" s="20">
        <f>VLOOKUP($B61,'[1]Funcionamiento - Gral'!$B$3:$Z$56,'[1]Funcionamiento - Gral'!R$1,0)</f>
        <v>0.33171314444567956</v>
      </c>
      <c r="Q61" s="19">
        <f>VLOOKUP($B61,'[1]Funcionamiento - Gral'!$B$3:$Z$56,'[1]Funcionamiento - Gral'!S$1,0)</f>
        <v>139558175919.22</v>
      </c>
      <c r="R61" s="19" t="e">
        <f>VLOOKUP($B61,'[1]Funcionamiento - Gral'!$B$3:$Z$56,'[1]Funcionamiento - Gral'!AA$1,0)</f>
        <v>#REF!</v>
      </c>
      <c r="S61" s="19">
        <f>VLOOKUP($B61,'[1]Funcionamiento - Gral'!$B$3:$Z$56,'[1]Funcionamiento - Gral'!T$1,0)</f>
        <v>49967838001.909996</v>
      </c>
      <c r="T61" s="19">
        <f>VLOOKUP($B61,'[1]Funcionamiento - Gral'!$B$3:$Z$56,'[1]Funcionamiento - Gral'!U$1,0)</f>
        <v>41805315025.07</v>
      </c>
      <c r="U61" s="19">
        <f>VLOOKUP($B61,'[1]Funcionamiento - Gral'!$B$3:$Z$56,'[1]Funcionamiento - Gral'!V$1,0)</f>
        <v>137423142882.64001</v>
      </c>
      <c r="V61" s="20">
        <f>VLOOKUP($B61,'[1]Funcionamiento - Gral'!$B$3:$Z$56,'[1]Funcionamiento - Gral'!W$1,0)</f>
        <v>0.26665017583047262</v>
      </c>
      <c r="W61" s="19">
        <f>VLOOKUP($B61,'[1]Funcionamiento - Gral'!$B$3:$Z$56,'[1]Funcionamiento - Gral'!X$1,0)</f>
        <v>97752860894.149994</v>
      </c>
      <c r="X61" s="19">
        <f>VLOOKUP($B61,'[1]Funcionamiento - Gral'!$B$3:$Z$56,'[1]Funcionamiento - Gral'!Y$1,0)</f>
        <v>145585665859.48001</v>
      </c>
      <c r="Y61" s="19">
        <f>VLOOKUP($B61,'[1]Funcionamiento - Gral'!$B$3:$Z$56,'[1]Funcionamiento - Gral'!Z$1,0)</f>
        <v>53454760788.440018</v>
      </c>
    </row>
    <row r="62" spans="1:25" s="22" customFormat="1" ht="15" customHeight="1" x14ac:dyDescent="0.25">
      <c r="A62"/>
      <c r="B62" s="21" t="s">
        <v>132</v>
      </c>
      <c r="C62" s="32" t="s">
        <v>129</v>
      </c>
      <c r="D62" s="18" t="s">
        <v>133</v>
      </c>
      <c r="E62" s="18" t="s">
        <v>134</v>
      </c>
      <c r="F62" s="19">
        <f>VLOOKUP($B62,'[1]Funcionamiento - Gral'!$B$3:$Z$56,'[1]Funcionamiento - Gral'!H$1,0)</f>
        <v>127680812139</v>
      </c>
      <c r="G62" s="19">
        <f>VLOOKUP($B62,'[1]Funcionamiento - Gral'!$B$3:$Z$56,'[1]Funcionamiento - Gral'!I$1,0)</f>
        <v>37222423</v>
      </c>
      <c r="H62" s="19">
        <f>VLOOKUP($B62,'[1]Funcionamiento - Gral'!$B$3:$Z$56,'[1]Funcionamiento - Gral'!J$1,0)</f>
        <v>127718034562</v>
      </c>
      <c r="I62" s="19">
        <f>VLOOKUP($B62,'[1]Funcionamiento - Gral'!$B$3:$Z$56,'[1]Funcionamiento - Gral'!K$1,0)</f>
        <v>45844862972.150002</v>
      </c>
      <c r="J62" s="19">
        <f>VLOOKUP($B62,'[1]Funcionamiento - Gral'!$B$3:$Z$56,'[1]Funcionamiento - Gral'!L$1,0)</f>
        <v>173562897534.14999</v>
      </c>
      <c r="K62" s="19">
        <f>VLOOKUP($B62,'[1]Funcionamiento - Gral'!$B$3:$Z$56,'[1]Funcionamiento - Gral'!M$1,0)</f>
        <v>25536162427.800003</v>
      </c>
      <c r="L62" s="19">
        <f>VLOOKUP($B62,'[1]Funcionamiento - Gral'!$B$3:$Z$56,'[1]Funcionamiento - Gral'!N$1,0)</f>
        <v>148026735106.34998</v>
      </c>
      <c r="M62" s="19">
        <f>VLOOKUP($B62,'[1]Funcionamiento - Gral'!$B$3:$Z$56,'[1]Funcionamiento - Gral'!O$1,0)</f>
        <v>37222423</v>
      </c>
      <c r="N62" s="19">
        <f>VLOOKUP($B62,'[1]Funcionamiento - Gral'!$B$3:$Z$56,'[1]Funcionamiento - Gral'!P$1,0)</f>
        <v>42353403679.989998</v>
      </c>
      <c r="O62" s="19">
        <f>VLOOKUP($B62,'[1]Funcionamiento - Gral'!$B$3:$Z$56,'[1]Funcionamiento - Gral'!Q$1,0)</f>
        <v>42390626102.989998</v>
      </c>
      <c r="P62" s="20">
        <f>VLOOKUP($B62,'[1]Funcionamiento - Gral'!$B$3:$Z$56,'[1]Funcionamiento - Gral'!R$1,0)</f>
        <v>0.33171314444555594</v>
      </c>
      <c r="Q62" s="19">
        <f>VLOOKUP($B62,'[1]Funcionamiento - Gral'!$B$3:$Z$56,'[1]Funcionamiento - Gral'!S$1,0)</f>
        <v>88235489075.139999</v>
      </c>
      <c r="R62" s="19" t="e">
        <f>VLOOKUP($B62,'[1]Funcionamiento - Gral'!$B$3:$Z$56,'[1]Funcionamiento - Gral'!AA$1,0)</f>
        <v>#REF!</v>
      </c>
      <c r="S62" s="19">
        <f>VLOOKUP($B62,'[1]Funcionamiento - Gral'!$B$3:$Z$56,'[1]Funcionamiento - Gral'!T$1,0)</f>
        <v>59073911025.200005</v>
      </c>
      <c r="T62" s="19">
        <f>VLOOKUP($B62,'[1]Funcionamiento - Gral'!$B$3:$Z$56,'[1]Funcionamiento - Gral'!U$1,0)</f>
        <v>56316131608</v>
      </c>
      <c r="U62" s="19">
        <f>VLOOKUP($B62,'[1]Funcionamiento - Gral'!$B$3:$Z$56,'[1]Funcionamiento - Gral'!V$1,0)</f>
        <v>88952824081.149963</v>
      </c>
      <c r="V62" s="20">
        <f>VLOOKUP($B62,'[1]Funcionamiento - Gral'!$B$3:$Z$56,'[1]Funcionamiento - Gral'!W$1,0)</f>
        <v>0.3990759573448559</v>
      </c>
      <c r="W62" s="19">
        <f>VLOOKUP($B62,'[1]Funcionamiento - Gral'!$B$3:$Z$56,'[1]Funcionamiento - Gral'!X$1,0)</f>
        <v>31919357467.139999</v>
      </c>
      <c r="X62" s="19">
        <f>VLOOKUP($B62,'[1]Funcionamiento - Gral'!$B$3:$Z$56,'[1]Funcionamiento - Gral'!Y$1,0)</f>
        <v>91710603498.349976</v>
      </c>
      <c r="Y62" s="19">
        <f>VLOOKUP($B62,'[1]Funcionamiento - Gral'!$B$3:$Z$56,'[1]Funcionamiento - Gral'!Z$1,0)</f>
        <v>36580454909.149979</v>
      </c>
    </row>
    <row r="63" spans="1:25" s="22" customFormat="1" ht="15" customHeight="1" x14ac:dyDescent="0.25">
      <c r="A63"/>
      <c r="B63" s="21" t="s">
        <v>135</v>
      </c>
      <c r="C63" s="32" t="s">
        <v>129</v>
      </c>
      <c r="D63" s="18" t="s">
        <v>136</v>
      </c>
      <c r="E63" s="18" t="s">
        <v>137</v>
      </c>
      <c r="F63" s="19">
        <f>VLOOKUP($B63,'[1]Funcionamiento - Gral'!$B$3:$Z$56,'[1]Funcionamiento - Gral'!H$1,0)</f>
        <v>25536162428</v>
      </c>
      <c r="G63" s="19">
        <f>VLOOKUP($B63,'[1]Funcionamiento - Gral'!$B$3:$Z$56,'[1]Funcionamiento - Gral'!I$1,0)</f>
        <v>157938</v>
      </c>
      <c r="H63" s="19">
        <f>VLOOKUP($B63,'[1]Funcionamiento - Gral'!$B$3:$Z$56,'[1]Funcionamiento - Gral'!J$1,0)</f>
        <v>25536320366</v>
      </c>
      <c r="I63" s="19">
        <f>VLOOKUP($B63,'[1]Funcionamiento - Gral'!$B$3:$Z$56,'[1]Funcionamiento - Gral'!K$1,0)</f>
        <v>8296066442</v>
      </c>
      <c r="J63" s="19">
        <f>VLOOKUP($B63,'[1]Funcionamiento - Gral'!$B$3:$Z$56,'[1]Funcionamiento - Gral'!L$1,0)</f>
        <v>33832386808</v>
      </c>
      <c r="K63" s="19">
        <f>VLOOKUP($B63,'[1]Funcionamiento - Gral'!$B$3:$Z$56,'[1]Funcionamiento - Gral'!M$1,0)</f>
        <v>5107232485.6000004</v>
      </c>
      <c r="L63" s="19">
        <f>VLOOKUP($B63,'[1]Funcionamiento - Gral'!$B$3:$Z$56,'[1]Funcionamiento - Gral'!N$1,0)</f>
        <v>28725154322.400002</v>
      </c>
      <c r="M63" s="19">
        <f>VLOOKUP($B63,'[1]Funcionamiento - Gral'!$B$3:$Z$56,'[1]Funcionamiento - Gral'!O$1,0)</f>
        <v>157938</v>
      </c>
      <c r="N63" s="19">
        <f>VLOOKUP($B63,'[1]Funcionamiento - Gral'!$B$3:$Z$56,'[1]Funcionamiento - Gral'!P$1,0)</f>
        <v>8470680736.0699997</v>
      </c>
      <c r="O63" s="19">
        <f>VLOOKUP($B63,'[1]Funcionamiento - Gral'!$B$3:$Z$56,'[1]Funcionamiento - Gral'!Q$1,0)</f>
        <v>8470838674.0699997</v>
      </c>
      <c r="P63" s="20">
        <f>VLOOKUP($B63,'[1]Funcionamiento - Gral'!$B$3:$Z$56,'[1]Funcionamiento - Gral'!R$1,0)</f>
        <v>0.33171314444577749</v>
      </c>
      <c r="Q63" s="19">
        <f>VLOOKUP($B63,'[1]Funcionamiento - Gral'!$B$3:$Z$56,'[1]Funcionamiento - Gral'!S$1,0)</f>
        <v>16766905116.07</v>
      </c>
      <c r="R63" s="19" t="e">
        <f>VLOOKUP($B63,'[1]Funcionamiento - Gral'!$B$3:$Z$56,'[1]Funcionamiento - Gral'!AA$1,0)</f>
        <v>#REF!</v>
      </c>
      <c r="S63" s="19">
        <f>VLOOKUP($B63,'[1]Funcionamiento - Gral'!$B$3:$Z$56,'[1]Funcionamiento - Gral'!T$1,0)</f>
        <v>25331475731</v>
      </c>
      <c r="T63" s="19">
        <f>VLOOKUP($B63,'[1]Funcionamiento - Gral'!$B$3:$Z$56,'[1]Funcionamiento - Gral'!U$1,0)</f>
        <v>8296066442</v>
      </c>
      <c r="U63" s="19">
        <f>VLOOKUP($B63,'[1]Funcionamiento - Gral'!$B$3:$Z$56,'[1]Funcionamiento - Gral'!V$1,0)</f>
        <v>3393678591.4000015</v>
      </c>
      <c r="V63" s="20">
        <f>VLOOKUP($B63,'[1]Funcionamiento - Gral'!$B$3:$Z$56,'[1]Funcionamiento - Gral'!W$1,0)</f>
        <v>0.88185690655267968</v>
      </c>
      <c r="W63" s="19">
        <f>VLOOKUP($B63,'[1]Funcionamiento - Gral'!$B$3:$Z$56,'[1]Funcionamiento - Gral'!X$1,0)</f>
        <v>8470838674.0699997</v>
      </c>
      <c r="X63" s="19">
        <f>VLOOKUP($B63,'[1]Funcionamiento - Gral'!$B$3:$Z$56,'[1]Funcionamiento - Gral'!Y$1,0)</f>
        <v>20429087880.400002</v>
      </c>
      <c r="Y63" s="19">
        <f>VLOOKUP($B63,'[1]Funcionamiento - Gral'!$B$3:$Z$56,'[1]Funcionamiento - Gral'!Z$1,0)</f>
        <v>3393678591.4000015</v>
      </c>
    </row>
    <row r="64" spans="1:25" s="22" customFormat="1" ht="15" customHeight="1" x14ac:dyDescent="0.25">
      <c r="A64"/>
      <c r="B64" s="21" t="s">
        <v>138</v>
      </c>
      <c r="C64" s="32" t="s">
        <v>139</v>
      </c>
      <c r="D64" s="18" t="s">
        <v>140</v>
      </c>
      <c r="E64" s="18" t="s">
        <v>141</v>
      </c>
      <c r="F64" s="19">
        <f>VLOOKUP($B64,'[1]Funcionamiento - Gral'!$B$3:$Z$56,'[1]Funcionamiento - Gral'!H$1,0)</f>
        <v>30000000000</v>
      </c>
      <c r="G64" s="19">
        <f>VLOOKUP($B64,'[1]Funcionamiento - Gral'!$B$3:$Z$56,'[1]Funcionamiento - Gral'!I$1,0)</f>
        <v>0</v>
      </c>
      <c r="H64" s="19">
        <f>VLOOKUP($B64,'[1]Funcionamiento - Gral'!$B$3:$Z$56,'[1]Funcionamiento - Gral'!J$1,0)</f>
        <v>30000000000</v>
      </c>
      <c r="I64" s="19">
        <f>VLOOKUP($B64,'[1]Funcionamiento - Gral'!$B$3:$Z$56,'[1]Funcionamiento - Gral'!K$1,0)</f>
        <v>59510270576.519997</v>
      </c>
      <c r="J64" s="19">
        <f>VLOOKUP($B64,'[1]Funcionamiento - Gral'!$B$3:$Z$56,'[1]Funcionamiento - Gral'!L$1,0)</f>
        <v>89510270576.519989</v>
      </c>
      <c r="K64" s="19">
        <f>VLOOKUP($B64,'[1]Funcionamiento - Gral'!$B$3:$Z$56,'[1]Funcionamiento - Gral'!M$1,0)</f>
        <v>6665617849</v>
      </c>
      <c r="L64" s="19">
        <f>VLOOKUP($B64,'[1]Funcionamiento - Gral'!$B$3:$Z$56,'[1]Funcionamiento - Gral'!N$1,0)</f>
        <v>82844652727.519989</v>
      </c>
      <c r="M64" s="19">
        <f>VLOOKUP($B64,'[1]Funcionamiento - Gral'!$B$3:$Z$56,'[1]Funcionamiento - Gral'!O$1,0)</f>
        <v>0</v>
      </c>
      <c r="N64" s="19">
        <f>VLOOKUP($B64,'[1]Funcionamiento - Gral'!$B$3:$Z$56,'[1]Funcionamiento - Gral'!P$1,0)</f>
        <v>9951394333.3599987</v>
      </c>
      <c r="O64" s="19">
        <f>VLOOKUP($B64,'[1]Funcionamiento - Gral'!$B$3:$Z$56,'[1]Funcionamiento - Gral'!Q$1,0)</f>
        <v>9951394333.3599987</v>
      </c>
      <c r="P64" s="20">
        <f>VLOOKUP($B64,'[1]Funcionamiento - Gral'!$B$3:$Z$56,'[1]Funcionamiento - Gral'!R$1,0)</f>
        <v>0.33171314444533329</v>
      </c>
      <c r="Q64" s="19">
        <f>VLOOKUP($B64,'[1]Funcionamiento - Gral'!$B$3:$Z$56,'[1]Funcionamiento - Gral'!S$1,0)</f>
        <v>69461664909.87999</v>
      </c>
      <c r="R64" s="19" t="e">
        <f>VLOOKUP($B64,'[1]Funcionamiento - Gral'!$B$3:$Z$56,'[1]Funcionamiento - Gral'!AA$1,0)</f>
        <v>#REF!</v>
      </c>
      <c r="S64" s="19">
        <f>VLOOKUP($B64,'[1]Funcionamiento - Gral'!$B$3:$Z$56,'[1]Funcionamiento - Gral'!T$1,0)</f>
        <v>36711538335.870003</v>
      </c>
      <c r="T64" s="19">
        <f>VLOOKUP($B64,'[1]Funcionamiento - Gral'!$B$3:$Z$56,'[1]Funcionamiento - Gral'!U$1,0)</f>
        <v>13376277684.92</v>
      </c>
      <c r="U64" s="19">
        <f>VLOOKUP($B64,'[1]Funcionamiento - Gral'!$B$3:$Z$56,'[1]Funcionamiento - Gral'!V$1,0)</f>
        <v>46133114391.649986</v>
      </c>
      <c r="V64" s="20">
        <f>VLOOKUP($B64,'[1]Funcionamiento - Gral'!$B$3:$Z$56,'[1]Funcionamiento - Gral'!W$1,0)</f>
        <v>0.44313709004992757</v>
      </c>
      <c r="W64" s="19">
        <f>VLOOKUP($B64,'[1]Funcionamiento - Gral'!$B$3:$Z$56,'[1]Funcionamiento - Gral'!X$1,0)</f>
        <v>56085387224.959991</v>
      </c>
      <c r="X64" s="19">
        <f>VLOOKUP($B64,'[1]Funcionamiento - Gral'!$B$3:$Z$56,'[1]Funcionamiento - Gral'!Y$1,0)</f>
        <v>69468375042.599991</v>
      </c>
      <c r="Y64" s="19">
        <f>VLOOKUP($B64,'[1]Funcionamiento - Gral'!$B$3:$Z$56,'[1]Funcionamiento - Gral'!Z$1,0)</f>
        <v>22919700996.649986</v>
      </c>
    </row>
    <row r="65" spans="1:25" s="22" customFormat="1" ht="15" customHeight="1" x14ac:dyDescent="0.25">
      <c r="A65"/>
      <c r="B65" s="21" t="s">
        <v>142</v>
      </c>
      <c r="C65" s="32" t="s">
        <v>139</v>
      </c>
      <c r="D65" s="18" t="s">
        <v>143</v>
      </c>
      <c r="E65" s="18" t="s">
        <v>144</v>
      </c>
      <c r="F65" s="19">
        <f>VLOOKUP($B65,'[1]Funcionamiento - Gral'!$B$3:$Z$56,'[1]Funcionamiento - Gral'!H$1,0)</f>
        <v>96000000000</v>
      </c>
      <c r="G65" s="19">
        <f>VLOOKUP($B65,'[1]Funcionamiento - Gral'!$B$3:$Z$56,'[1]Funcionamiento - Gral'!I$1,0)</f>
        <v>0</v>
      </c>
      <c r="H65" s="19">
        <f>VLOOKUP($B65,'[1]Funcionamiento - Gral'!$B$3:$Z$56,'[1]Funcionamiento - Gral'!J$1,0)</f>
        <v>96000000000</v>
      </c>
      <c r="I65" s="19">
        <f>VLOOKUP($B65,'[1]Funcionamiento - Gral'!$B$3:$Z$56,'[1]Funcionamiento - Gral'!K$1,0)</f>
        <v>59507811511.340012</v>
      </c>
      <c r="J65" s="19">
        <f>VLOOKUP($B65,'[1]Funcionamiento - Gral'!$B$3:$Z$56,'[1]Funcionamiento - Gral'!L$1,0)</f>
        <v>155507811511.34003</v>
      </c>
      <c r="K65" s="19">
        <f>VLOOKUP($B65,'[1]Funcionamiento - Gral'!$B$3:$Z$56,'[1]Funcionamiento - Gral'!M$1,0)</f>
        <v>21329977118</v>
      </c>
      <c r="L65" s="19">
        <f>VLOOKUP($B65,'[1]Funcionamiento - Gral'!$B$3:$Z$56,'[1]Funcionamiento - Gral'!N$1,0)</f>
        <v>134177834393.34003</v>
      </c>
      <c r="M65" s="19">
        <f>VLOOKUP($B65,'[1]Funcionamiento - Gral'!$B$3:$Z$56,'[1]Funcionamiento - Gral'!O$1,0)</f>
        <v>0</v>
      </c>
      <c r="N65" s="19">
        <f>VLOOKUP($B65,'[1]Funcionamiento - Gral'!$B$3:$Z$56,'[1]Funcionamiento - Gral'!P$1,0)</f>
        <v>31844461866.780003</v>
      </c>
      <c r="O65" s="19">
        <f>VLOOKUP($B65,'[1]Funcionamiento - Gral'!$B$3:$Z$56,'[1]Funcionamiento - Gral'!Q$1,0)</f>
        <v>31844461866.780003</v>
      </c>
      <c r="P65" s="20">
        <f>VLOOKUP($B65,'[1]Funcionamiento - Gral'!$B$3:$Z$56,'[1]Funcionamiento - Gral'!R$1,0)</f>
        <v>0.33171314444562505</v>
      </c>
      <c r="Q65" s="19">
        <f>VLOOKUP($B65,'[1]Funcionamiento - Gral'!$B$3:$Z$56,'[1]Funcionamiento - Gral'!S$1,0)</f>
        <v>91352273378.12001</v>
      </c>
      <c r="R65" s="19" t="e">
        <f>VLOOKUP($B65,'[1]Funcionamiento - Gral'!$B$3:$Z$56,'[1]Funcionamiento - Gral'!AA$1,0)</f>
        <v>#REF!</v>
      </c>
      <c r="S65" s="19">
        <f>VLOOKUP($B65,'[1]Funcionamiento - Gral'!$B$3:$Z$56,'[1]Funcionamiento - Gral'!T$1,0)</f>
        <v>62622752619.959999</v>
      </c>
      <c r="T65" s="19">
        <f>VLOOKUP($B65,'[1]Funcionamiento - Gral'!$B$3:$Z$56,'[1]Funcionamiento - Gral'!U$1,0)</f>
        <v>30691546819.400002</v>
      </c>
      <c r="U65" s="19">
        <f>VLOOKUP($B65,'[1]Funcionamiento - Gral'!$B$3:$Z$56,'[1]Funcionamiento - Gral'!V$1,0)</f>
        <v>71555081773.380035</v>
      </c>
      <c r="V65" s="20">
        <f>VLOOKUP($B65,'[1]Funcionamiento - Gral'!$B$3:$Z$56,'[1]Funcionamiento - Gral'!W$1,0)</f>
        <v>0.46671458742121646</v>
      </c>
      <c r="W65" s="19">
        <f>VLOOKUP($B65,'[1]Funcionamiento - Gral'!$B$3:$Z$56,'[1]Funcionamiento - Gral'!X$1,0)</f>
        <v>60660726558.720009</v>
      </c>
      <c r="X65" s="19">
        <f>VLOOKUP($B65,'[1]Funcionamiento - Gral'!$B$3:$Z$56,'[1]Funcionamiento - Gral'!Y$1,0)</f>
        <v>103486287573.94003</v>
      </c>
      <c r="Y65" s="19">
        <f>VLOOKUP($B65,'[1]Funcionamiento - Gral'!$B$3:$Z$56,'[1]Funcionamiento - Gral'!Z$1,0)</f>
        <v>50016389355.480026</v>
      </c>
    </row>
    <row r="66" spans="1:25" s="22" customFormat="1" ht="15" customHeight="1" x14ac:dyDescent="0.25">
      <c r="A66"/>
      <c r="B66" s="21" t="s">
        <v>145</v>
      </c>
      <c r="C66" s="32" t="s">
        <v>139</v>
      </c>
      <c r="D66" s="18" t="s">
        <v>140</v>
      </c>
      <c r="E66" s="18" t="s">
        <v>146</v>
      </c>
      <c r="F66" s="19">
        <f>VLOOKUP($B66,'[1]Funcionamiento - Gral'!$B$3:$Z$56,'[1]Funcionamiento - Gral'!H$1,0)</f>
        <v>103861624279</v>
      </c>
      <c r="G66" s="19">
        <f>VLOOKUP($B66,'[1]Funcionamiento - Gral'!$B$3:$Z$56,'[1]Funcionamiento - Gral'!I$1,0)</f>
        <v>0</v>
      </c>
      <c r="H66" s="19">
        <f>VLOOKUP($B66,'[1]Funcionamiento - Gral'!$B$3:$Z$56,'[1]Funcionamiento - Gral'!J$1,0)</f>
        <v>103861624279</v>
      </c>
      <c r="I66" s="19">
        <f>VLOOKUP($B66,'[1]Funcionamiento - Gral'!$B$3:$Z$56,'[1]Funcionamiento - Gral'!K$1,0)</f>
        <v>43297263932.000015</v>
      </c>
      <c r="J66" s="19">
        <f>VLOOKUP($B66,'[1]Funcionamiento - Gral'!$B$3:$Z$56,'[1]Funcionamiento - Gral'!L$1,0)</f>
        <v>147158888211</v>
      </c>
      <c r="K66" s="19">
        <f>VLOOKUP($B66,'[1]Funcionamiento - Gral'!$B$3:$Z$56,'[1]Funcionamiento - Gral'!M$1,0)</f>
        <v>23076729889</v>
      </c>
      <c r="L66" s="19">
        <f>VLOOKUP($B66,'[1]Funcionamiento - Gral'!$B$3:$Z$56,'[1]Funcionamiento - Gral'!N$1,0)</f>
        <v>124082158322</v>
      </c>
      <c r="M66" s="19">
        <f>VLOOKUP($B66,'[1]Funcionamiento - Gral'!$B$3:$Z$56,'[1]Funcionamiento - Gral'!O$1,0)</f>
        <v>0</v>
      </c>
      <c r="N66" s="19">
        <f>VLOOKUP($B66,'[1]Funcionamiento - Gral'!$B$3:$Z$56,'[1]Funcionamiento - Gral'!P$1,0)</f>
        <v>34452265976.82</v>
      </c>
      <c r="O66" s="19">
        <f>VLOOKUP($B66,'[1]Funcionamiento - Gral'!$B$3:$Z$56,'[1]Funcionamiento - Gral'!Q$1,0)</f>
        <v>34452265976.82</v>
      </c>
      <c r="P66" s="20">
        <f>VLOOKUP($B66,'[1]Funcionamiento - Gral'!$B$3:$Z$56,'[1]Funcionamiento - Gral'!R$1,0)</f>
        <v>0.33171314444565236</v>
      </c>
      <c r="Q66" s="19">
        <f>VLOOKUP($B66,'[1]Funcionamiento - Gral'!$B$3:$Z$56,'[1]Funcionamiento - Gral'!S$1,0)</f>
        <v>77749529908.820007</v>
      </c>
      <c r="R66" s="19" t="e">
        <f>VLOOKUP($B66,'[1]Funcionamiento - Gral'!$B$3:$Z$56,'[1]Funcionamiento - Gral'!AA$1,0)</f>
        <v>#REF!</v>
      </c>
      <c r="S66" s="19">
        <f>VLOOKUP($B66,'[1]Funcionamiento - Gral'!$B$3:$Z$56,'[1]Funcionamiento - Gral'!T$1,0)</f>
        <v>100518885204.50999</v>
      </c>
      <c r="T66" s="19">
        <f>VLOOKUP($B66,'[1]Funcionamiento - Gral'!$B$3:$Z$56,'[1]Funcionamiento - Gral'!U$1,0)</f>
        <v>39080739019.019997</v>
      </c>
      <c r="U66" s="19">
        <f>VLOOKUP($B66,'[1]Funcionamiento - Gral'!$B$3:$Z$56,'[1]Funcionamiento - Gral'!V$1,0)</f>
        <v>23563273117.490005</v>
      </c>
      <c r="V66" s="20">
        <f>VLOOKUP($B66,'[1]Funcionamiento - Gral'!$B$3:$Z$56,'[1]Funcionamiento - Gral'!W$1,0)</f>
        <v>0.81009942576641825</v>
      </c>
      <c r="W66" s="19">
        <f>VLOOKUP($B66,'[1]Funcionamiento - Gral'!$B$3:$Z$56,'[1]Funcionamiento - Gral'!X$1,0)</f>
        <v>38668790889.800011</v>
      </c>
      <c r="X66" s="19">
        <f>VLOOKUP($B66,'[1]Funcionamiento - Gral'!$B$3:$Z$56,'[1]Funcionamiento - Gral'!Y$1,0)</f>
        <v>85001419302.980011</v>
      </c>
      <c r="Y66" s="19">
        <f>VLOOKUP($B66,'[1]Funcionamiento - Gral'!$B$3:$Z$56,'[1]Funcionamiento - Gral'!Z$1,0)</f>
        <v>7834802660.2100067</v>
      </c>
    </row>
    <row r="67" spans="1:25" s="22" customFormat="1" ht="15" customHeight="1" x14ac:dyDescent="0.25">
      <c r="A67"/>
      <c r="B67" s="21" t="s">
        <v>147</v>
      </c>
      <c r="C67" s="32" t="s">
        <v>139</v>
      </c>
      <c r="D67" s="18" t="s">
        <v>148</v>
      </c>
      <c r="E67" s="18" t="s">
        <v>149</v>
      </c>
      <c r="F67" s="19">
        <f>VLOOKUP($B67,'[1]Funcionamiento - Gral'!$B$3:$Z$56,'[1]Funcionamiento - Gral'!H$1,0)</f>
        <v>25500000000</v>
      </c>
      <c r="G67" s="19">
        <f>VLOOKUP($B67,'[1]Funcionamiento - Gral'!$B$3:$Z$56,'[1]Funcionamiento - Gral'!I$1,0)</f>
        <v>0</v>
      </c>
      <c r="H67" s="19">
        <f>VLOOKUP($B67,'[1]Funcionamiento - Gral'!$B$3:$Z$56,'[1]Funcionamiento - Gral'!J$1,0)</f>
        <v>25500000000</v>
      </c>
      <c r="I67" s="19">
        <f>VLOOKUP($B67,'[1]Funcionamiento - Gral'!$B$3:$Z$56,'[1]Funcionamiento - Gral'!K$1,0)</f>
        <v>8323742697.7400017</v>
      </c>
      <c r="J67" s="19">
        <f>VLOOKUP($B67,'[1]Funcionamiento - Gral'!$B$3:$Z$56,'[1]Funcionamiento - Gral'!L$1,0)</f>
        <v>33823742697.740002</v>
      </c>
      <c r="K67" s="19">
        <f>VLOOKUP($B67,'[1]Funcionamiento - Gral'!$B$3:$Z$56,'[1]Funcionamiento - Gral'!M$1,0)</f>
        <v>0</v>
      </c>
      <c r="L67" s="19">
        <f>VLOOKUP($B67,'[1]Funcionamiento - Gral'!$B$3:$Z$56,'[1]Funcionamiento - Gral'!N$1,0)</f>
        <v>33823742697.740002</v>
      </c>
      <c r="M67" s="19">
        <f>VLOOKUP($B67,'[1]Funcionamiento - Gral'!$B$3:$Z$56,'[1]Funcionamiento - Gral'!O$1,0)</f>
        <v>0</v>
      </c>
      <c r="N67" s="19">
        <f>VLOOKUP($B67,'[1]Funcionamiento - Gral'!$B$3:$Z$56,'[1]Funcionamiento - Gral'!P$1,0)</f>
        <v>8458685183.3700008</v>
      </c>
      <c r="O67" s="19">
        <f>VLOOKUP($B67,'[1]Funcionamiento - Gral'!$B$3:$Z$56,'[1]Funcionamiento - Gral'!Q$1,0)</f>
        <v>8458685183.3700008</v>
      </c>
      <c r="P67" s="20">
        <f>VLOOKUP($B67,'[1]Funcionamiento - Gral'!$B$3:$Z$56,'[1]Funcionamiento - Gral'!R$1,0)</f>
        <v>0.3317131444458824</v>
      </c>
      <c r="Q67" s="19">
        <f>VLOOKUP($B67,'[1]Funcionamiento - Gral'!$B$3:$Z$56,'[1]Funcionamiento - Gral'!S$1,0)</f>
        <v>16782427881.110003</v>
      </c>
      <c r="R67" s="19" t="e">
        <f>VLOOKUP($B67,'[1]Funcionamiento - Gral'!$B$3:$Z$56,'[1]Funcionamiento - Gral'!AA$1,0)</f>
        <v>#REF!</v>
      </c>
      <c r="S67" s="19">
        <f>VLOOKUP($B67,'[1]Funcionamiento - Gral'!$B$3:$Z$56,'[1]Funcionamiento - Gral'!T$1,0)</f>
        <v>7455378822.9499998</v>
      </c>
      <c r="T67" s="19">
        <f>VLOOKUP($B67,'[1]Funcionamiento - Gral'!$B$3:$Z$56,'[1]Funcionamiento - Gral'!U$1,0)</f>
        <v>4571685683.6599998</v>
      </c>
      <c r="U67" s="19">
        <f>VLOOKUP($B67,'[1]Funcionamiento - Gral'!$B$3:$Z$56,'[1]Funcionamiento - Gral'!V$1,0)</f>
        <v>26368363874.790001</v>
      </c>
      <c r="V67" s="20">
        <f>VLOOKUP($B67,'[1]Funcionamiento - Gral'!$B$3:$Z$56,'[1]Funcionamiento - Gral'!W$1,0)</f>
        <v>0.22041850570984106</v>
      </c>
      <c r="W67" s="19">
        <f>VLOOKUP($B67,'[1]Funcionamiento - Gral'!$B$3:$Z$56,'[1]Funcionamiento - Gral'!X$1,0)</f>
        <v>12210742197.450003</v>
      </c>
      <c r="X67" s="19">
        <f>VLOOKUP($B67,'[1]Funcionamiento - Gral'!$B$3:$Z$56,'[1]Funcionamiento - Gral'!Y$1,0)</f>
        <v>29252057014.080002</v>
      </c>
      <c r="Y67" s="19">
        <f>VLOOKUP($B67,'[1]Funcionamiento - Gral'!$B$3:$Z$56,'[1]Funcionamiento - Gral'!Z$1,0)</f>
        <v>21703366957.450001</v>
      </c>
    </row>
    <row r="68" spans="1:25" s="22" customFormat="1" ht="15" customHeight="1" x14ac:dyDescent="0.25">
      <c r="A68"/>
      <c r="B68" s="21" t="s">
        <v>150</v>
      </c>
      <c r="C68" s="32" t="s">
        <v>139</v>
      </c>
      <c r="D68" s="18" t="s">
        <v>140</v>
      </c>
      <c r="E68" s="18" t="s">
        <v>151</v>
      </c>
      <c r="F68" s="19">
        <f>VLOOKUP($B68,'[1]Funcionamiento - Gral'!$B$3:$Z$56,'[1]Funcionamiento - Gral'!H$1,0)</f>
        <v>0</v>
      </c>
      <c r="G68" s="19">
        <f>VLOOKUP($B68,'[1]Funcionamiento - Gral'!$B$3:$Z$56,'[1]Funcionamiento - Gral'!I$1,0)</f>
        <v>0</v>
      </c>
      <c r="H68" s="19">
        <f>VLOOKUP($B68,'[1]Funcionamiento - Gral'!$B$3:$Z$56,'[1]Funcionamiento - Gral'!J$1,0)</f>
        <v>0</v>
      </c>
      <c r="I68" s="19">
        <f>VLOOKUP($B68,'[1]Funcionamiento - Gral'!$B$3:$Z$56,'[1]Funcionamiento - Gral'!K$1,0)</f>
        <v>1880546717.0200005</v>
      </c>
      <c r="J68" s="19">
        <f>VLOOKUP($B68,'[1]Funcionamiento - Gral'!$B$3:$Z$56,'[1]Funcionamiento - Gral'!L$1,0)</f>
        <v>1880546717.0200005</v>
      </c>
      <c r="K68" s="19">
        <f>VLOOKUP($B68,'[1]Funcionamiento - Gral'!$B$3:$Z$56,'[1]Funcionamiento - Gral'!M$1,0)</f>
        <v>397428678.02000046</v>
      </c>
      <c r="L68" s="19">
        <f>VLOOKUP($B68,'[1]Funcionamiento - Gral'!$B$3:$Z$56,'[1]Funcionamiento - Gral'!N$1,0)</f>
        <v>1483118039</v>
      </c>
      <c r="M68" s="19">
        <f>VLOOKUP($B68,'[1]Funcionamiento - Gral'!$B$3:$Z$56,'[1]Funcionamiento - Gral'!O$1,0)</f>
        <v>0</v>
      </c>
      <c r="N68" s="19">
        <f>VLOOKUP($B68,'[1]Funcionamiento - Gral'!$B$3:$Z$56,'[1]Funcionamiento - Gral'!P$1,0)</f>
        <v>0</v>
      </c>
      <c r="O68" s="19">
        <f>VLOOKUP($B68,'[1]Funcionamiento - Gral'!$B$3:$Z$56,'[1]Funcionamiento - Gral'!Q$1,0)</f>
        <v>0</v>
      </c>
      <c r="P68" s="20">
        <f>VLOOKUP($B68,'[1]Funcionamiento - Gral'!$B$3:$Z$56,'[1]Funcionamiento - Gral'!R$1,0)</f>
        <v>0</v>
      </c>
      <c r="Q68" s="19">
        <f>VLOOKUP($B68,'[1]Funcionamiento - Gral'!$B$3:$Z$56,'[1]Funcionamiento - Gral'!S$1,0)</f>
        <v>1880546717.0200005</v>
      </c>
      <c r="R68" s="19" t="e">
        <f>VLOOKUP($B68,'[1]Funcionamiento - Gral'!$B$3:$Z$56,'[1]Funcionamiento - Gral'!AA$1,0)</f>
        <v>#REF!</v>
      </c>
      <c r="S68" s="19">
        <f>VLOOKUP($B68,'[1]Funcionamiento - Gral'!$B$3:$Z$56,'[1]Funcionamiento - Gral'!T$1,0)</f>
        <v>0</v>
      </c>
      <c r="T68" s="19">
        <f>VLOOKUP($B68,'[1]Funcionamiento - Gral'!$B$3:$Z$56,'[1]Funcionamiento - Gral'!U$1,0)</f>
        <v>0</v>
      </c>
      <c r="U68" s="19">
        <f>VLOOKUP($B68,'[1]Funcionamiento - Gral'!$B$3:$Z$56,'[1]Funcionamiento - Gral'!V$1,0)</f>
        <v>1483118039</v>
      </c>
      <c r="V68" s="20">
        <f>VLOOKUP($B68,'[1]Funcionamiento - Gral'!$B$3:$Z$56,'[1]Funcionamiento - Gral'!W$1,0)</f>
        <v>0</v>
      </c>
      <c r="W68" s="19">
        <f>VLOOKUP($B68,'[1]Funcionamiento - Gral'!$B$3:$Z$56,'[1]Funcionamiento - Gral'!X$1,0)</f>
        <v>1880546717.0200005</v>
      </c>
      <c r="X68" s="19">
        <f>VLOOKUP($B68,'[1]Funcionamiento - Gral'!$B$3:$Z$56,'[1]Funcionamiento - Gral'!Y$1,0)</f>
        <v>1483118039</v>
      </c>
      <c r="Y68" s="19">
        <f>VLOOKUP($B68,'[1]Funcionamiento - Gral'!$B$3:$Z$56,'[1]Funcionamiento - Gral'!Z$1,0)</f>
        <v>1483118039</v>
      </c>
    </row>
    <row r="69" spans="1:25" s="22" customFormat="1" ht="15" customHeight="1" x14ac:dyDescent="0.25">
      <c r="A69"/>
      <c r="B69" s="21" t="s">
        <v>152</v>
      </c>
      <c r="C69" s="32" t="s">
        <v>208</v>
      </c>
      <c r="D69" s="18" t="s">
        <v>153</v>
      </c>
      <c r="E69" s="18" t="s">
        <v>154</v>
      </c>
      <c r="F69" s="19">
        <f>VLOOKUP($B69,'[1]Funcionamiento - Gral'!$B$3:$Z$56,'[1]Funcionamiento - Gral'!H$1,0)</f>
        <v>0</v>
      </c>
      <c r="G69" s="19">
        <f>VLOOKUP($B69,'[1]Funcionamiento - Gral'!$B$3:$Z$56,'[1]Funcionamiento - Gral'!I$1,0)</f>
        <v>69302224</v>
      </c>
      <c r="H69" s="19">
        <f>VLOOKUP($B69,'[1]Funcionamiento - Gral'!$B$3:$Z$56,'[1]Funcionamiento - Gral'!J$1,0)</f>
        <v>69302224</v>
      </c>
      <c r="I69" s="19">
        <f>VLOOKUP($B69,'[1]Funcionamiento - Gral'!$B$3:$Z$56,'[1]Funcionamiento - Gral'!K$1,0)</f>
        <v>381334089.30000001</v>
      </c>
      <c r="J69" s="19">
        <f>VLOOKUP($B69,'[1]Funcionamiento - Gral'!$B$3:$Z$56,'[1]Funcionamiento - Gral'!L$1,0)</f>
        <v>450636313.30000001</v>
      </c>
      <c r="K69" s="19">
        <f>VLOOKUP($B69,'[1]Funcionamiento - Gral'!$B$3:$Z$56,'[1]Funcionamiento - Gral'!M$1,0)</f>
        <v>0</v>
      </c>
      <c r="L69" s="19">
        <f>VLOOKUP($B69,'[1]Funcionamiento - Gral'!$B$3:$Z$56,'[1]Funcionamiento - Gral'!N$1,0)</f>
        <v>450636313.30000001</v>
      </c>
      <c r="M69" s="19">
        <f>VLOOKUP($B69,'[1]Funcionamiento - Gral'!$B$3:$Z$56,'[1]Funcionamiento - Gral'!O$1,0)</f>
        <v>69302224</v>
      </c>
      <c r="N69" s="19">
        <f>VLOOKUP($B69,'[1]Funcionamiento - Gral'!$B$3:$Z$56,'[1]Funcionamiento - Gral'!P$1,0)</f>
        <v>0</v>
      </c>
      <c r="O69" s="19">
        <f>VLOOKUP($B69,'[1]Funcionamiento - Gral'!$B$3:$Z$56,'[1]Funcionamiento - Gral'!Q$1,0)</f>
        <v>69302224</v>
      </c>
      <c r="P69" s="20">
        <f>VLOOKUP($B69,'[1]Funcionamiento - Gral'!$B$3:$Z$56,'[1]Funcionamiento - Gral'!R$1,0)</f>
        <v>0</v>
      </c>
      <c r="Q69" s="19">
        <f>VLOOKUP($B69,'[1]Funcionamiento - Gral'!$B$3:$Z$56,'[1]Funcionamiento - Gral'!S$1,0)</f>
        <v>450636313.30000001</v>
      </c>
      <c r="R69" s="19" t="e">
        <f>VLOOKUP($B69,'[1]Funcionamiento - Gral'!$B$3:$Z$56,'[1]Funcionamiento - Gral'!AA$1,0)</f>
        <v>#REF!</v>
      </c>
      <c r="S69" s="19">
        <f>VLOOKUP($B69,'[1]Funcionamiento - Gral'!$B$3:$Z$56,'[1]Funcionamiento - Gral'!T$1,0)</f>
        <v>0</v>
      </c>
      <c r="T69" s="19">
        <f>VLOOKUP($B69,'[1]Funcionamiento - Gral'!$B$3:$Z$56,'[1]Funcionamiento - Gral'!U$1,0)</f>
        <v>0</v>
      </c>
      <c r="U69" s="19">
        <f>VLOOKUP($B69,'[1]Funcionamiento - Gral'!$B$3:$Z$56,'[1]Funcionamiento - Gral'!V$1,0)</f>
        <v>450636313.30000001</v>
      </c>
      <c r="V69" s="20">
        <f>VLOOKUP($B69,'[1]Funcionamiento - Gral'!$B$3:$Z$56,'[1]Funcionamiento - Gral'!W$1,0)</f>
        <v>0</v>
      </c>
      <c r="W69" s="19">
        <f>VLOOKUP($B69,'[1]Funcionamiento - Gral'!$B$3:$Z$56,'[1]Funcionamiento - Gral'!X$1,0)</f>
        <v>450636313.30000001</v>
      </c>
      <c r="X69" s="19">
        <f>VLOOKUP($B69,'[1]Funcionamiento - Gral'!$B$3:$Z$56,'[1]Funcionamiento - Gral'!Y$1,0)</f>
        <v>450636313.30000001</v>
      </c>
      <c r="Y69" s="19">
        <f>VLOOKUP($B69,'[1]Funcionamiento - Gral'!$B$3:$Z$56,'[1]Funcionamiento - Gral'!Z$1,0)</f>
        <v>450636313.30000001</v>
      </c>
    </row>
  </sheetData>
  <autoFilter ref="B15:Y69" xr:uid="{8A802053-1CC8-43C7-83EB-3E9CB4538FBC}"/>
  <mergeCells count="3">
    <mergeCell ref="D3:F3"/>
    <mergeCell ref="D6:F6"/>
    <mergeCell ref="C12:D12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18E-E664-45ED-B111-3193D9D38CBD}">
  <dimension ref="B2:H24"/>
  <sheetViews>
    <sheetView workbookViewId="0"/>
  </sheetViews>
  <sheetFormatPr baseColWidth="10" defaultRowHeight="15" x14ac:dyDescent="0.25"/>
  <cols>
    <col min="1" max="1" width="2.5703125" style="25" customWidth="1"/>
    <col min="2" max="2" width="4" style="25" customWidth="1"/>
    <col min="3" max="3" width="9.85546875" style="25" customWidth="1"/>
    <col min="4" max="4" width="44.7109375" style="25" customWidth="1"/>
    <col min="5" max="5" width="3.5703125" style="25" customWidth="1"/>
    <col min="6" max="6" width="4" style="25" customWidth="1"/>
    <col min="7" max="7" width="20" style="25" customWidth="1"/>
    <col min="8" max="8" width="78.140625" style="25" customWidth="1"/>
    <col min="9" max="16384" width="11.42578125" style="25"/>
  </cols>
  <sheetData>
    <row r="2" spans="2:8" ht="22.5" customHeight="1" x14ac:dyDescent="0.25">
      <c r="B2" s="23" t="s">
        <v>155</v>
      </c>
      <c r="C2" s="24"/>
      <c r="D2" s="24"/>
      <c r="E2" s="24"/>
      <c r="F2" s="24"/>
      <c r="G2" s="24"/>
      <c r="H2" s="24"/>
    </row>
    <row r="4" spans="2:8" x14ac:dyDescent="0.25">
      <c r="B4" s="17" t="s">
        <v>156</v>
      </c>
      <c r="C4" s="17" t="s">
        <v>157</v>
      </c>
      <c r="D4" s="17" t="s">
        <v>158</v>
      </c>
      <c r="F4" s="26" t="s">
        <v>156</v>
      </c>
      <c r="G4" s="26" t="s">
        <v>10</v>
      </c>
      <c r="H4" s="26" t="s">
        <v>158</v>
      </c>
    </row>
    <row r="5" spans="2:8" ht="15.75" customHeight="1" x14ac:dyDescent="0.25">
      <c r="B5" s="27">
        <v>1</v>
      </c>
      <c r="C5" s="28" t="s">
        <v>159</v>
      </c>
      <c r="D5" s="28" t="s">
        <v>160</v>
      </c>
      <c r="F5" s="29">
        <v>1</v>
      </c>
      <c r="G5" s="30" t="s">
        <v>12</v>
      </c>
      <c r="H5" s="30" t="s">
        <v>161</v>
      </c>
    </row>
    <row r="6" spans="2:8" ht="15.75" customHeight="1" x14ac:dyDescent="0.25">
      <c r="B6" s="27">
        <v>2</v>
      </c>
      <c r="C6" s="28" t="s">
        <v>162</v>
      </c>
      <c r="D6" s="28" t="s">
        <v>163</v>
      </c>
      <c r="F6" s="29">
        <v>2</v>
      </c>
      <c r="G6" s="30" t="s">
        <v>13</v>
      </c>
      <c r="H6" s="30" t="s">
        <v>164</v>
      </c>
    </row>
    <row r="7" spans="2:8" ht="15.75" customHeight="1" x14ac:dyDescent="0.25">
      <c r="B7" s="27">
        <v>3</v>
      </c>
      <c r="C7" s="28" t="s">
        <v>165</v>
      </c>
      <c r="D7" s="28" t="s">
        <v>120</v>
      </c>
      <c r="F7" s="29">
        <v>3</v>
      </c>
      <c r="G7" s="30" t="s">
        <v>14</v>
      </c>
      <c r="H7" s="30" t="s">
        <v>166</v>
      </c>
    </row>
    <row r="8" spans="2:8" ht="15.75" customHeight="1" x14ac:dyDescent="0.25">
      <c r="B8" s="27">
        <v>4</v>
      </c>
      <c r="C8" s="28" t="s">
        <v>167</v>
      </c>
      <c r="D8" s="28" t="s">
        <v>168</v>
      </c>
      <c r="F8" s="29">
        <v>4</v>
      </c>
      <c r="G8" s="30" t="s">
        <v>15</v>
      </c>
      <c r="H8" s="30" t="s">
        <v>169</v>
      </c>
    </row>
    <row r="9" spans="2:8" ht="15.75" customHeight="1" x14ac:dyDescent="0.25">
      <c r="B9" s="27">
        <v>5</v>
      </c>
      <c r="C9" s="28" t="s">
        <v>170</v>
      </c>
      <c r="D9" s="28" t="s">
        <v>171</v>
      </c>
      <c r="F9" s="29">
        <v>5</v>
      </c>
      <c r="G9" s="30" t="s">
        <v>16</v>
      </c>
      <c r="H9" s="30" t="s">
        <v>172</v>
      </c>
    </row>
    <row r="10" spans="2:8" ht="15.75" customHeight="1" x14ac:dyDescent="0.25">
      <c r="B10" s="27">
        <v>6</v>
      </c>
      <c r="C10" s="28" t="s">
        <v>173</v>
      </c>
      <c r="D10" s="28" t="s">
        <v>174</v>
      </c>
      <c r="F10" s="29">
        <v>6</v>
      </c>
      <c r="G10" s="30" t="s">
        <v>17</v>
      </c>
      <c r="H10" s="30" t="s">
        <v>175</v>
      </c>
    </row>
    <row r="11" spans="2:8" ht="15.75" customHeight="1" x14ac:dyDescent="0.25">
      <c r="B11" s="27">
        <v>7</v>
      </c>
      <c r="C11" s="28" t="s">
        <v>176</v>
      </c>
      <c r="D11" s="28" t="s">
        <v>177</v>
      </c>
      <c r="F11" s="29">
        <v>7</v>
      </c>
      <c r="G11" s="30" t="s">
        <v>18</v>
      </c>
      <c r="H11" s="30" t="s">
        <v>178</v>
      </c>
    </row>
    <row r="12" spans="2:8" ht="15.75" customHeight="1" x14ac:dyDescent="0.25">
      <c r="B12" s="27">
        <v>8</v>
      </c>
      <c r="C12" s="28" t="s">
        <v>179</v>
      </c>
      <c r="D12" s="28" t="s">
        <v>180</v>
      </c>
      <c r="F12" s="29">
        <v>8</v>
      </c>
      <c r="G12" s="30" t="s">
        <v>19</v>
      </c>
      <c r="H12" s="30" t="s">
        <v>181</v>
      </c>
    </row>
    <row r="13" spans="2:8" ht="15.75" customHeight="1" x14ac:dyDescent="0.25">
      <c r="B13" s="27">
        <v>9</v>
      </c>
      <c r="C13" s="28" t="s">
        <v>182</v>
      </c>
      <c r="D13" s="28" t="s">
        <v>183</v>
      </c>
      <c r="F13" s="29">
        <v>9</v>
      </c>
      <c r="G13" s="30" t="s">
        <v>20</v>
      </c>
      <c r="H13" s="30" t="s">
        <v>184</v>
      </c>
    </row>
    <row r="14" spans="2:8" ht="15.75" customHeight="1" x14ac:dyDescent="0.25">
      <c r="B14" s="27">
        <v>10</v>
      </c>
      <c r="C14" s="28" t="s">
        <v>185</v>
      </c>
      <c r="D14" s="28" t="s">
        <v>186</v>
      </c>
      <c r="F14" s="29">
        <v>10</v>
      </c>
      <c r="G14" s="30" t="s">
        <v>21</v>
      </c>
      <c r="H14" s="30" t="s">
        <v>187</v>
      </c>
    </row>
    <row r="15" spans="2:8" ht="15.75" customHeight="1" x14ac:dyDescent="0.25">
      <c r="B15" s="27">
        <v>11</v>
      </c>
      <c r="C15" s="28" t="s">
        <v>188</v>
      </c>
      <c r="D15" s="28" t="s">
        <v>189</v>
      </c>
      <c r="F15" s="29">
        <v>11</v>
      </c>
      <c r="G15" s="30" t="s">
        <v>22</v>
      </c>
      <c r="H15" s="30" t="s">
        <v>190</v>
      </c>
    </row>
    <row r="16" spans="2:8" ht="15.75" customHeight="1" x14ac:dyDescent="0.25">
      <c r="B16" s="27">
        <v>12</v>
      </c>
      <c r="C16" s="28" t="s">
        <v>191</v>
      </c>
      <c r="D16" s="28" t="s">
        <v>122</v>
      </c>
      <c r="F16" s="29">
        <v>12</v>
      </c>
      <c r="G16" s="30" t="s">
        <v>23</v>
      </c>
      <c r="H16" s="30" t="s">
        <v>192</v>
      </c>
    </row>
    <row r="17" spans="2:8" ht="15.75" customHeight="1" x14ac:dyDescent="0.25">
      <c r="B17" s="27">
        <v>13</v>
      </c>
      <c r="C17" s="28" t="s">
        <v>193</v>
      </c>
      <c r="D17" s="28" t="s">
        <v>194</v>
      </c>
      <c r="F17" s="29">
        <v>13</v>
      </c>
      <c r="G17" s="30" t="s">
        <v>24</v>
      </c>
      <c r="H17" s="30" t="s">
        <v>195</v>
      </c>
    </row>
    <row r="18" spans="2:8" ht="15.75" customHeight="1" x14ac:dyDescent="0.25">
      <c r="B18" s="27">
        <v>14</v>
      </c>
      <c r="C18" s="28" t="s">
        <v>196</v>
      </c>
      <c r="D18" s="28" t="s">
        <v>197</v>
      </c>
      <c r="F18" s="29">
        <v>14</v>
      </c>
      <c r="G18" s="30" t="s">
        <v>25</v>
      </c>
      <c r="H18" s="30" t="s">
        <v>198</v>
      </c>
    </row>
    <row r="19" spans="2:8" ht="15.75" customHeight="1" x14ac:dyDescent="0.25">
      <c r="B19" s="27">
        <v>15</v>
      </c>
      <c r="C19" s="28" t="s">
        <v>199</v>
      </c>
      <c r="D19" s="28" t="s">
        <v>200</v>
      </c>
      <c r="F19" s="29">
        <v>15</v>
      </c>
      <c r="G19" s="30" t="s">
        <v>26</v>
      </c>
      <c r="H19" s="30" t="s">
        <v>201</v>
      </c>
    </row>
    <row r="20" spans="2:8" ht="15.75" customHeight="1" x14ac:dyDescent="0.25">
      <c r="F20" s="29">
        <v>16</v>
      </c>
      <c r="G20" s="30" t="s">
        <v>27</v>
      </c>
      <c r="H20" s="30" t="s">
        <v>202</v>
      </c>
    </row>
    <row r="21" spans="2:8" ht="15.75" customHeight="1" x14ac:dyDescent="0.25">
      <c r="F21" s="29">
        <v>17</v>
      </c>
      <c r="G21" s="30" t="s">
        <v>28</v>
      </c>
      <c r="H21" s="30" t="s">
        <v>203</v>
      </c>
    </row>
    <row r="22" spans="2:8" ht="15.75" customHeight="1" x14ac:dyDescent="0.25">
      <c r="F22" s="29">
        <v>18</v>
      </c>
      <c r="G22" s="30" t="s">
        <v>29</v>
      </c>
      <c r="H22" s="30" t="s">
        <v>204</v>
      </c>
    </row>
    <row r="23" spans="2:8" ht="15.75" customHeight="1" x14ac:dyDescent="0.25">
      <c r="F23" s="29">
        <v>19</v>
      </c>
      <c r="G23" s="30" t="s">
        <v>30</v>
      </c>
      <c r="H23" s="30" t="s">
        <v>205</v>
      </c>
    </row>
    <row r="24" spans="2:8" ht="15.75" customHeight="1" x14ac:dyDescent="0.25">
      <c r="F24" s="29">
        <v>20</v>
      </c>
      <c r="G24" s="30" t="s">
        <v>206</v>
      </c>
      <c r="H24" s="30" t="s">
        <v>207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Ejecucion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Enrique Pachon Bustos</dc:creator>
  <cp:lastModifiedBy>Andres Enrique Pachon Bustos</cp:lastModifiedBy>
  <dcterms:created xsi:type="dcterms:W3CDTF">2025-11-14T04:18:28Z</dcterms:created>
  <dcterms:modified xsi:type="dcterms:W3CDTF">2025-11-14T04:28:38Z</dcterms:modified>
</cp:coreProperties>
</file>