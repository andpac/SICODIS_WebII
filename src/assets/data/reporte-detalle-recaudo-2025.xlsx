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"/>
    </mc:Choice>
  </mc:AlternateContent>
  <xr:revisionPtr revIDLastSave="0" documentId="8_{FB38EA32-A376-4599-A070-2A26699C77FE}" xr6:coauthVersionLast="47" xr6:coauthVersionMax="47" xr10:uidLastSave="{00000000-0000-0000-0000-000000000000}"/>
  <bookViews>
    <workbookView xWindow="-120" yWindow="-120" windowWidth="24240" windowHeight="13140" xr2:uid="{4A4FB39F-38EC-455D-958B-62A00810C11F}"/>
  </bookViews>
  <sheets>
    <sheet name="Reporte Fun - Recaudo" sheetId="1" r:id="rId1"/>
    <sheet name="Diccionari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\a">'[2]CUADRO No 4'!#REF!</definedName>
    <definedName name="\c">#REF!</definedName>
    <definedName name="\i">#REF!</definedName>
    <definedName name="\P">#REF!</definedName>
    <definedName name="\r">#REF!</definedName>
    <definedName name="__123Graph_B" hidden="1">'[3]GIROS SITUAD.FISCAL- 2000'!#REF!</definedName>
    <definedName name="__123Graph_D" hidden="1">'[3]GIROS SITUAD.FISCAL- 2000'!#REF!</definedName>
    <definedName name="__123Graph_F" hidden="1">'[3]GIROS SITUAD.FISCAL- 2000'!#REF!</definedName>
    <definedName name="__123Graph_X" hidden="1">'[3]GIROS SITUAD.FISCAL- 2000'!#REF!</definedName>
    <definedName name="__xlnm._FilterDatabase">#REF!</definedName>
    <definedName name="__xlnm._FilterDatabase_3">#REF!</definedName>
    <definedName name="_1">#REF!</definedName>
    <definedName name="_1994">'[4]Educa 94-01 miles corrientes'!$M$2</definedName>
    <definedName name="_1995">'[4]Educa 94-01 miles corrientes'!$N$2</definedName>
    <definedName name="_1996">'[4]Educa 94-01 miles corrientes'!$O$2</definedName>
    <definedName name="_1997">'[4]Educa 94-01 miles corrientes'!$P$2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xlnm._FilterDatabase" localSheetId="0" hidden="1">'Reporte Fun - Recaudo'!$B$17:$AD$57</definedName>
    <definedName name="_fmi1">[5]PAGOFMI!$A$1:$L$51</definedName>
    <definedName name="_fmi2">[5]PAGOFMI!$P$1:$AA$51</definedName>
    <definedName name="_fmi3">[5]PAGORES!$AC$1:$AN$43</definedName>
    <definedName name="_fmi4">[5]PAGORES!$AP$1:$BA$44</definedName>
    <definedName name="_Order1" hidden="1">255</definedName>
    <definedName name="_Order2" hidden="1">255</definedName>
    <definedName name="_PIB01">[6]SUPUESTOS!#REF!</definedName>
    <definedName name="_PIB02">[7]SUPUESTOS!#REF!</definedName>
    <definedName name="_PIB95">[6]SUPUESTOS!$J$47</definedName>
    <definedName name="_PIB96">[6]SUPUESTOS!$K$47</definedName>
    <definedName name="_PIB97">[8]SUPUESTOS!$L$47</definedName>
    <definedName name="_PIB98">[8]SUPUESTOS!$M$47</definedName>
    <definedName name="_PIB99">[8]SUPUESTOS!$N$47</definedName>
    <definedName name="_RES9397">#REF!</definedName>
    <definedName name="_rez2">'[5]PAGOS VIGENCIA t'!$A$57:$AH$108</definedName>
    <definedName name="_rez3">[5]PAGORES!$A$1:$M$37</definedName>
    <definedName name="_rez4">[5]PAGORES!$O$1:$AN$43</definedName>
    <definedName name="_Table1_Out" hidden="1">[9]CARBOCOL!#REF!</definedName>
    <definedName name="_Table2_In2" hidden="1">[10]ANUAL1!#REF!</definedName>
    <definedName name="_Table2_Out" hidden="1">[9]CARBOCOL!#REF!</definedName>
    <definedName name="A">#REF!</definedName>
    <definedName name="A_2002">#REF!</definedName>
    <definedName name="A_CAPITAL">[11]Hoja4!$B$3:$O$34</definedName>
    <definedName name="A_DEPTOS">[11]Hoja4!$B$76:$N$108</definedName>
    <definedName name="A_impresión_IM">#REF!</definedName>
    <definedName name="A_MUNPIOS">[11]Hoja4!$B$39:$N$71</definedName>
    <definedName name="AAA">[12]proyecINGRESOS99!$L$1:$T$97</definedName>
    <definedName name="Ajustado">#REF!</definedName>
    <definedName name="ANEXO_No.">#REF!</definedName>
    <definedName name="ANEXO_No._5">#REF!</definedName>
    <definedName name="APORTES">#REF!</definedName>
    <definedName name="APORTESYRETIROS">#REF!</definedName>
    <definedName name="aprnac">[13]GASTOS!#REF!</definedName>
    <definedName name="Aprobacion">[14]Listas!$I$4:$I$5</definedName>
    <definedName name="APROPIACIONES_PAC_Y_REZAGO_1999___2000">#REF!</definedName>
    <definedName name="aprprp">[13]GASTOS!#REF!</definedName>
    <definedName name="_xlnm.Print_Area">#REF!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avls">#REF!</definedName>
    <definedName name="B">[15]LOTERIAS!$B$54:$P$54</definedName>
    <definedName name="_xlnm.Database">#REF!</definedName>
    <definedName name="basnac">[13]GASTOS!#REF!</definedName>
    <definedName name="basprp">[13]GASTOS!#REF!</definedName>
    <definedName name="beneficiarios">[16]Correlativas!$B$4:$C$1152</definedName>
    <definedName name="bonser">#REF!</definedName>
    <definedName name="CARBOCRECIM">#REF!</definedName>
    <definedName name="CARBOPESOS">#REF!</definedName>
    <definedName name="CARBOPIB">#REF!</definedName>
    <definedName name="castigocuadro2">'[17]CUA1-3'!$Y$1:$AD$93</definedName>
    <definedName name="CAT_00">'[18]94-03 Mil Corr '!#REF!</definedName>
    <definedName name="CAT_01">'[18]94-03 Mil Corr '!#REF!</definedName>
    <definedName name="CAT_02">'[18]94-03 Mil Corr '!#REF!</definedName>
    <definedName name="CAT_94">'[18]94-03 Mil Corr '!#REF!</definedName>
    <definedName name="CAT_95">'[18]94-03 Mil Corr '!#REF!</definedName>
    <definedName name="CAT_96">'[18]94-03 Mil Corr '!#REF!</definedName>
    <definedName name="CAT_97">'[18]94-03 Mil Corr '!#REF!</definedName>
    <definedName name="CAT_98">'[18]94-03 Mil Corr '!#REF!</definedName>
    <definedName name="CAT_99">'[18]94-03 Mil Corr '!#REF!</definedName>
    <definedName name="CENSO1964">#REF!</definedName>
    <definedName name="CENSO1973">#REF!</definedName>
    <definedName name="CENSO1985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[19]RESUMEN!#REF!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'[12]proyecINGRESOS99 (det)'!$V$98:$AH$145</definedName>
    <definedName name="concepcom">[20]LISTAS!$Y$5:$Y$8</definedName>
    <definedName name="Conceptos">[21]Hoja1!$J$26:$J$39</definedName>
    <definedName name="Confis">#REF!</definedName>
    <definedName name="CONVIA">[22]LISTAS!$AE$5:$AE$6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[23]RESUOPE!$AE$150:$BB$224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[24]Hoja1!$B$3:$E$38</definedName>
    <definedName name="Cuadro_No._1b">[24]Hoja2!$L$3:$O$23</definedName>
    <definedName name="Cuadro_No._1C">[24]Hoja1!$B$50:$E$88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[23]RESUOPE!$B$9:$AB$83</definedName>
    <definedName name="CUAINGRE">#REF!</definedName>
    <definedName name="Cwvu.ComparEneMar9697." hidden="1">'[25]Seguimiento CSF'!#REF!,'[25]Seguimiento CSF'!$A$30:$IV$34,'[25]Seguimiento CSF'!$A$104:$IV$104,'[25]Seguimiento CSF'!#REF!,'[25]Seguimiento CSF'!#REF!,'[25]Seguimiento CSF'!$A$124:$IV$125</definedName>
    <definedName name="Cwvu.EneFeb." hidden="1">'[25]Seguimiento CSF'!#REF!,'[25]Seguimiento CSF'!#REF!</definedName>
    <definedName name="Cwvu.EneMar." hidden="1">'[25]Seguimiento CSF'!#REF!,'[25]Seguimiento CSF'!$A$67:$IV$67,'[25]Seguimiento CSF'!#REF!,'[25]Seguimiento CSF'!#REF!</definedName>
    <definedName name="Cwvu.Formato._.Corto." hidden="1">'[25]Seguimiento CSF'!$A$11:$IV$12,'[25]Seguimiento CSF'!#REF!,'[25]Seguimiento CSF'!$A$45:$IV$46,'[25]Seguimiento CSF'!$A$48:$IV$57,'[25]Seguimiento CSF'!$A$61:$IV$63,'[25]Seguimiento CSF'!$A$65:$IV$66,'[25]Seguimiento CSF'!$A$72:$IV$82,'[25]Seguimiento CSF'!$A$89:$IV$92,'[25]Seguimiento CSF'!$A$114:$IV$116,'[25]Seguimiento CSF'!$A$118:$IV$122,'[25]Seguimiento CSF'!$A$129:$IV$132,'[25]Seguimiento CSF'!$A$134:$IV$135</definedName>
    <definedName name="Cwvu.Formato._.Total." hidden="1">'[25]Seguimiento CSF'!#REF!,'[25]Seguimiento CSF'!#REF!,'[25]Seguimiento CSF'!#REF!</definedName>
    <definedName name="d">'[26]Dolares ingresos'!$C$2:$U$48</definedName>
    <definedName name="dasd">#REF!</definedName>
    <definedName name="DBALANCEFMI2">#REF!</definedName>
    <definedName name="DboREGISTRO_LEY_617">#REF!</definedName>
    <definedName name="DDD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[11]Hoja4!$B$3:$B$34</definedName>
    <definedName name="DEPAR_DEP">[11]Hoja4!$B$76:$B$108</definedName>
    <definedName name="DEPAR_MUN">[11]Hoja4!$B$39:$B$71</definedName>
    <definedName name="Departamental">[27]Listas!$GK$5:$GK$37</definedName>
    <definedName name="Departamentos">[28]Lista!$H$3:$H$39</definedName>
    <definedName name="DEPTO">#REF!</definedName>
    <definedName name="DEPTO_2002">#REF!</definedName>
    <definedName name="depto1">[29]depto!$A$1:$A$33</definedName>
    <definedName name="DETALLE_DE_LA_COMPOSICION_DEL_PRESUPUESTO_DE_RENTAS_DE_LA_NACION">[12]proyecINGRESOS99!$A$1:$I$97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FERCOLUM00">#REF!</definedName>
    <definedName name="DIFERCOLUM01">#REF!</definedName>
    <definedName name="DIFERCOLUM02">#REF!</definedName>
    <definedName name="DIFERCOLUM99">#REF!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[13]GASTOS!#REF!</definedName>
    <definedName name="eje">[13]GASTOS!#REF!</definedName>
    <definedName name="EJECUTOR">[30]LISTAS!$AH$5:$AH$3809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ntidades">[31]Hoja1!$F$9:$F$24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ADO">[32]Hoja1!$C$5:$C$13</definedName>
    <definedName name="ESTADOS">[33]Hoja2!$C$5:$C$13</definedName>
    <definedName name="estimaciones">#REF!</definedName>
    <definedName name="Excel_BuiltIn__FilterDatabase_3">#REF!</definedName>
    <definedName name="FEBRERON">[34]VIGN!#REF!</definedName>
    <definedName name="FEBREROP">#REF!</definedName>
    <definedName name="FEBRERORN">#REF!</definedName>
    <definedName name="FEBRERORP">#REF!</definedName>
    <definedName name="ffff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NCCRECIM">#REF!</definedName>
    <definedName name="FNCPESOS">#REF!</definedName>
    <definedName name="FNCPIB">#REF!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Z_00">'[18]94-03 Mil Corr '!#REF!</definedName>
    <definedName name="FORZ_01_RESERVA">'[18]94-03 Mil Corr '!#REF!</definedName>
    <definedName name="FORZ_94">'[18]94-03 Mil Corr '!#REF!</definedName>
    <definedName name="FORZ_95">'[18]94-03 Mil Corr '!#REF!</definedName>
    <definedName name="FORZ_96">'[18]94-03 Mil Corr '!#REF!</definedName>
    <definedName name="FORZ_97">'[18]94-03 Mil Corr '!#REF!</definedName>
    <definedName name="FORZ_98">'[18]94-03 Mil Corr '!#REF!</definedName>
    <definedName name="FORZ_99">'[18]94-03 Mil Corr '!#REF!</definedName>
    <definedName name="FORZ_PG_02">'[18]94-03 Mil Corr '!#REF!</definedName>
    <definedName name="fsfsf">[34]VIGN!#REF!</definedName>
    <definedName name="fun">[13]GASTOS!#REF!</definedName>
    <definedName name="futnac">[13]GASTOS!#REF!</definedName>
    <definedName name="futprp">[13]GASTOS!#REF!</definedName>
    <definedName name="ga">#REF!</definedName>
    <definedName name="GASOLINA_REGULAR">'[35]MODELO DE GASOLINA'!$A$8:$P$25</definedName>
    <definedName name="gasrep">#REF!</definedName>
    <definedName name="Gastos_generales">#REF!</definedName>
    <definedName name="gd">#REF!</definedName>
    <definedName name="giro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idrocarburos_Caja_ANH">[36]Hidrocarburos!$B$28:$AE$30</definedName>
    <definedName name="Hidrocarburos_Caja_Sensibilizado">'[36]Hidrocarburos Sensibilizado'!$B$28:$AE$30</definedName>
    <definedName name="Honorarios">#REF!</definedName>
    <definedName name="horext">#REF!</definedName>
    <definedName name="hsdgfjhsdf">'[2]CUADRO No 4'!#REF!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SVERIF">[22]LISTAS!$AA$5:$AA$6</definedName>
    <definedName name="INTYCOM00_">[15]SUPUESTOS!$O$70</definedName>
    <definedName name="INTYCOM94_">[15]SUPUESTOS!$I$70</definedName>
    <definedName name="INTYCOM95_">[15]SUPUESTOS!$J$70</definedName>
    <definedName name="INTYCOM96_">[15]SUPUESTOS!$K$70</definedName>
    <definedName name="INTYCOM97_">[15]SUPUESTOS!$L$70</definedName>
    <definedName name="INTYCOM98_">[15]SUPUESTOS!$M$70</definedName>
    <definedName name="INTYCOM99_">[15]SUPUESTOS!$N$70</definedName>
    <definedName name="KBALANCEVSFMI">#REF!</definedName>
    <definedName name="kkkk">'[37]CUADRO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qui">#REF!</definedName>
    <definedName name="liquidacion97">'[38]LIQUI-TRANSF'!#REF!</definedName>
    <definedName name="Lista_nombresDepto">[39]Diagrama!$B$76:$C$121</definedName>
    <definedName name="ListaEventos">[40]Listas!$II$5:$II$10</definedName>
    <definedName name="LPORTADASECTOR">#REF!</definedName>
    <definedName name="M">[41]Datos!$F$34</definedName>
    <definedName name="MACRO">#REF!</definedName>
    <definedName name="MARZON">[34]VIGN!#REF!</definedName>
    <definedName name="MARZOP">#REF!</definedName>
    <definedName name="MARZORN">#REF!</definedName>
    <definedName name="MARZORP">#REF!</definedName>
    <definedName name="METROCRECIM">#REF!</definedName>
    <definedName name="METROPESOS">#REF!</definedName>
    <definedName name="METROPIB">#REF!</definedName>
    <definedName name="Mineria_Caja_ANM">'[36]Mineria ANM'!$B$30:$CC$41</definedName>
    <definedName name="Mineria_Caja_Sensibilizado">'[36]Mineria ANM Sensibilizado'!$B$39:$CC$46</definedName>
    <definedName name="MINISTRO">'[42]CUA1-3'!#REF!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_departamento">[16]Correlativas!$E$3:$F$36</definedName>
    <definedName name="nombre_municipios">[43]correlativas!$E$4:$G$1106</definedName>
    <definedName name="NOMBRENIT">[22]LISTAS!$AI$5:$AI$1139</definedName>
    <definedName name="NOMBRES_MUN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tesore00">#REF!</definedName>
    <definedName name="opetesore98">#REF!</definedName>
    <definedName name="opetesore99">#REF!</definedName>
    <definedName name="P">'[26]Pesos ingresos'!$C$2:$U$111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'[42]CUA1-3'!#REF!</definedName>
    <definedName name="PARTMUN00_">[15]SUPUESTOS!$O$6</definedName>
    <definedName name="PARTMUN93_">[15]SUPUESTOS!$H$6</definedName>
    <definedName name="PARTMUN94_">[15]SUPUESTOS!$I$6</definedName>
    <definedName name="PARTMUN95_">[15]SUPUESTOS!$J$6</definedName>
    <definedName name="PARTMUN96_">[15]SUPUESTOS!$K$6</definedName>
    <definedName name="PARTMUN97_">[15]SUPUESTOS!$L$6</definedName>
    <definedName name="PARTMUN98_">[15]SUPUESTOS!$M$6</definedName>
    <definedName name="PARTMUN99_">[15]SUPUESTOS!$N$6</definedName>
    <definedName name="Pcpta_00">[44]Pob!#REF!</definedName>
    <definedName name="Pcpta_01">[44]Pob!#REF!</definedName>
    <definedName name="Pcpta_02">[44]Pob!#REF!</definedName>
    <definedName name="Pcpta_99">[44]Pob!#REF!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[7]SUPUESTOS!$O$47</definedName>
    <definedName name="PIB00_">[15]SUPUESTOS!$O$19</definedName>
    <definedName name="PIB93_">[15]SUPUESTOS!$H$19</definedName>
    <definedName name="PIB94_">[15]SUPUESTOS!$I$19</definedName>
    <definedName name="PIB95_">[15]SUPUESTOS!$J$19</definedName>
    <definedName name="PIB96_">[15]SUPUESTOS!$K$19</definedName>
    <definedName name="PIB97_">[15]SUPUESTOS!$L$19</definedName>
    <definedName name="PIB98_">[15]SUPUESTOS!$M$19</definedName>
    <definedName name="PIB99_">[15]SUPUESTOS!$N$19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ORC_LIBRE_00">'[18]94-03 Mil Corr '!#REF!</definedName>
    <definedName name="PORC_LIBRE_01">'[18]94-03 Mil Corr '!#REF!</definedName>
    <definedName name="PORC_LIBRE_02">'[18]94-03 Mil Corr '!#REF!</definedName>
    <definedName name="PORC_LIBRE_94">'[18]94-03 Mil Corr '!#REF!</definedName>
    <definedName name="PORC_LIBRE_95">'[18]94-03 Mil Corr '!#REF!</definedName>
    <definedName name="PORC_LIBRE_96">'[18]94-03 Mil Corr '!#REF!</definedName>
    <definedName name="PORC_LIBRE_97">'[18]94-03 Mil Corr '!#REF!</definedName>
    <definedName name="PORC_LIBRE_98">'[18]94-03 Mil Corr '!#REF!</definedName>
    <definedName name="PORC_LIBRE_99">'[18]94-03 Mil Corr '!#REF!</definedName>
    <definedName name="PPTO97">#REF!</definedName>
    <definedName name="PRESUPUESTO__1998">#REF!</definedName>
    <definedName name="prgnac">[13]GASTOS!#REF!</definedName>
    <definedName name="prgprp">[13]GASTOS!#REF!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PROPIOS">#REF!</definedName>
    <definedName name="prynac">[13]GASTOS!#REF!</definedName>
    <definedName name="pryprp">[13]GASTOS!#REF!</definedName>
    <definedName name="pyd">'[26]P+D ingresos'!$C$1:$U$111</definedName>
    <definedName name="rango1">#REF!</definedName>
    <definedName name="RDPTO">#REF!</definedName>
    <definedName name="re">#REF!</definedName>
    <definedName name="REBDBRUTO">#REF!</definedName>
    <definedName name="RECALCULO">[19]RESUMEN!#REF!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[13]GASTOS!#REF!</definedName>
    <definedName name="recprp">[13]GASTOS!#REF!</definedName>
    <definedName name="reg">[13]GASTOS!#REF!</definedName>
    <definedName name="REGALIAS00_">[15]SUPUESTOS!$O$74</definedName>
    <definedName name="REGALIAS93_">[15]SUPUESTOS!$H$74</definedName>
    <definedName name="REGALIAS94_">[15]SUPUESTOS!$I$74</definedName>
    <definedName name="REGALIAS95_">[15]SUPUESTOS!$J$74</definedName>
    <definedName name="REGALIAS96_">[15]SUPUESTOS!$K$74</definedName>
    <definedName name="REGALIAS97_">[15]SUPUESTOS!$L$74</definedName>
    <definedName name="REGALIAS98_">[15]SUPUESTOS!$M$74</definedName>
    <definedName name="REGALIAS99_">[15]SUPUESTOS!$N$74</definedName>
    <definedName name="REGIONALCRECIM">#REF!</definedName>
    <definedName name="REGIONALPESOS">#REF!</definedName>
    <definedName name="REGIONALPIB">#REF!</definedName>
    <definedName name="RENDBRUTO">#REF!</definedName>
    <definedName name="Rep_ing_02">[44]Pob!#REF!</definedName>
    <definedName name="reporte_beneficiario">#REF!</definedName>
    <definedName name="reporte_departamento">'[39]Rte. por Depto'!$A$4:$M$50</definedName>
    <definedName name="REQUERIDOS">'[38]LIQUI-TRANSF'!#REF!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'[25]Seguimiento CSF'!$L$1:$N$65536,'[25]Seguimiento CSF'!$R$1:$BU$65536</definedName>
    <definedName name="Rwvu.EneFeb." hidden="1">'[25]Seguimiento CSF'!$L$1:$N$65536,'[25]Seguimiento CSF'!$Q$1:$AD$65536</definedName>
    <definedName name="Rwvu.Formato._.Corto." hidden="1">'[25]Seguimiento CSF'!$L$1:$N$65536,'[25]Seguimiento CSF'!$R$1:$AD$65536,'[25]Seguimiento CSF'!$AH$1:$AY$65536,'[25]Seguimiento CSF'!$BA$1:$BH$65536,'[25]Seguimiento CSF'!$BJ$1:$BQ$65536,'[25]Seguimiento CSF'!$BS$1:$CF$65536</definedName>
    <definedName name="Rwvu.OPEF._.96." hidden="1">'[25]Resumen OPEF'!$E$1:$J$65536,'[25]Resumen OPEF'!$M$1:$Q$65536</definedName>
    <definedName name="Rwvu.OPEF._.97." hidden="1">'[25]Resumen OPEF'!$C$1:$C$65536,'[25]Resumen OPEF'!#REF!,'[25]Resumen OPEF'!$K$1:$Q$65536</definedName>
    <definedName name="SALIR">[19]RESUMEN!#REF!</definedName>
    <definedName name="secing">#REF!</definedName>
    <definedName name="SECTOR1">[45]LISTAS!$S$5:$S$28</definedName>
    <definedName name="SEGSOCIALCRECIM">#REF!</definedName>
    <definedName name="SEGSOCIALPESOS">#REF!</definedName>
    <definedName name="SEGSOCIALPIB">#REF!</definedName>
    <definedName name="SEL">[20]LISTAS!$W$5:$W$6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'[46]DETALLE-DEUDA'!#REF!</definedName>
    <definedName name="Servicios_personales">#REF!</definedName>
    <definedName name="SGP_PG_02">#REF!</definedName>
    <definedName name="SITFID95_">[15]SUPUESTOS!$J$7</definedName>
    <definedName name="SITFIS00_">[15]SUPUESTOS!$O$7</definedName>
    <definedName name="SITFIS93_">[15]SUPUESTOS!$H$7</definedName>
    <definedName name="SITFIS94_">[15]SUPUESTOS!$I$7</definedName>
    <definedName name="SITFIS95_">[15]SUPUESTOS!$J$7</definedName>
    <definedName name="SITFIS96_">[15]SUPUESTOS!$K$7</definedName>
    <definedName name="SITFIS97_">[15]SUPUESTOS!$L$7</definedName>
    <definedName name="SITFIS98_">[15]SUPUESTOS!$M$7</definedName>
    <definedName name="SITFIS99_">[15]SUPUESTOS!$N$7</definedName>
    <definedName name="solnac">[13]GASTOS!#REF!</definedName>
    <definedName name="solprp">[13]GASTOS!#REF!</definedName>
    <definedName name="SORTEADO">#REF!</definedName>
    <definedName name="subtrn">#REF!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ipo_Entidad">[47]RangosEntidad!$A$2:$A$36</definedName>
    <definedName name="TipoOcad">[27]Listas!$GI$4:$GM$4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TOT00_">[15]SUPUESTOS!$O$5</definedName>
    <definedName name="TRANSTOT93_">[15]SUPUESTOS!$H$5</definedName>
    <definedName name="TRANSTOT94_">[15]SUPUESTOS!$I$5</definedName>
    <definedName name="TRANSTOT95_">[15]SUPUESTOS!$J$5</definedName>
    <definedName name="TRANSTOT96_">[15]SUPUESTOS!$K$5</definedName>
    <definedName name="TRANSTOT97_">[15]SUPUESTOS!$L$5</definedName>
    <definedName name="TRANSTOT98_">[15]SUPUESTOS!$M$5</definedName>
    <definedName name="TRANSTOT99_">[15]SUPUESTOS!$N$5</definedName>
    <definedName name="TRM">[48]TC!$H$10</definedName>
    <definedName name="unidad">#REF!</definedName>
    <definedName name="uno">#REF!</definedName>
    <definedName name="v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puntoIng">#REF!</definedName>
    <definedName name="VARIACIONES">#REF!</definedName>
    <definedName name="VARPIB00_">[15]SUPUESTOS!$O$20</definedName>
    <definedName name="VARPIB93_">[15]SUPUESTOS!$H$20</definedName>
    <definedName name="VARPIB94_">[15]SUPUESTOS!$I$20</definedName>
    <definedName name="VARPIB95_">[15]SUPUESTOS!$J$20</definedName>
    <definedName name="VARPIB96_">[15]SUPUESTOS!$K$20</definedName>
    <definedName name="VARPIB97_">[15]SUPUESTOS!$L$20</definedName>
    <definedName name="VARPIB98_">[15]SUPUESTOS!$M$20</definedName>
    <definedName name="VARPIB99_">[15]SUPUESTOS!$N$20</definedName>
    <definedName name="Viáticos_y_gastos_de_viaje">#REF!</definedName>
    <definedName name="VIGENCIA">'[5]PAGOS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Vigencias">[31]Hoja1!$C$3:$C$6</definedName>
    <definedName name="VOTOAPR">[20]LISTAS!$AG$5:$AG$6</definedName>
    <definedName name="VOTOVIA">[20]LISTAS!$AC$5:$AC$6</definedName>
    <definedName name="wvu.ComparEneMar9697." localSheetId="1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localSheetId="1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localSheetId="1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localSheetId="1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'[49]CUA1-3'!#REF!</definedName>
    <definedName name="Z_91E95AE5_DCC2_11D0_8DF1_00805F2A002D_.wvu.Cols" hidden="1">'[25]Seguimiento CSF'!$L$1:$N$65536,'[25]Seguimiento CSF'!$R$1:$BU$65536</definedName>
    <definedName name="Z_91E95AE6_DCC2_11D0_8DF1_00805F2A002D_.wvu.Cols" hidden="1">'[25]Seguimiento CSF'!$L$1:$N$65536,'[25]Seguimiento CSF'!$Q$1:$AD$65536</definedName>
    <definedName name="Z_91E95AE6_DCC2_11D0_8DF1_00805F2A002D_.wvu.Rows" hidden="1">'[25]Seguimiento CSF'!#REF!,'[25]Seguimiento CSF'!#REF!</definedName>
    <definedName name="Z_91E95AE7_DCC2_11D0_8DF1_00805F2A002D_.wvu.Cols" hidden="1">'[25]Resumen MES OPEF'!$C$1:$C$65536,'[25]Resumen MES OPEF'!$N$1:$N$65536,'[25]Resumen MES OPEF'!$Y$1:$Y$65536,'[25]Resumen MES OPEF'!$AL$1:$AL$65536,'[25]Resumen MES OPEF'!$AV$1:$AV$65536,'[25]Resumen MES OPEF'!$BG$1:$BG$65536,'[25]Resumen MES OPEF'!$BR$1:$BR$65536,'[25]Resumen MES OPEF'!$CC$1:$CC$65536</definedName>
    <definedName name="Z_91E95AE8_DCC2_11D0_8DF1_00805F2A002D_.wvu.Cols" hidden="1">'[25]Seguimiento CSF'!$L$1:$N$65536,'[25]Seguimiento CSF'!$R$1:$AD$65536,'[25]Seguimiento CSF'!$AY$1:$AY$65536,'[25]Seguimiento CSF'!$BH$1:$BH$65536,'[25]Seguimiento CSF'!$BQ$1:$BQ$65536</definedName>
    <definedName name="Z_91E95AE9_DCC2_11D0_8DF1_00805F2A002D_.wvu.Cols" hidden="1">'[25]Seguimiento CSF'!$L$1:$N$65536,'[25]Seguimiento CSF'!$R$1:$AD$65536,'[25]Seguimiento CSF'!$AH$1:$AY$65536,'[25]Seguimiento CSF'!$BA$1:$BH$65536,'[25]Seguimiento CSF'!$BJ$1:$BQ$65536,'[25]Seguimiento CSF'!$BS$1:$CF$65536</definedName>
    <definedName name="Z_91E95AEB_DCC2_11D0_8DF1_00805F2A002D_.wvu.Cols" hidden="1">'[25]Resumen OPEF'!$E$1:$J$65536,'[25]Resumen OPEF'!$M$1:$Q$65536</definedName>
    <definedName name="Z_91E95AEC_DCC2_11D0_8DF1_00805F2A002D_.wvu.Cols" hidden="1">'[25]Resumen OPEF'!$C$1:$C$65536,'[25]Resumen OPEF'!$E$1:$E$65536,'[25]Resumen OPEF'!$H$1:$I$65536,'[25]Resumen OPEF'!$K$1:$L$65536,'[25]Resumen OPEF'!$O$1:$O$65536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57" i="1" l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BF57" i="1" s="1"/>
  <c r="BG57" i="1" s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AE57" i="1" s="1"/>
  <c r="AF57" i="1" s="1"/>
  <c r="F57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BF56" i="1" s="1"/>
  <c r="BG56" i="1" s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AE56" i="1" s="1"/>
  <c r="AF56" i="1" s="1"/>
  <c r="F56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BF55" i="1" s="1"/>
  <c r="BG55" i="1" s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AE55" i="1" s="1"/>
  <c r="AF55" i="1" s="1"/>
  <c r="F55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BF54" i="1" s="1"/>
  <c r="BG54" i="1" s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AE54" i="1" s="1"/>
  <c r="AF54" i="1" s="1"/>
  <c r="F54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BF53" i="1" s="1"/>
  <c r="BG53" i="1" s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AE53" i="1" s="1"/>
  <c r="AF53" i="1" s="1"/>
  <c r="N53" i="1"/>
  <c r="M53" i="1"/>
  <c r="L53" i="1"/>
  <c r="K53" i="1"/>
  <c r="J53" i="1"/>
  <c r="I53" i="1"/>
  <c r="H53" i="1"/>
  <c r="G53" i="1"/>
  <c r="F53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BF52" i="1" s="1"/>
  <c r="BG52" i="1" s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AE52" i="1" s="1"/>
  <c r="AF52" i="1" s="1"/>
  <c r="F52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BF51" i="1" s="1"/>
  <c r="BG51" i="1" s="1"/>
  <c r="AO51" i="1"/>
  <c r="AN51" i="1"/>
  <c r="AM51" i="1"/>
  <c r="AL51" i="1"/>
  <c r="AK51" i="1"/>
  <c r="AJ51" i="1"/>
  <c r="AI51" i="1"/>
  <c r="AH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AE51" i="1" s="1"/>
  <c r="AF51" i="1" s="1"/>
  <c r="F51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BF50" i="1" s="1"/>
  <c r="BG50" i="1" s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AE50" i="1" s="1"/>
  <c r="AF50" i="1" s="1"/>
  <c r="M50" i="1"/>
  <c r="L50" i="1"/>
  <c r="K50" i="1"/>
  <c r="J50" i="1"/>
  <c r="I50" i="1"/>
  <c r="H50" i="1"/>
  <c r="G50" i="1"/>
  <c r="F50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BF49" i="1" s="1"/>
  <c r="BG49" i="1" s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AE49" i="1" s="1"/>
  <c r="AF49" i="1" s="1"/>
  <c r="F49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BF48" i="1" s="1"/>
  <c r="BG48" i="1" s="1"/>
  <c r="AN48" i="1"/>
  <c r="AM48" i="1"/>
  <c r="AL48" i="1"/>
  <c r="AK48" i="1"/>
  <c r="AJ48" i="1"/>
  <c r="AI48" i="1"/>
  <c r="AH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AE48" i="1" s="1"/>
  <c r="AF48" i="1" s="1"/>
  <c r="F48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BF47" i="1" s="1"/>
  <c r="BG47" i="1" s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AE47" i="1" s="1"/>
  <c r="AF47" i="1" s="1"/>
  <c r="F47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BF46" i="1" s="1"/>
  <c r="BG46" i="1" s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E46" i="1" s="1"/>
  <c r="AF46" i="1" s="1"/>
  <c r="I46" i="1"/>
  <c r="H46" i="1"/>
  <c r="G46" i="1"/>
  <c r="F46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BF45" i="1" s="1"/>
  <c r="BG45" i="1" s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AE45" i="1" s="1"/>
  <c r="AF45" i="1" s="1"/>
  <c r="F45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BF44" i="1" s="1"/>
  <c r="BG44" i="1" s="1"/>
  <c r="AJ44" i="1"/>
  <c r="AI44" i="1"/>
  <c r="AH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AE44" i="1" s="1"/>
  <c r="AF44" i="1" s="1"/>
  <c r="F44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BF43" i="1" s="1"/>
  <c r="BG43" i="1" s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AE43" i="1" s="1"/>
  <c r="AF43" i="1" s="1"/>
  <c r="F43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BF42" i="1" s="1"/>
  <c r="BG42" i="1" s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AE42" i="1" s="1"/>
  <c r="AF42" i="1" s="1"/>
  <c r="F42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BF41" i="1" s="1"/>
  <c r="BG41" i="1" s="1"/>
  <c r="AI41" i="1"/>
  <c r="AH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AE41" i="1" s="1"/>
  <c r="AF41" i="1" s="1"/>
  <c r="F41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BF40" i="1" s="1"/>
  <c r="BG40" i="1" s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AE40" i="1" s="1"/>
  <c r="AF40" i="1" s="1"/>
  <c r="F40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BF39" i="1" s="1"/>
  <c r="BG39" i="1" s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AE39" i="1" s="1"/>
  <c r="AF39" i="1" s="1"/>
  <c r="F39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BF38" i="1" s="1"/>
  <c r="BG38" i="1" s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AE38" i="1" s="1"/>
  <c r="AF38" i="1" s="1"/>
  <c r="F38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BF37" i="1" s="1"/>
  <c r="BG37" i="1" s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AE37" i="1" s="1"/>
  <c r="AF37" i="1" s="1"/>
  <c r="N37" i="1"/>
  <c r="M37" i="1"/>
  <c r="L37" i="1"/>
  <c r="K37" i="1"/>
  <c r="J37" i="1"/>
  <c r="I37" i="1"/>
  <c r="H37" i="1"/>
  <c r="G37" i="1"/>
  <c r="F37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BF36" i="1" s="1"/>
  <c r="BG36" i="1" s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AE36" i="1" s="1"/>
  <c r="AF36" i="1" s="1"/>
  <c r="N36" i="1"/>
  <c r="M36" i="1"/>
  <c r="L36" i="1"/>
  <c r="K36" i="1"/>
  <c r="J36" i="1"/>
  <c r="I36" i="1"/>
  <c r="H36" i="1"/>
  <c r="G36" i="1"/>
  <c r="F36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BF35" i="1" s="1"/>
  <c r="BG35" i="1" s="1"/>
  <c r="AO35" i="1"/>
  <c r="AN35" i="1"/>
  <c r="AM35" i="1"/>
  <c r="AL35" i="1"/>
  <c r="AK35" i="1"/>
  <c r="AJ35" i="1"/>
  <c r="AI35" i="1"/>
  <c r="AH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AE35" i="1" s="1"/>
  <c r="AF35" i="1" s="1"/>
  <c r="F35" i="1"/>
  <c r="BE34" i="1"/>
  <c r="BD34" i="1"/>
  <c r="BC34" i="1"/>
  <c r="BB34" i="1"/>
  <c r="BA34" i="1"/>
  <c r="AZ34" i="1"/>
  <c r="AY34" i="1"/>
  <c r="AX34" i="1"/>
  <c r="AW34" i="1"/>
  <c r="AV34" i="1"/>
  <c r="AU34" i="1"/>
  <c r="BF34" i="1" s="1"/>
  <c r="BG34" i="1" s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AE34" i="1" s="1"/>
  <c r="AF34" i="1" s="1"/>
  <c r="H34" i="1"/>
  <c r="G34" i="1"/>
  <c r="F34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BF33" i="1" s="1"/>
  <c r="BG33" i="1" s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E33" i="1" s="1"/>
  <c r="AF33" i="1" s="1"/>
  <c r="J33" i="1"/>
  <c r="I33" i="1"/>
  <c r="H33" i="1"/>
  <c r="G33" i="1"/>
  <c r="F33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BF32" i="1" s="1"/>
  <c r="BG32" i="1" s="1"/>
  <c r="AI32" i="1"/>
  <c r="AH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AE32" i="1" s="1"/>
  <c r="AF32" i="1" s="1"/>
  <c r="F32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BF31" i="1" s="1"/>
  <c r="BG31" i="1" s="1"/>
  <c r="AK31" i="1"/>
  <c r="AJ31" i="1"/>
  <c r="AI31" i="1"/>
  <c r="AH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AE31" i="1" s="1"/>
  <c r="AF31" i="1" s="1"/>
  <c r="F31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BF30" i="1" s="1"/>
  <c r="BG30" i="1" s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AE30" i="1" s="1"/>
  <c r="AF30" i="1" s="1"/>
  <c r="I30" i="1"/>
  <c r="H30" i="1"/>
  <c r="G30" i="1"/>
  <c r="F30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BF29" i="1" s="1"/>
  <c r="BG29" i="1" s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AE29" i="1" s="1"/>
  <c r="AF29" i="1" s="1"/>
  <c r="F29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BF28" i="1" s="1"/>
  <c r="BG28" i="1" s="1"/>
  <c r="AJ28" i="1"/>
  <c r="AI28" i="1"/>
  <c r="AH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AE28" i="1" s="1"/>
  <c r="AF28" i="1" s="1"/>
  <c r="F28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BF27" i="1" s="1"/>
  <c r="BG27" i="1" s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AE27" i="1" s="1"/>
  <c r="AF27" i="1" s="1"/>
  <c r="F27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BF26" i="1" s="1"/>
  <c r="BG26" i="1" s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AE26" i="1" s="1"/>
  <c r="AF26" i="1" s="1"/>
  <c r="F26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BF25" i="1" s="1"/>
  <c r="BG25" i="1" s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AE25" i="1" s="1"/>
  <c r="AF25" i="1" s="1"/>
  <c r="F25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BF24" i="1" s="1"/>
  <c r="BG24" i="1" s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AE24" i="1" s="1"/>
  <c r="AF24" i="1" s="1"/>
  <c r="F24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BF23" i="1" s="1"/>
  <c r="BG23" i="1" s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AE23" i="1" s="1"/>
  <c r="AF23" i="1" s="1"/>
  <c r="F23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BF22" i="1" s="1"/>
  <c r="BG22" i="1" s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AE22" i="1" s="1"/>
  <c r="AF22" i="1" s="1"/>
  <c r="F22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BF21" i="1" s="1"/>
  <c r="BG21" i="1" s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AE21" i="1" s="1"/>
  <c r="AF21" i="1" s="1"/>
  <c r="N21" i="1"/>
  <c r="M21" i="1"/>
  <c r="L21" i="1"/>
  <c r="K21" i="1"/>
  <c r="J21" i="1"/>
  <c r="I21" i="1"/>
  <c r="H21" i="1"/>
  <c r="G21" i="1"/>
  <c r="F21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BF20" i="1" s="1"/>
  <c r="BG20" i="1" s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AE20" i="1" s="1"/>
  <c r="AF20" i="1" s="1"/>
  <c r="N20" i="1"/>
  <c r="M20" i="1"/>
  <c r="L20" i="1"/>
  <c r="K20" i="1"/>
  <c r="J20" i="1"/>
  <c r="I20" i="1"/>
  <c r="H20" i="1"/>
  <c r="G20" i="1"/>
  <c r="F20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BF19" i="1" s="1"/>
  <c r="BG19" i="1" s="1"/>
  <c r="AO19" i="1"/>
  <c r="AN19" i="1"/>
  <c r="AM19" i="1"/>
  <c r="AL19" i="1"/>
  <c r="AK19" i="1"/>
  <c r="AJ19" i="1"/>
  <c r="AI19" i="1"/>
  <c r="AH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AE19" i="1" s="1"/>
  <c r="AF19" i="1" s="1"/>
  <c r="F19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BF18" i="1" s="1"/>
  <c r="BG18" i="1" s="1"/>
  <c r="AO18" i="1"/>
  <c r="AN18" i="1"/>
  <c r="AM18" i="1"/>
  <c r="AL18" i="1"/>
  <c r="AK18" i="1"/>
  <c r="AJ18" i="1"/>
  <c r="AI18" i="1"/>
  <c r="AH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AE18" i="1" s="1"/>
  <c r="AF18" i="1" s="1"/>
  <c r="H18" i="1"/>
  <c r="G18" i="1"/>
  <c r="F18" i="1"/>
</calcChain>
</file>

<file path=xl/sharedStrings.xml><?xml version="1.0" encoding="utf-8"?>
<sst xmlns="http://schemas.openxmlformats.org/spreadsheetml/2006/main" count="272" uniqueCount="178">
  <si>
    <t>Sistema General de Regalías
 Pesos Corrientes</t>
  </si>
  <si>
    <t/>
  </si>
  <si>
    <t>Detalle mensual de recaudo y proyección de recursos respecto al PBC</t>
  </si>
  <si>
    <t>Fuente: Subdirección de Distribución de Recursos Territoriales - DPIP a partir de la ley bienal de presupuesto, resoluciones de distribución (Comisión Rectora del SGR y Ministerio de Minas y Energía)</t>
  </si>
  <si>
    <t>Fecha de actualización: octubre 31 de 2025</t>
  </si>
  <si>
    <t>Fecha de corte de recaudo: septiembre 15 de 2025</t>
  </si>
  <si>
    <t xml:space="preserve">Nota: Los recursos recaudados durante  los primeros meses del bienio, son distribuidos a las diferentes entidades una vez la Comisión Rectora del SGR y el Ministerio de Minas y Energía efectuan la distribución del presupuesto corriente. </t>
  </si>
  <si>
    <t>En la columna AH encontrara la proyección de recursos del bienio efectuada a partir del PBC</t>
  </si>
  <si>
    <t>Vigencia</t>
  </si>
  <si>
    <t>Presupuesto 2025-2026 Ley 2441 de 2024</t>
  </si>
  <si>
    <t>CodEntidad</t>
  </si>
  <si>
    <t xml:space="preserve">Asignación </t>
  </si>
  <si>
    <t>Concepto</t>
  </si>
  <si>
    <t>NombreEntidad</t>
  </si>
  <si>
    <t>Presupuesto Corriente</t>
  </si>
  <si>
    <t>Recaudo
Ene 25</t>
  </si>
  <si>
    <t>Recaudo
Feb 25</t>
  </si>
  <si>
    <t>Recaudo
Mar 25</t>
  </si>
  <si>
    <t>Recaudo
Abr 25</t>
  </si>
  <si>
    <t>Recaudo
May 25</t>
  </si>
  <si>
    <t>Recaudo
Jun 25</t>
  </si>
  <si>
    <t>Recaudo
Jul 25</t>
  </si>
  <si>
    <t>Recaudo
Ago 25</t>
  </si>
  <si>
    <t>Recaudo
Sep 25</t>
  </si>
  <si>
    <t>Recaudo
Oct 25</t>
  </si>
  <si>
    <t>Recaudo
Nov 25</t>
  </si>
  <si>
    <t>Recaudo
Dic 25</t>
  </si>
  <si>
    <t>Recaudo
Ene 26</t>
  </si>
  <si>
    <t>Recaudo
Feb 26</t>
  </si>
  <si>
    <t>Recaudo
Mar 26</t>
  </si>
  <si>
    <t>Recaudo
Abr 26</t>
  </si>
  <si>
    <t>Recaudo
May 26</t>
  </si>
  <si>
    <t>Recaudo
Jun 26</t>
  </si>
  <si>
    <t>Recaudo
Jul 26</t>
  </si>
  <si>
    <t>Recaudo
Ago 26</t>
  </si>
  <si>
    <t>Recaudo
Sep 26</t>
  </si>
  <si>
    <t>Recaudo
Oct 26</t>
  </si>
  <si>
    <t>Recaudo
Nov 26</t>
  </si>
  <si>
    <t>Recaudo
Dic 26</t>
  </si>
  <si>
    <t>Total recaudo</t>
  </si>
  <si>
    <t>Avance recaudo</t>
  </si>
  <si>
    <t>FU002</t>
  </si>
  <si>
    <t xml:space="preserve">Funcionamiento SGR                                                                                  </t>
  </si>
  <si>
    <t>Otras entidades y conceptos</t>
  </si>
  <si>
    <t>Departamento Nacional de Planeación - SIEC</t>
  </si>
  <si>
    <t>FU003</t>
  </si>
  <si>
    <t>Órganos SGR</t>
  </si>
  <si>
    <t>Departamento Nacional de Planeación - Órgano</t>
  </si>
  <si>
    <t>FU005</t>
  </si>
  <si>
    <t>Departamento Nacional de Planeación - Comisión Rectora</t>
  </si>
  <si>
    <t>FU007</t>
  </si>
  <si>
    <t>ST de los OCAD - Pueblos y Comunidades Étnicas</t>
  </si>
  <si>
    <t>Min. Ciencia Tecnología e Innovación - ST OCAD CTeI</t>
  </si>
  <si>
    <t>FU011</t>
  </si>
  <si>
    <t>Min. Hacienda y Crédito Público - Órgano</t>
  </si>
  <si>
    <t>FU012</t>
  </si>
  <si>
    <t>Min. Minas y Energía - Órgano</t>
  </si>
  <si>
    <t>FU013</t>
  </si>
  <si>
    <t>Entidades que emiten CTUS</t>
  </si>
  <si>
    <t>Min. Agricultura</t>
  </si>
  <si>
    <t>FU014</t>
  </si>
  <si>
    <t>Min. Salud</t>
  </si>
  <si>
    <t>FU015</t>
  </si>
  <si>
    <t>Min. Educación</t>
  </si>
  <si>
    <t>FU016</t>
  </si>
  <si>
    <t>Min. Transporte</t>
  </si>
  <si>
    <t>FU017</t>
  </si>
  <si>
    <t>Min. Vivienda</t>
  </si>
  <si>
    <t>FU018</t>
  </si>
  <si>
    <t>Min. Cultura</t>
  </si>
  <si>
    <t>FU020</t>
  </si>
  <si>
    <t>Min. Ambiente</t>
  </si>
  <si>
    <t>FU021</t>
  </si>
  <si>
    <t>Min. Comercio</t>
  </si>
  <si>
    <t>FU022</t>
  </si>
  <si>
    <t>Min. Ciencia Tecnología e Innovación - Órgano</t>
  </si>
  <si>
    <t>FU027</t>
  </si>
  <si>
    <t>Departamento Nacional de Planeación - ST OCAD PAZ</t>
  </si>
  <si>
    <t>FU028</t>
  </si>
  <si>
    <t>Procuraduría General de la Nación - Funcionamiento</t>
  </si>
  <si>
    <t>FU029</t>
  </si>
  <si>
    <t>Agencia Nacional de Licencias Ambientales - Licenciamiento Ambiental</t>
  </si>
  <si>
    <t>FU031</t>
  </si>
  <si>
    <t>Unidad Nacional para la Gestión del Riesgo de Desastres</t>
  </si>
  <si>
    <t>FU043</t>
  </si>
  <si>
    <t>Recursos por distribuir - Funcionamiento</t>
  </si>
  <si>
    <t>FU046</t>
  </si>
  <si>
    <t>Departamento Nacional de Planeación - ST OCAD Regionales</t>
  </si>
  <si>
    <t>FU047</t>
  </si>
  <si>
    <t>Departamento Nacional de Planeación - Estructuración de proyectos</t>
  </si>
  <si>
    <t>FU054</t>
  </si>
  <si>
    <t>PRG - Min. Interior</t>
  </si>
  <si>
    <t>FU055</t>
  </si>
  <si>
    <t>PCI - Confederación Indígena Tayrona</t>
  </si>
  <si>
    <t>FU056</t>
  </si>
  <si>
    <t>Min. Ambiente y Desarrollo Sostenible - Órgano</t>
  </si>
  <si>
    <t>FU057</t>
  </si>
  <si>
    <t>Min. Justicia y del Derecho</t>
  </si>
  <si>
    <t>FU059</t>
  </si>
  <si>
    <t>Min. Tecnologías de la Información y las Comunicaciones</t>
  </si>
  <si>
    <t>FU061</t>
  </si>
  <si>
    <t>Dpto. Prosperidad Social</t>
  </si>
  <si>
    <t>CI002</t>
  </si>
  <si>
    <t xml:space="preserve">Comunidades Étnicas                                                                                 </t>
  </si>
  <si>
    <t xml:space="preserve">Comunidades Negras, Afrocolombianas, Raizales y Palenqueras </t>
  </si>
  <si>
    <t>ET1</t>
  </si>
  <si>
    <t>Funcionamiento SGR</t>
  </si>
  <si>
    <t>Fortalecimiento entidades territoriales</t>
  </si>
  <si>
    <t>Municipios</t>
  </si>
  <si>
    <t>ET2</t>
  </si>
  <si>
    <t>Departamentos</t>
  </si>
  <si>
    <t>MO001</t>
  </si>
  <si>
    <t xml:space="preserve">Sistema de Seguimiento, Evaluación y Control (SSEC)                                                 </t>
  </si>
  <si>
    <t>Sistema de seguimiento evaluacion y control</t>
  </si>
  <si>
    <t>Departamento Nacional de Planeación - SSEC</t>
  </si>
  <si>
    <t>MO002</t>
  </si>
  <si>
    <t>Vigilancia y control fiscal</t>
  </si>
  <si>
    <t>Contraloría General de la Republica - SSEC</t>
  </si>
  <si>
    <t>MO003</t>
  </si>
  <si>
    <t>Vigilancia y control disciplinario</t>
  </si>
  <si>
    <t>Procuraduría General de la Nación - SSEC</t>
  </si>
  <si>
    <t>FI004</t>
  </si>
  <si>
    <t xml:space="preserve">Fiscalizacion, Yacimientos y Cartografía                                                            </t>
  </si>
  <si>
    <t>Fiscalización</t>
  </si>
  <si>
    <t>Agencia Nacional de Hidrocarburos - Fiscalización</t>
  </si>
  <si>
    <t>FI002</t>
  </si>
  <si>
    <t>Conocimiento y cartografía</t>
  </si>
  <si>
    <t>Servicio Geológico Colombiano - Fiscalización</t>
  </si>
  <si>
    <t>FI003</t>
  </si>
  <si>
    <t>Agencia Nacional de Minería - Fiscalización</t>
  </si>
  <si>
    <t>FI005</t>
  </si>
  <si>
    <t>Formulación, articulación y seguimiento</t>
  </si>
  <si>
    <t>Ministerio de Minas y Energía - Fiscalización</t>
  </si>
  <si>
    <t>FI006</t>
  </si>
  <si>
    <t>Departamento de Antioquia - Fiscalización</t>
  </si>
  <si>
    <t>FU044</t>
  </si>
  <si>
    <t>Otros</t>
  </si>
  <si>
    <t>Recursos por distribuir - Fiscalización</t>
  </si>
  <si>
    <t>Descripción de Siglas y conceptos de los reportes de información</t>
  </si>
  <si>
    <t>Id.</t>
  </si>
  <si>
    <t>Siglas</t>
  </si>
  <si>
    <t>Descripción</t>
  </si>
  <si>
    <t>ANH</t>
  </si>
  <si>
    <t>Agencia Nacional de Minería</t>
  </si>
  <si>
    <t>Recursos asignados del presupuesto corriente del bienio</t>
  </si>
  <si>
    <t>ANM</t>
  </si>
  <si>
    <t>Agencia Nacional de Hidrocarburos</t>
  </si>
  <si>
    <t xml:space="preserve">Recaudo </t>
  </si>
  <si>
    <t>Recursos recaudados del presupuesto corriente informados mensualmente por la ANH y la ANM y comunicados al MHCP</t>
  </si>
  <si>
    <t>CNARP</t>
  </si>
  <si>
    <t>Proyección Recaudo</t>
  </si>
  <si>
    <t>Recursos que se estiman recaudar mensualmente por la ANH y la ANM de conformidad con el PBC</t>
  </si>
  <si>
    <t>CTUS</t>
  </si>
  <si>
    <t>Conceptos Técnicos Únicos Sectoriales</t>
  </si>
  <si>
    <t xml:space="preserve">Avance Recaudo </t>
  </si>
  <si>
    <t>Porcentaje del recaudo acumulado obtenido respecto al presupuesto corriente del bienio</t>
  </si>
  <si>
    <t>Dep.</t>
  </si>
  <si>
    <t>Departamento</t>
  </si>
  <si>
    <t>IP</t>
  </si>
  <si>
    <t>Incentivo a la Producción</t>
  </si>
  <si>
    <t>MHCP</t>
  </si>
  <si>
    <t>Ministerio de Hacienda y Crédito Público</t>
  </si>
  <si>
    <t>Min</t>
  </si>
  <si>
    <t>Ministerio</t>
  </si>
  <si>
    <t>OCAD</t>
  </si>
  <si>
    <t xml:space="preserve">Órgano Colegiado de Administración y Decisión </t>
  </si>
  <si>
    <t>PBC</t>
  </si>
  <si>
    <t>Plan Bienal de Caja</t>
  </si>
  <si>
    <t>PCI</t>
  </si>
  <si>
    <t>Pueblo o Comunidades Indígenas</t>
  </si>
  <si>
    <t>PRG</t>
  </si>
  <si>
    <t>Pueblo Rrom o Gitano</t>
  </si>
  <si>
    <t>SIEC</t>
  </si>
  <si>
    <t>Sistema de Información y Estrategia de Capacitación</t>
  </si>
  <si>
    <t>SSEC</t>
  </si>
  <si>
    <t>Sistema de Seguimiento Evaluación y Control</t>
  </si>
  <si>
    <t>ST</t>
  </si>
  <si>
    <t>Secretaría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</si>
</sst>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8"/>
      <color indexed="17"/>
      <name val="Arial"/>
      <family val="2"/>
    </font>
    <font>
      <b/>
      <sz val="9"/>
      <color indexed="9"/>
      <name val="Arial"/>
      <family val="2"/>
    </font>
    <font>
      <sz val="9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2" fillId="0" borderId="0" xfId="2"/>
    <xf numFmtId="49" fontId="3" fillId="0" borderId="0" xfId="2" applyNumberFormat="1" applyFont="1"/>
    <xf numFmtId="0" fontId="4" fillId="2" borderId="1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/>
    <xf numFmtId="49" fontId="3" fillId="0" borderId="0" xfId="2" applyNumberFormat="1" applyFont="1" applyAlignment="1">
      <alignment horizontal="center"/>
    </xf>
    <xf numFmtId="4" fontId="3" fillId="0" borderId="0" xfId="2" applyNumberFormat="1" applyFont="1"/>
    <xf numFmtId="0" fontId="4" fillId="2" borderId="2" xfId="2" applyFont="1" applyFill="1" applyBorder="1" applyAlignment="1">
      <alignment horizontal="center" vertical="center" wrapText="1"/>
    </xf>
    <xf numFmtId="0" fontId="2" fillId="0" borderId="3" xfId="2" applyBorder="1" applyAlignment="1">
      <alignment horizontal="center" wrapText="1"/>
    </xf>
    <xf numFmtId="0" fontId="2" fillId="0" borderId="4" xfId="2" applyBorder="1" applyAlignment="1">
      <alignment horizontal="center" wrapText="1"/>
    </xf>
    <xf numFmtId="14" fontId="3" fillId="0" borderId="0" xfId="2" applyNumberFormat="1" applyFont="1" applyAlignment="1">
      <alignment horizontal="center"/>
    </xf>
    <xf numFmtId="14" fontId="7" fillId="0" borderId="0" xfId="2" applyNumberFormat="1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center"/>
    </xf>
    <xf numFmtId="0" fontId="8" fillId="0" borderId="0" xfId="2" applyFont="1" applyAlignment="1">
      <alignment horizont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3" borderId="5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left" wrapText="1"/>
    </xf>
    <xf numFmtId="5" fontId="10" fillId="0" borderId="2" xfId="2" applyNumberFormat="1" applyFont="1" applyBorder="1" applyAlignment="1">
      <alignment wrapText="1"/>
    </xf>
    <xf numFmtId="9" fontId="10" fillId="0" borderId="2" xfId="1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4" fontId="3" fillId="0" borderId="0" xfId="0" applyNumberFormat="1" applyFont="1"/>
    <xf numFmtId="0" fontId="9" fillId="2" borderId="1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0" fillId="4" borderId="0" xfId="0" applyFill="1"/>
    <xf numFmtId="0" fontId="10" fillId="4" borderId="2" xfId="2" applyFont="1" applyFill="1" applyBorder="1" applyAlignment="1">
      <alignment horizontal="center" wrapText="1"/>
    </xf>
    <xf numFmtId="0" fontId="10" fillId="4" borderId="2" xfId="2" applyFont="1" applyFill="1" applyBorder="1" applyAlignment="1">
      <alignment horizontal="left" wrapText="1"/>
    </xf>
  </cellXfs>
  <cellStyles count="3">
    <cellStyle name="Normal" xfId="0" builtinId="0"/>
    <cellStyle name="Normal 2 2 2" xfId="2" xr:uid="{B44CD955-B3E0-4AC4-9ABC-68D09198D8B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152400</xdr:rowOff>
    </xdr:from>
    <xdr:to>
      <xdr:col>32</xdr:col>
      <xdr:colOff>19050</xdr:colOff>
      <xdr:row>3</xdr:row>
      <xdr:rowOff>28575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FA64DC79-0A0E-4CC5-B873-C9DB58C63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48100" y="314325"/>
          <a:ext cx="27813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1057275</xdr:colOff>
      <xdr:row>2</xdr:row>
      <xdr:rowOff>152400</xdr:rowOff>
    </xdr:from>
    <xdr:to>
      <xdr:col>8</xdr:col>
      <xdr:colOff>9525</xdr:colOff>
      <xdr:row>4</xdr:row>
      <xdr:rowOff>0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474BB76D-320D-45CE-AFE0-8D7AE4E2E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375" y="476250"/>
          <a:ext cx="1714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0</xdr:row>
      <xdr:rowOff>28575</xdr:rowOff>
    </xdr:from>
    <xdr:to>
      <xdr:col>2</xdr:col>
      <xdr:colOff>66675</xdr:colOff>
      <xdr:row>6</xdr:row>
      <xdr:rowOff>104775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8425823-96F5-4D91-AE92-BFEA8DB3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575"/>
          <a:ext cx="11334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\SDRT\2025\SICODIS%20II\Actualizaci&#243;n%20Datos%20y%20Preproduccion%20Ajustes\Funcionamiento\Ajustes%20de%20Observaciones%2012112025\10.1%20Octubre%2031_2025%20-%20SICODIS%20II.xlsx" TargetMode="External"/><Relationship Id="rId1" Type="http://schemas.openxmlformats.org/officeDocument/2006/relationships/externalLinkPath" Target="/Datos/SDRT/2025/SICODIS%20II/Actualizaci&#243;n%20Datos%20y%20Preproduccion%20Ajustes/Funcionamiento/Ajustes%20de%20Observaciones%2012112025/10.1%20Octubre%2031_2025%20-%20SICODIS%20I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Documents%20and%20Settings\rtorres\Mis%20documentos\windows\TEMP\DATOS\EXCEL\PREANT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torres\Configuraci&#243;n%20local\Archivos%20temporales%20de%20Internet\OLKF0\Consejos%20comunales\Cifras%20soporte\Educaci&#243;n\COSTOS%20Y%20RECURSOS%20EDUCACION%20BASIC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OS.XLW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juli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%20CHEQUE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DALEN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io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Distribuciones\Conpes%202004\Consejos\Consejos%20comunales\Ejercicios%20Finales\Pr2201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2L8R1J4N\de%20Relacion%20Proyectos%20Aprobados%20OCAD%20YONDO%20DEFINITIVO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REGI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jpacheco/AppData/Local/Microsoft/Windows/Temporary%20Internet%20Files/Content.Outlook/JC15G23C/plan%20bienal%20de%20caja%20SGR%20data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CIONAM972000sh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-jcasteblanco\Consejos%20Anticorrupci&#243;n\1_Elabora\Consejos%20Anticorrupci&#243;n\Doc%20Base\Adicionales\Transferencias_Sectores%20x%20Mpios%2094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vquinones/Desktop/Escenarios%20Distribuci&#243;n/PlantillaCargueAsignacion_21042017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ec2000go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ADRO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F%201997%20Cierr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oreria%201997%20Cierre%20ene2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MINISTERIOS\Infor_Consolidado_TF_Acuerdo3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Consulta%20Pto%20y%20Giro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ocuments%20and%20Settings\emancipe.DNP\Escritorio\PROYECTOS%20OCAD%20SAdona%202012-2013%20(2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personal/vquinones_dnp_gov_co/Documents/Plantillas_Sicodis/Seguimiento_2017-2018/PlantillaCargueAsignacion_Pagos_12-2017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atos&amp;Documentos\SMSCE\2013\Aprobacion%20Proyectos\Copia%20de%20EJECUCION%20a%2002-08-2013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ocuments%20and%20Settings\emancipe.DNP\Configuraci&#243;n%20local\Archivos%20temporales%20de%20Internet\Content.Outlook\J5A6UYMJ\Trabajos%20Actuales\DNP\ESTADO%20DE%20PROYECTOS\Back%20ups%20Resumen%20Ejecuci&#243;n\Ejecuci&#243;n%2022%20Mayo%20Back%20up%2023-05-2013%205pm.xlsx?1FC5C8AD" TargetMode="External"/><Relationship Id="rId1" Type="http://schemas.openxmlformats.org/officeDocument/2006/relationships/externalLinkPath" Target="file:///\\1FC5C8AD\Ejecuci&#243;n%2022%20Mayo%20Back%20up%2023-05-2013%205pm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2001\ejecuaasepaoctu2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o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guiza\AppData\Local\Microsoft\Windows\INetCache\Content.Outlook\3QQREOD2\2016-09-19%20Plan%20de%20Recursos%20SGR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upuesto\C\WINNT\Profiles\presup.001\Personal\NELSONIV\DATOS\EXCEL\PREANT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Reporte%20SGR%202013%202014%20vr%20OPOK%20Sin%20K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JSALINAS/INFO%20FTO%20CRT/Seguimiento%20SGR%20Recursos%20Fto/Formato_Inf_Ejecucion_Acuerdo_030.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JECDISYGAS039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WINDOWS\TEMP\PROYECTO\972000%20a%20julio8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Giro%2010%20Ingresos%20Diciembre%20(Enero)/Formato%20Distribucion%20Giro%203%20Junioo%20Miner%20(revisi&#243;n%20jorge)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Nombres%20Datamart\Documents%20and%20Settings\gcastel\Mis%20documentos\Variedades\Afros\Afros%20con%20Dpto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%20TAUS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oec7MAR00adicionPPT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quinones\Downloads\10.%20IGPR%20II%20Trim%202018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menzava\Configuraci&#243;n%20local\Archivos%20temporales%20de%20Internet\OLK34\Final%20Cuadros%20Notas%20FAEP%20201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erreno\c\WINDOWS\TEMP\PROYECTO\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cionamiento - Pruebas"/>
      <sheetName val="Funcionamiento - Gral"/>
      <sheetName val="Funcionamiento - ET"/>
      <sheetName val="Funcionamiento - CR"/>
      <sheetName val="IAC - Base"/>
      <sheetName val="Reporte Fun - Ejecucion"/>
      <sheetName val="Diccionario 1"/>
      <sheetName val="Reporte Fun - Recaudo"/>
      <sheetName val="Diccionario2"/>
    </sheetNames>
    <sheetDataSet>
      <sheetData sheetId="0"/>
      <sheetData sheetId="1"/>
      <sheetData sheetId="2"/>
      <sheetData sheetId="3"/>
      <sheetData sheetId="4">
        <row r="1"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</row>
        <row r="6">
          <cell r="A6" t="str">
            <v>FU003</v>
          </cell>
          <cell r="C6">
            <v>1</v>
          </cell>
          <cell r="D6" t="str">
            <v>Funcionamiento SGR</v>
          </cell>
          <cell r="E6" t="str">
            <v>Órganos SGR</v>
          </cell>
          <cell r="F6" t="str">
            <v>Departamento Nacional de Planeación - Órgano</v>
          </cell>
          <cell r="G6">
            <v>36890922968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7357856516.1000004</v>
          </cell>
          <cell r="M6">
            <v>1210727348.0699999</v>
          </cell>
          <cell r="N6">
            <v>1322320286.5699999</v>
          </cell>
          <cell r="O6">
            <v>1088095485.72</v>
          </cell>
          <cell r="P6">
            <v>1258204422.7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12237204059.16</v>
          </cell>
          <cell r="AG6">
            <v>0.3317131444440905</v>
          </cell>
          <cell r="AI6">
            <v>1770198122.0699999</v>
          </cell>
          <cell r="AJ6">
            <v>1303443231.8800001</v>
          </cell>
          <cell r="AK6">
            <v>1342787561.6900001</v>
          </cell>
          <cell r="AL6">
            <v>1614613159.97</v>
          </cell>
          <cell r="AM6">
            <v>1403846213.21</v>
          </cell>
          <cell r="AN6">
            <v>1248261249.3800001</v>
          </cell>
          <cell r="AO6">
            <v>1709139471.8499999</v>
          </cell>
          <cell r="AP6">
            <v>1648080820.47</v>
          </cell>
          <cell r="AQ6">
            <v>1248261249.3800001</v>
          </cell>
          <cell r="AR6">
            <v>1770198123.3699999</v>
          </cell>
          <cell r="AS6">
            <v>1675671811.3499999</v>
          </cell>
          <cell r="AT6">
            <v>1587022168.51</v>
          </cell>
          <cell r="AU6">
            <v>1665629084.8199999</v>
          </cell>
          <cell r="AV6">
            <v>1326344967.1400001</v>
          </cell>
          <cell r="AW6">
            <v>1313230541.26</v>
          </cell>
          <cell r="AX6">
            <v>1748311348.95</v>
          </cell>
          <cell r="AY6">
            <v>1489429813.54</v>
          </cell>
          <cell r="AZ6">
            <v>1395912804.23</v>
          </cell>
          <cell r="BA6">
            <v>1724362176.73</v>
          </cell>
          <cell r="BB6">
            <v>1665629086.26</v>
          </cell>
          <cell r="BC6">
            <v>1278446622.71</v>
          </cell>
          <cell r="BD6">
            <v>1783095267.5</v>
          </cell>
          <cell r="BE6">
            <v>1630845167.72</v>
          </cell>
          <cell r="BF6">
            <v>1548162904.01</v>
          </cell>
          <cell r="BG6">
            <v>36890922968</v>
          </cell>
          <cell r="BH6">
            <v>1</v>
          </cell>
        </row>
        <row r="7">
          <cell r="A7" t="str">
            <v>FU005</v>
          </cell>
          <cell r="C7">
            <v>2</v>
          </cell>
          <cell r="D7" t="str">
            <v>Funcionamiento SGR</v>
          </cell>
          <cell r="E7" t="str">
            <v>Órganos SGR</v>
          </cell>
          <cell r="F7" t="str">
            <v>Departamento Nacional de Planeación - Comisión Rectora</v>
          </cell>
          <cell r="G7">
            <v>2068030300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412466509.22000003</v>
          </cell>
          <cell r="M7">
            <v>67870918.900000006</v>
          </cell>
          <cell r="N7">
            <v>74126592.640000001</v>
          </cell>
          <cell r="O7">
            <v>60996425.479999997</v>
          </cell>
          <cell r="P7">
            <v>70532387.379999995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685992833.62</v>
          </cell>
          <cell r="AG7">
            <v>0.33171314444474048</v>
          </cell>
          <cell r="AI7">
            <v>99233715.480000004</v>
          </cell>
          <cell r="AJ7">
            <v>73068383.25</v>
          </cell>
          <cell r="AK7">
            <v>75273946.560000002</v>
          </cell>
          <cell r="AL7">
            <v>90511938.140000001</v>
          </cell>
          <cell r="AM7">
            <v>78696770.689999998</v>
          </cell>
          <cell r="AN7">
            <v>69974993.260000005</v>
          </cell>
          <cell r="AO7">
            <v>95810891.420000002</v>
          </cell>
          <cell r="AP7">
            <v>92388067.290000007</v>
          </cell>
          <cell r="AQ7">
            <v>69974993.260000005</v>
          </cell>
          <cell r="AR7">
            <v>99233715.549999997</v>
          </cell>
          <cell r="AS7">
            <v>93934762.269999996</v>
          </cell>
          <cell r="AT7">
            <v>88965243.129999995</v>
          </cell>
          <cell r="AU7">
            <v>93371787.390000001</v>
          </cell>
          <cell r="AV7">
            <v>74352208.069999993</v>
          </cell>
          <cell r="AW7">
            <v>73617039.959999993</v>
          </cell>
          <cell r="AX7">
            <v>98006787.379999995</v>
          </cell>
          <cell r="AY7">
            <v>83494413.700000003</v>
          </cell>
          <cell r="AZ7">
            <v>78252039.879999995</v>
          </cell>
          <cell r="BA7">
            <v>96664245.370000005</v>
          </cell>
          <cell r="BB7">
            <v>93371787.469999999</v>
          </cell>
          <cell r="BC7">
            <v>71667124.049999997</v>
          </cell>
          <cell r="BD7">
            <v>99956703.280000001</v>
          </cell>
          <cell r="BE7">
            <v>91421871.560000002</v>
          </cell>
          <cell r="BF7">
            <v>86786871.599999994</v>
          </cell>
          <cell r="BG7">
            <v>2068030300.0099995</v>
          </cell>
          <cell r="BH7">
            <v>1.0000000000048352</v>
          </cell>
        </row>
        <row r="8">
          <cell r="A8" t="str">
            <v>FU011</v>
          </cell>
          <cell r="C8">
            <v>3</v>
          </cell>
          <cell r="D8" t="str">
            <v>Funcionamiento SGR</v>
          </cell>
          <cell r="E8" t="str">
            <v>Órganos SGR</v>
          </cell>
          <cell r="F8" t="str">
            <v>Min. Hacienda y Crédito Público - Órgano</v>
          </cell>
          <cell r="G8">
            <v>23990499481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4784880364.3099995</v>
          </cell>
          <cell r="M8">
            <v>787346899.41999996</v>
          </cell>
          <cell r="N8">
            <v>859916792.44000006</v>
          </cell>
          <cell r="O8">
            <v>707598294.78999996</v>
          </cell>
          <cell r="P8">
            <v>818221668.66999996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7957964019.6300001</v>
          </cell>
          <cell r="AG8">
            <v>0.33171314444422262</v>
          </cell>
          <cell r="AI8">
            <v>1151175782.8800001</v>
          </cell>
          <cell r="AJ8">
            <v>847640873.75</v>
          </cell>
          <cell r="AK8">
            <v>873226845.78999996</v>
          </cell>
          <cell r="AL8">
            <v>1049997480.6799999</v>
          </cell>
          <cell r="AM8">
            <v>912933836.83000004</v>
          </cell>
          <cell r="AN8">
            <v>811755533.50999999</v>
          </cell>
          <cell r="AO8">
            <v>1111468792.6800001</v>
          </cell>
          <cell r="AP8">
            <v>1071761801.74</v>
          </cell>
          <cell r="AQ8">
            <v>811755533.50999999</v>
          </cell>
          <cell r="AR8">
            <v>1151175783.72</v>
          </cell>
          <cell r="AS8">
            <v>1089704471.6300001</v>
          </cell>
          <cell r="AT8">
            <v>1032054810.42</v>
          </cell>
          <cell r="AU8">
            <v>1083173596.0999999</v>
          </cell>
          <cell r="AV8">
            <v>862534078.46000004</v>
          </cell>
          <cell r="AW8">
            <v>854005649.19000006</v>
          </cell>
          <cell r="AX8">
            <v>1136942617.1900001</v>
          </cell>
          <cell r="AY8">
            <v>968589622.97000003</v>
          </cell>
          <cell r="AZ8">
            <v>907774669.51999998</v>
          </cell>
          <cell r="BA8">
            <v>1121368254.78</v>
          </cell>
          <cell r="BB8">
            <v>1083173597.04</v>
          </cell>
          <cell r="BC8">
            <v>831385353.65999997</v>
          </cell>
          <cell r="BD8">
            <v>1159562912.71</v>
          </cell>
          <cell r="BE8">
            <v>1060553301.52</v>
          </cell>
          <cell r="BF8">
            <v>1006784280.72</v>
          </cell>
          <cell r="BG8">
            <v>23990499481</v>
          </cell>
          <cell r="BH8">
            <v>1</v>
          </cell>
        </row>
        <row r="9">
          <cell r="A9" t="str">
            <v>FU012</v>
          </cell>
          <cell r="C9">
            <v>4</v>
          </cell>
          <cell r="D9" t="str">
            <v>Funcionamiento SGR</v>
          </cell>
          <cell r="E9" t="str">
            <v>Órganos SGR</v>
          </cell>
          <cell r="F9" t="str">
            <v>Min. Minas y Energía - Órgano</v>
          </cell>
          <cell r="G9">
            <v>20682305928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4125064574.0800004</v>
          </cell>
          <cell r="M9">
            <v>678774923.29999995</v>
          </cell>
          <cell r="N9">
            <v>741337719.46000004</v>
          </cell>
          <cell r="O9">
            <v>610023331.04999995</v>
          </cell>
          <cell r="P9">
            <v>705392185.85000002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6860592733.7400007</v>
          </cell>
          <cell r="AG9">
            <v>0.3317131444444999</v>
          </cell>
          <cell r="AI9">
            <v>992433264.55999994</v>
          </cell>
          <cell r="AJ9">
            <v>730754600.65999997</v>
          </cell>
          <cell r="AK9">
            <v>752812369.88999999</v>
          </cell>
          <cell r="AL9">
            <v>905207043.99000001</v>
          </cell>
          <cell r="AM9">
            <v>787043926.29999995</v>
          </cell>
          <cell r="AN9">
            <v>699817704.75999999</v>
          </cell>
          <cell r="AO9">
            <v>958201708.88999999</v>
          </cell>
          <cell r="AP9">
            <v>923970152.55999994</v>
          </cell>
          <cell r="AQ9">
            <v>699817704.75999999</v>
          </cell>
          <cell r="AR9">
            <v>992433265.28999996</v>
          </cell>
          <cell r="AS9">
            <v>939438600.30999994</v>
          </cell>
          <cell r="AT9">
            <v>889738595.91999996</v>
          </cell>
          <cell r="AU9">
            <v>933808306.29999995</v>
          </cell>
          <cell r="AV9">
            <v>743594092.25</v>
          </cell>
          <cell r="AW9">
            <v>736241699.12</v>
          </cell>
          <cell r="AX9">
            <v>980162795.26999998</v>
          </cell>
          <cell r="AY9">
            <v>835025003</v>
          </cell>
          <cell r="AZ9">
            <v>782596187.44000006</v>
          </cell>
          <cell r="BA9">
            <v>966736074.90999997</v>
          </cell>
          <cell r="BB9">
            <v>933808307.11000001</v>
          </cell>
          <cell r="BC9">
            <v>716740651.52999997</v>
          </cell>
          <cell r="BD9">
            <v>999663842.87</v>
          </cell>
          <cell r="BE9">
            <v>914307259.51999998</v>
          </cell>
          <cell r="BF9">
            <v>867952770.78999996</v>
          </cell>
          <cell r="BG9">
            <v>20682305928</v>
          </cell>
          <cell r="BH9">
            <v>1</v>
          </cell>
        </row>
        <row r="10">
          <cell r="A10" t="str">
            <v>FU022</v>
          </cell>
          <cell r="C10">
            <v>5</v>
          </cell>
          <cell r="D10" t="str">
            <v>Funcionamiento SGR</v>
          </cell>
          <cell r="E10" t="str">
            <v>Órganos SGR</v>
          </cell>
          <cell r="F10" t="str">
            <v>Min. Ciencia Tecnología e Innovación - Órgano</v>
          </cell>
          <cell r="G10">
            <v>2622967462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523148153.50999999</v>
          </cell>
          <cell r="M10">
            <v>86083464</v>
          </cell>
          <cell r="N10">
            <v>94017791.019999996</v>
          </cell>
          <cell r="O10">
            <v>77364262.670000002</v>
          </cell>
          <cell r="P10">
            <v>89459113.400000006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870072784.5999999</v>
          </cell>
          <cell r="AG10">
            <v>0.33171314444616617</v>
          </cell>
          <cell r="AI10">
            <v>125862182.40000001</v>
          </cell>
          <cell r="AJ10">
            <v>92675620.739999995</v>
          </cell>
          <cell r="AK10">
            <v>95473026.950000003</v>
          </cell>
          <cell r="AL10">
            <v>114799995.27</v>
          </cell>
          <cell r="AM10">
            <v>99814334.870000005</v>
          </cell>
          <cell r="AN10">
            <v>88752147.620000005</v>
          </cell>
          <cell r="AO10">
            <v>121520874.56999999</v>
          </cell>
          <cell r="AP10">
            <v>117179566.65000001</v>
          </cell>
          <cell r="AQ10">
            <v>88752147.620000005</v>
          </cell>
          <cell r="AR10">
            <v>125862182.48999999</v>
          </cell>
          <cell r="AS10">
            <v>119141303.19</v>
          </cell>
          <cell r="AT10">
            <v>112838258.7</v>
          </cell>
          <cell r="AU10">
            <v>118427259.11</v>
          </cell>
          <cell r="AV10">
            <v>94303948.299999997</v>
          </cell>
          <cell r="AW10">
            <v>93371504.5</v>
          </cell>
          <cell r="AX10">
            <v>124306019.28</v>
          </cell>
          <cell r="AY10">
            <v>105899381.84</v>
          </cell>
          <cell r="AZ10">
            <v>99250264.579999998</v>
          </cell>
          <cell r="BA10">
            <v>122603218.31</v>
          </cell>
          <cell r="BB10">
            <v>118427259.22</v>
          </cell>
          <cell r="BC10">
            <v>90898346.349999994</v>
          </cell>
          <cell r="BD10">
            <v>126779177.42</v>
          </cell>
          <cell r="BE10">
            <v>115954101.06999999</v>
          </cell>
          <cell r="BF10">
            <v>110075340.93000001</v>
          </cell>
          <cell r="BG10">
            <v>2622967461.9799995</v>
          </cell>
          <cell r="BH10">
            <v>0.99999999999237488</v>
          </cell>
        </row>
        <row r="11">
          <cell r="A11" t="str">
            <v>FU056</v>
          </cell>
          <cell r="C11">
            <v>5</v>
          </cell>
          <cell r="D11" t="str">
            <v>Funcionamiento SGR</v>
          </cell>
          <cell r="E11" t="str">
            <v>Órganos SGR</v>
          </cell>
          <cell r="F11" t="str">
            <v>Min. Ambiente y Desarrollo Sostenible - Órgano</v>
          </cell>
          <cell r="G11">
            <v>6041195013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1204910111.0799999</v>
          </cell>
          <cell r="M11">
            <v>198266658.27000001</v>
          </cell>
          <cell r="N11">
            <v>216540928.72</v>
          </cell>
          <cell r="O11">
            <v>178184672.36000001</v>
          </cell>
          <cell r="P11">
            <v>206041423.53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2003943793.9599998</v>
          </cell>
          <cell r="AG11">
            <v>0.33171314444372824</v>
          </cell>
          <cell r="AI11">
            <v>289884643.88</v>
          </cell>
          <cell r="AJ11">
            <v>213449654.24000001</v>
          </cell>
          <cell r="AK11">
            <v>219892615</v>
          </cell>
          <cell r="AL11">
            <v>264406314.22</v>
          </cell>
          <cell r="AM11">
            <v>229891476.28</v>
          </cell>
          <cell r="AN11">
            <v>204413146.31999999</v>
          </cell>
          <cell r="AO11">
            <v>279885782.81999999</v>
          </cell>
          <cell r="AP11">
            <v>269886921.56999999</v>
          </cell>
          <cell r="AQ11">
            <v>204413146.31999999</v>
          </cell>
          <cell r="AR11">
            <v>289884644.10000002</v>
          </cell>
          <cell r="AS11">
            <v>274405175.47000003</v>
          </cell>
          <cell r="AT11">
            <v>259888060.22</v>
          </cell>
          <cell r="AU11">
            <v>272760595.58999997</v>
          </cell>
          <cell r="AV11">
            <v>217200003.59</v>
          </cell>
          <cell r="AW11">
            <v>215052407.43000001</v>
          </cell>
          <cell r="AX11">
            <v>286300503.01999998</v>
          </cell>
          <cell r="AY11">
            <v>243906501.59999999</v>
          </cell>
          <cell r="AZ11">
            <v>228592314.66999999</v>
          </cell>
          <cell r="BA11">
            <v>282378627.17000002</v>
          </cell>
          <cell r="BB11">
            <v>272760595.82999998</v>
          </cell>
          <cell r="BC11">
            <v>209356251.88999999</v>
          </cell>
          <cell r="BD11">
            <v>291996658.56</v>
          </cell>
          <cell r="BE11">
            <v>267064440.28999999</v>
          </cell>
          <cell r="BF11">
            <v>253524532.94</v>
          </cell>
          <cell r="BG11">
            <v>6041195013.0200005</v>
          </cell>
          <cell r="BH11">
            <v>1.0000000000033107</v>
          </cell>
        </row>
        <row r="12">
          <cell r="A12" t="str">
            <v>FU046</v>
          </cell>
          <cell r="C12">
            <v>6</v>
          </cell>
          <cell r="D12" t="str">
            <v>Funcionamiento SGR</v>
          </cell>
          <cell r="E12" t="str">
            <v>ST de los OCAD - Pueblos y Comunidades Étnicas</v>
          </cell>
          <cell r="F12" t="str">
            <v>Departamento Nacional de Planeación - ST OCAD Regionales</v>
          </cell>
          <cell r="G12">
            <v>5032827499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1003792251.01</v>
          </cell>
          <cell r="M12">
            <v>165172931.47</v>
          </cell>
          <cell r="N12">
            <v>180396947.69</v>
          </cell>
          <cell r="O12">
            <v>148442935.05000001</v>
          </cell>
          <cell r="P12">
            <v>171649969.91999999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1669455035.1400001</v>
          </cell>
          <cell r="AG12">
            <v>0.33171314444449235</v>
          </cell>
          <cell r="AI12">
            <v>241498479.05000001</v>
          </cell>
          <cell r="AJ12">
            <v>177821654.03</v>
          </cell>
          <cell r="AK12">
            <v>183189186.44999999</v>
          </cell>
          <cell r="AL12">
            <v>220272870.88999999</v>
          </cell>
          <cell r="AM12">
            <v>191519085.40000001</v>
          </cell>
          <cell r="AN12">
            <v>170293477</v>
          </cell>
          <cell r="AO12">
            <v>233168580.28</v>
          </cell>
          <cell r="AP12">
            <v>224838681.34999999</v>
          </cell>
          <cell r="AQ12">
            <v>170293477</v>
          </cell>
          <cell r="AR12">
            <v>241498479.22</v>
          </cell>
          <cell r="AS12">
            <v>228602769.81</v>
          </cell>
          <cell r="AT12">
            <v>216508782.34</v>
          </cell>
          <cell r="AU12">
            <v>227232695.38</v>
          </cell>
          <cell r="AV12">
            <v>180946012.91</v>
          </cell>
          <cell r="AW12">
            <v>179156883.28999999</v>
          </cell>
          <cell r="AX12">
            <v>238512585.91</v>
          </cell>
          <cell r="AY12">
            <v>203194789.40000001</v>
          </cell>
          <cell r="AZ12">
            <v>190436773.66</v>
          </cell>
          <cell r="BA12">
            <v>235245330.91</v>
          </cell>
          <cell r="BB12">
            <v>227232695.58000001</v>
          </cell>
          <cell r="BC12">
            <v>174411502.91999999</v>
          </cell>
          <cell r="BD12">
            <v>243257966.28999999</v>
          </cell>
          <cell r="BE12">
            <v>222487315.21000001</v>
          </cell>
          <cell r="BF12">
            <v>211207424.74000001</v>
          </cell>
          <cell r="BG12">
            <v>5032827499.0199995</v>
          </cell>
          <cell r="BH12">
            <v>1.0000000000039737</v>
          </cell>
        </row>
        <row r="13">
          <cell r="A13" t="str">
            <v>FU007</v>
          </cell>
          <cell r="C13">
            <v>7</v>
          </cell>
          <cell r="D13" t="str">
            <v>Funcionamiento SGR</v>
          </cell>
          <cell r="E13" t="str">
            <v>ST de los OCAD - Pueblos y Comunidades Étnicas</v>
          </cell>
          <cell r="F13" t="str">
            <v>Min. Ciencia Tecnología e Innovación - ST OCAD CTeI</v>
          </cell>
          <cell r="G13">
            <v>5231249885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1043367391.13</v>
          </cell>
          <cell r="M13">
            <v>171684978.06</v>
          </cell>
          <cell r="N13">
            <v>187509210.68000001</v>
          </cell>
          <cell r="O13">
            <v>154295391.02000001</v>
          </cell>
          <cell r="P13">
            <v>178417377.83000001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1735274348.72</v>
          </cell>
          <cell r="AG13">
            <v>0.33171314444291738</v>
          </cell>
          <cell r="AI13">
            <v>251019708.30000001</v>
          </cell>
          <cell r="AJ13">
            <v>184832384.44999999</v>
          </cell>
          <cell r="AK13">
            <v>190411535.21000001</v>
          </cell>
          <cell r="AL13">
            <v>228957267.21000001</v>
          </cell>
          <cell r="AM13">
            <v>199069845.66</v>
          </cell>
          <cell r="AN13">
            <v>177007404.31</v>
          </cell>
          <cell r="AO13">
            <v>242361398.03999999</v>
          </cell>
          <cell r="AP13">
            <v>233703087.61000001</v>
          </cell>
          <cell r="AQ13">
            <v>177007404.31</v>
          </cell>
          <cell r="AR13">
            <v>251019708.49000001</v>
          </cell>
          <cell r="AS13">
            <v>237615577.63</v>
          </cell>
          <cell r="AT13">
            <v>225044777.09999999</v>
          </cell>
          <cell r="AU13">
            <v>236191487.16</v>
          </cell>
          <cell r="AV13">
            <v>188079923.15000001</v>
          </cell>
          <cell r="AW13">
            <v>186220255.97</v>
          </cell>
          <cell r="AX13">
            <v>247916094.46000001</v>
          </cell>
          <cell r="AY13">
            <v>211205871.63</v>
          </cell>
          <cell r="AZ13">
            <v>197944863.09999999</v>
          </cell>
          <cell r="BA13">
            <v>244520025.88</v>
          </cell>
          <cell r="BB13">
            <v>236191487.36000001</v>
          </cell>
          <cell r="BC13">
            <v>181287785.99000001</v>
          </cell>
          <cell r="BD13">
            <v>252848564.43000001</v>
          </cell>
          <cell r="BE13">
            <v>231259017.38999999</v>
          </cell>
          <cell r="BF13">
            <v>219534410.15000001</v>
          </cell>
          <cell r="BG13">
            <v>5231249884.9899998</v>
          </cell>
          <cell r="BH13">
            <v>0.99999999999808842</v>
          </cell>
        </row>
        <row r="14">
          <cell r="A14" t="str">
            <v>FU027</v>
          </cell>
          <cell r="C14">
            <v>8</v>
          </cell>
          <cell r="D14" t="str">
            <v>Funcionamiento SGR</v>
          </cell>
          <cell r="E14" t="str">
            <v>ST de los OCAD - Pueblos y Comunidades Étnicas</v>
          </cell>
          <cell r="F14" t="str">
            <v>Departamento Nacional de Planeación - ST OCAD PAZ</v>
          </cell>
          <cell r="G14">
            <v>8902504924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1775595420.0799999</v>
          </cell>
          <cell r="M14">
            <v>292172309.89999998</v>
          </cell>
          <cell r="N14">
            <v>319101879.68000001</v>
          </cell>
          <cell r="O14">
            <v>262578830.78</v>
          </cell>
          <cell r="P14">
            <v>303629461.31999999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2953077901.7600002</v>
          </cell>
          <cell r="AG14">
            <v>0.3317131444430752</v>
          </cell>
          <cell r="AI14">
            <v>427183605.88999999</v>
          </cell>
          <cell r="AJ14">
            <v>314546475.30000001</v>
          </cell>
          <cell r="AK14">
            <v>324041035.51999998</v>
          </cell>
          <cell r="AL14">
            <v>389637896.00999999</v>
          </cell>
          <cell r="AM14">
            <v>338775688.44</v>
          </cell>
          <cell r="AN14">
            <v>301229978.13999999</v>
          </cell>
          <cell r="AO14">
            <v>412448953.29000002</v>
          </cell>
          <cell r="AP14">
            <v>397714300.39999998</v>
          </cell>
          <cell r="AQ14">
            <v>301229978.13999999</v>
          </cell>
          <cell r="AR14">
            <v>427183606.20999998</v>
          </cell>
          <cell r="AS14">
            <v>404372548.88999999</v>
          </cell>
          <cell r="AT14">
            <v>382979647.38</v>
          </cell>
          <cell r="AU14">
            <v>401949041.56</v>
          </cell>
          <cell r="AV14">
            <v>320073114.22000003</v>
          </cell>
          <cell r="AW14">
            <v>316908345.44999999</v>
          </cell>
          <cell r="AX14">
            <v>421901897.27999997</v>
          </cell>
          <cell r="AY14">
            <v>359428693.62</v>
          </cell>
          <cell r="AZ14">
            <v>336861200.89999998</v>
          </cell>
          <cell r="BA14">
            <v>416122491.23000002</v>
          </cell>
          <cell r="BB14">
            <v>401949041.91000003</v>
          </cell>
          <cell r="BC14">
            <v>308514302.11000001</v>
          </cell>
          <cell r="BD14">
            <v>430295940.62</v>
          </cell>
          <cell r="BE14">
            <v>393554998.56999999</v>
          </cell>
          <cell r="BF14">
            <v>373602142.94999999</v>
          </cell>
          <cell r="BG14">
            <v>8902504924.0299988</v>
          </cell>
          <cell r="BH14">
            <v>1.0000000000033697</v>
          </cell>
        </row>
        <row r="15">
          <cell r="A15" t="str">
            <v>FU055</v>
          </cell>
          <cell r="C15">
            <v>9</v>
          </cell>
          <cell r="D15" t="str">
            <v>Funcionamiento SGR</v>
          </cell>
          <cell r="E15" t="str">
            <v>ST de los OCAD - Pueblos y Comunidades Étnicas</v>
          </cell>
          <cell r="F15" t="str">
            <v>PCI - Confederación Indígena Tayrona</v>
          </cell>
          <cell r="G15">
            <v>838804583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167298708.47</v>
          </cell>
          <cell r="M15">
            <v>27528821.91</v>
          </cell>
          <cell r="N15">
            <v>30066157.940000001</v>
          </cell>
          <cell r="O15">
            <v>24740489.170000002</v>
          </cell>
          <cell r="P15">
            <v>28608328.32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278242505.81</v>
          </cell>
          <cell r="AG15">
            <v>0.33171314445476746</v>
          </cell>
          <cell r="AI15">
            <v>40249746.5</v>
          </cell>
          <cell r="AJ15">
            <v>29636942.329999998</v>
          </cell>
          <cell r="AK15">
            <v>30531531.07</v>
          </cell>
          <cell r="AL15">
            <v>36712145.140000001</v>
          </cell>
          <cell r="AM15">
            <v>31919847.559999999</v>
          </cell>
          <cell r="AN15">
            <v>28382246.16</v>
          </cell>
          <cell r="AO15">
            <v>38861430.039999999</v>
          </cell>
          <cell r="AP15">
            <v>37473113.549999997</v>
          </cell>
          <cell r="AQ15">
            <v>28382246.16</v>
          </cell>
          <cell r="AR15">
            <v>40249746.530000001</v>
          </cell>
          <cell r="AS15">
            <v>38100461.630000003</v>
          </cell>
          <cell r="AT15">
            <v>36084797.049999997</v>
          </cell>
          <cell r="AU15">
            <v>37872115.890000001</v>
          </cell>
          <cell r="AV15">
            <v>30157668.809999999</v>
          </cell>
          <cell r="AW15">
            <v>29859480.539999999</v>
          </cell>
          <cell r="AX15">
            <v>39752097.640000001</v>
          </cell>
          <cell r="AY15">
            <v>33865798.229999997</v>
          </cell>
          <cell r="AZ15">
            <v>31739462.27</v>
          </cell>
          <cell r="BA15">
            <v>39207555.140000001</v>
          </cell>
          <cell r="BB15">
            <v>37872115.920000002</v>
          </cell>
          <cell r="BC15">
            <v>29068583.809999999</v>
          </cell>
          <cell r="BD15">
            <v>40542994.369999997</v>
          </cell>
          <cell r="BE15">
            <v>37081219.189999998</v>
          </cell>
          <cell r="BF15">
            <v>35201237.450000003</v>
          </cell>
          <cell r="BG15">
            <v>838804582.98000002</v>
          </cell>
          <cell r="BH15">
            <v>0.99999999997615652</v>
          </cell>
        </row>
        <row r="16">
          <cell r="A16" t="str">
            <v>CI002</v>
          </cell>
          <cell r="C16">
            <v>10</v>
          </cell>
          <cell r="D16" t="str">
            <v>Funcionamiento SGR</v>
          </cell>
          <cell r="E16" t="str">
            <v>ST de los OCAD - Pueblos y Comunidades Étnicas</v>
          </cell>
          <cell r="F16" t="str">
            <v xml:space="preserve">Comunidades Negras, Afrocolombianas, Raizales y Palenqueras </v>
          </cell>
          <cell r="G16">
            <v>838804583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167298708.47</v>
          </cell>
          <cell r="M16">
            <v>27528821.91</v>
          </cell>
          <cell r="N16">
            <v>30066157.940000001</v>
          </cell>
          <cell r="O16">
            <v>24740489.170000002</v>
          </cell>
          <cell r="P16">
            <v>28608328.32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278242505.81</v>
          </cell>
          <cell r="AG16">
            <v>0.33171314445476746</v>
          </cell>
          <cell r="AI16">
            <v>40249746.5</v>
          </cell>
          <cell r="AJ16">
            <v>29636942.329999998</v>
          </cell>
          <cell r="AK16">
            <v>30531531.07</v>
          </cell>
          <cell r="AL16">
            <v>36712145.140000001</v>
          </cell>
          <cell r="AM16">
            <v>31919847.559999999</v>
          </cell>
          <cell r="AN16">
            <v>28382246.16</v>
          </cell>
          <cell r="AO16">
            <v>38861430.039999999</v>
          </cell>
          <cell r="AP16">
            <v>37473113.549999997</v>
          </cell>
          <cell r="AQ16">
            <v>28382246.16</v>
          </cell>
          <cell r="AR16">
            <v>40249746.530000001</v>
          </cell>
          <cell r="AS16">
            <v>38100461.630000003</v>
          </cell>
          <cell r="AT16">
            <v>36084797.049999997</v>
          </cell>
          <cell r="AU16">
            <v>37872115.890000001</v>
          </cell>
          <cell r="AV16">
            <v>30157668.809999999</v>
          </cell>
          <cell r="AW16">
            <v>29859480.539999999</v>
          </cell>
          <cell r="AX16">
            <v>39752097.640000001</v>
          </cell>
          <cell r="AY16">
            <v>33865798.229999997</v>
          </cell>
          <cell r="AZ16">
            <v>31739462.27</v>
          </cell>
          <cell r="BA16">
            <v>39207555.140000001</v>
          </cell>
          <cell r="BB16">
            <v>37872115.920000002</v>
          </cell>
          <cell r="BC16">
            <v>29068583.809999999</v>
          </cell>
          <cell r="BD16">
            <v>40542994.369999997</v>
          </cell>
          <cell r="BE16">
            <v>37081219.189999998</v>
          </cell>
          <cell r="BF16">
            <v>35201237.450000003</v>
          </cell>
          <cell r="BG16">
            <v>838804582.98000002</v>
          </cell>
          <cell r="BH16">
            <v>0.99999999997615652</v>
          </cell>
        </row>
        <row r="17">
          <cell r="A17" t="str">
            <v>FU054</v>
          </cell>
          <cell r="C17">
            <v>11</v>
          </cell>
          <cell r="D17" t="str">
            <v>Funcionamiento SGR</v>
          </cell>
          <cell r="E17" t="str">
            <v>ST de los OCAD - Pueblos y Comunidades Étnicas</v>
          </cell>
          <cell r="F17" t="str">
            <v>PRG - Min. Interior</v>
          </cell>
          <cell r="G17">
            <v>419402292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83649354.340000004</v>
          </cell>
          <cell r="M17">
            <v>13764410.970000001</v>
          </cell>
          <cell r="N17">
            <v>15033078.99</v>
          </cell>
          <cell r="O17">
            <v>12370244.6</v>
          </cell>
          <cell r="P17">
            <v>14304164.17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139121253.06999999</v>
          </cell>
          <cell r="AG17">
            <v>0.33171314445272509</v>
          </cell>
          <cell r="AI17">
            <v>20124873.27</v>
          </cell>
          <cell r="AJ17">
            <v>14818471.18</v>
          </cell>
          <cell r="AK17">
            <v>15265765.550000001</v>
          </cell>
          <cell r="AL17">
            <v>18356072.59</v>
          </cell>
          <cell r="AM17">
            <v>15959923.800000001</v>
          </cell>
          <cell r="AN17">
            <v>14191123.1</v>
          </cell>
          <cell r="AO17">
            <v>19430715.039999999</v>
          </cell>
          <cell r="AP17">
            <v>18736556.800000001</v>
          </cell>
          <cell r="AQ17">
            <v>14191123.1</v>
          </cell>
          <cell r="AR17">
            <v>20124873.289999999</v>
          </cell>
          <cell r="AS17">
            <v>19050230.84</v>
          </cell>
          <cell r="AT17">
            <v>18042398.550000001</v>
          </cell>
          <cell r="AU17">
            <v>18936057.969999999</v>
          </cell>
          <cell r="AV17">
            <v>15078834.42</v>
          </cell>
          <cell r="AW17">
            <v>14929740.289999999</v>
          </cell>
          <cell r="AX17">
            <v>19876048.850000001</v>
          </cell>
          <cell r="AY17">
            <v>16932899.129999999</v>
          </cell>
          <cell r="AZ17">
            <v>15869731.15</v>
          </cell>
          <cell r="BA17">
            <v>19603777.600000001</v>
          </cell>
          <cell r="BB17">
            <v>18936057.98</v>
          </cell>
          <cell r="BC17">
            <v>14534291.92</v>
          </cell>
          <cell r="BD17">
            <v>20271497.210000001</v>
          </cell>
          <cell r="BE17">
            <v>18540609.620000001</v>
          </cell>
          <cell r="BF17">
            <v>17600618.75</v>
          </cell>
          <cell r="BG17">
            <v>419402292</v>
          </cell>
          <cell r="BH17">
            <v>1</v>
          </cell>
        </row>
        <row r="18">
          <cell r="A18" t="str">
            <v>FU013</v>
          </cell>
          <cell r="C18">
            <v>12</v>
          </cell>
          <cell r="D18" t="str">
            <v>Funcionamiento SGR</v>
          </cell>
          <cell r="E18" t="str">
            <v>Entidades que emiten CTUS</v>
          </cell>
          <cell r="F18" t="str">
            <v>Min. Agricultura</v>
          </cell>
          <cell r="G18">
            <v>1891360390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377229877.97999996</v>
          </cell>
          <cell r="M18">
            <v>62072769.259999998</v>
          </cell>
          <cell r="N18">
            <v>67794026.599999994</v>
          </cell>
          <cell r="O18">
            <v>55785557.439999998</v>
          </cell>
          <cell r="P18">
            <v>64506870.960000001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627389102.24000001</v>
          </cell>
          <cell r="AG18">
            <v>0.33171314444202776</v>
          </cell>
          <cell r="AI18">
            <v>90756271.219999999</v>
          </cell>
          <cell r="AJ18">
            <v>66826219.049999997</v>
          </cell>
          <cell r="AK18">
            <v>68843363.140000001</v>
          </cell>
          <cell r="AL18">
            <v>82779587.230000004</v>
          </cell>
          <cell r="AM18">
            <v>71973778.579999998</v>
          </cell>
          <cell r="AN18">
            <v>63997094.5</v>
          </cell>
          <cell r="AO18">
            <v>87625855.849999994</v>
          </cell>
          <cell r="AP18">
            <v>84495440.409999996</v>
          </cell>
          <cell r="AQ18">
            <v>63997094.5</v>
          </cell>
          <cell r="AR18">
            <v>90756271.290000007</v>
          </cell>
          <cell r="AS18">
            <v>85910002.670000002</v>
          </cell>
          <cell r="AT18">
            <v>81365024.950000003</v>
          </cell>
          <cell r="AU18">
            <v>85395122.209999993</v>
          </cell>
          <cell r="AV18">
            <v>68000367.909999996</v>
          </cell>
          <cell r="AW18">
            <v>67328004.530000001</v>
          </cell>
          <cell r="AX18">
            <v>89634158.450000003</v>
          </cell>
          <cell r="AY18">
            <v>76361563.400000006</v>
          </cell>
          <cell r="AZ18">
            <v>71567040.709999993</v>
          </cell>
          <cell r="BA18">
            <v>88406308.560000002</v>
          </cell>
          <cell r="BB18">
            <v>85395122.290000007</v>
          </cell>
          <cell r="BC18">
            <v>65544668.130000003</v>
          </cell>
          <cell r="BD18">
            <v>91417494.849999994</v>
          </cell>
          <cell r="BE18">
            <v>83611785.890000001</v>
          </cell>
          <cell r="BF18">
            <v>79372749.670000002</v>
          </cell>
          <cell r="BG18">
            <v>1891360389.9900002</v>
          </cell>
          <cell r="BH18">
            <v>0.9999999999947129</v>
          </cell>
        </row>
        <row r="19">
          <cell r="A19" t="str">
            <v>FU014</v>
          </cell>
          <cell r="C19">
            <v>13</v>
          </cell>
          <cell r="D19" t="str">
            <v>Funcionamiento SGR</v>
          </cell>
          <cell r="E19" t="str">
            <v>Entidades que emiten CTUS</v>
          </cell>
          <cell r="F19" t="str">
            <v>Min. Salud</v>
          </cell>
          <cell r="G19">
            <v>1458254308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290847316.87</v>
          </cell>
          <cell r="M19">
            <v>47858612.07</v>
          </cell>
          <cell r="N19">
            <v>52269748.200000003</v>
          </cell>
          <cell r="O19">
            <v>43011120.399999999</v>
          </cell>
          <cell r="P19">
            <v>49735324.359999999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483722121.89999998</v>
          </cell>
          <cell r="AG19">
            <v>0.33171314444009858</v>
          </cell>
          <cell r="AI19">
            <v>69973826.349999994</v>
          </cell>
          <cell r="AJ19">
            <v>51523560.68</v>
          </cell>
          <cell r="AK19">
            <v>53078795.240000002</v>
          </cell>
          <cell r="AL19">
            <v>63823737.840000004</v>
          </cell>
          <cell r="AM19">
            <v>55492371.119999997</v>
          </cell>
          <cell r="AN19">
            <v>49342282.539999999</v>
          </cell>
          <cell r="AO19">
            <v>67560250.519999996</v>
          </cell>
          <cell r="AP19">
            <v>65146674.659999996</v>
          </cell>
          <cell r="AQ19">
            <v>49342282.539999999</v>
          </cell>
          <cell r="AR19">
            <v>69973826.400000006</v>
          </cell>
          <cell r="AS19">
            <v>66237313.710000001</v>
          </cell>
          <cell r="AT19">
            <v>62733098.770000003</v>
          </cell>
          <cell r="AU19">
            <v>65840336.670000002</v>
          </cell>
          <cell r="AV19">
            <v>52428839.039999999</v>
          </cell>
          <cell r="AW19">
            <v>51910441.380000003</v>
          </cell>
          <cell r="AX19">
            <v>69108668.239999995</v>
          </cell>
          <cell r="AY19">
            <v>58875389.049999997</v>
          </cell>
          <cell r="AZ19">
            <v>55178772.899999999</v>
          </cell>
          <cell r="BA19">
            <v>68161985.939999998</v>
          </cell>
          <cell r="BB19">
            <v>65840336.729999997</v>
          </cell>
          <cell r="BC19">
            <v>50535474.450000003</v>
          </cell>
          <cell r="BD19">
            <v>70483635.170000002</v>
          </cell>
          <cell r="BE19">
            <v>64465369.799999997</v>
          </cell>
          <cell r="BF19">
            <v>61197038.259999998</v>
          </cell>
          <cell r="BG19">
            <v>1458254308.0000002</v>
          </cell>
          <cell r="BH19">
            <v>1.0000000000000002</v>
          </cell>
        </row>
        <row r="20">
          <cell r="A20" t="str">
            <v>FU015</v>
          </cell>
          <cell r="C20">
            <v>14</v>
          </cell>
          <cell r="D20" t="str">
            <v>Funcionamiento SGR</v>
          </cell>
          <cell r="E20" t="str">
            <v>Entidades que emiten CTUS</v>
          </cell>
          <cell r="F20" t="str">
            <v>Min. Educación</v>
          </cell>
          <cell r="G20">
            <v>2085355137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415921930.07999998</v>
          </cell>
          <cell r="M20">
            <v>68439504.670000002</v>
          </cell>
          <cell r="N20">
            <v>74747585.060000002</v>
          </cell>
          <cell r="O20">
            <v>61507420.469999999</v>
          </cell>
          <cell r="P20">
            <v>71123269.5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691739709.77999997</v>
          </cell>
          <cell r="AG20">
            <v>0.33171314444557365</v>
          </cell>
          <cell r="AI20">
            <v>100065041.76000001</v>
          </cell>
          <cell r="AJ20">
            <v>73680510.560000002</v>
          </cell>
          <cell r="AK20">
            <v>75904550.890000001</v>
          </cell>
          <cell r="AL20">
            <v>91270198.099999994</v>
          </cell>
          <cell r="AM20">
            <v>79356049.579999998</v>
          </cell>
          <cell r="AN20">
            <v>70561205.829999998</v>
          </cell>
          <cell r="AO20">
            <v>96613543.140000001</v>
          </cell>
          <cell r="AP20">
            <v>93162044.439999998</v>
          </cell>
          <cell r="AQ20">
            <v>70561205.829999998</v>
          </cell>
          <cell r="AR20">
            <v>100065041.83</v>
          </cell>
          <cell r="AS20">
            <v>94721696.790000007</v>
          </cell>
          <cell r="AT20">
            <v>89710545.719999999</v>
          </cell>
          <cell r="AU20">
            <v>94154005.620000005</v>
          </cell>
          <cell r="AV20">
            <v>74975090.569999993</v>
          </cell>
          <cell r="AW20">
            <v>74233763.620000005</v>
          </cell>
          <cell r="AX20">
            <v>98827835.120000005</v>
          </cell>
          <cell r="AY20">
            <v>84193884.650000006</v>
          </cell>
          <cell r="AZ20">
            <v>78907593.060000002</v>
          </cell>
          <cell r="BA20">
            <v>97474046.030000001</v>
          </cell>
          <cell r="BB20">
            <v>94154005.700000003</v>
          </cell>
          <cell r="BC20">
            <v>72267512.370000005</v>
          </cell>
          <cell r="BD20">
            <v>100794086.37</v>
          </cell>
          <cell r="BE20">
            <v>92187754.450000003</v>
          </cell>
          <cell r="BF20">
            <v>87513924.969999999</v>
          </cell>
          <cell r="BG20">
            <v>2085355137</v>
          </cell>
          <cell r="BH20">
            <v>1</v>
          </cell>
        </row>
        <row r="21">
          <cell r="A21" t="str">
            <v>FU016</v>
          </cell>
          <cell r="C21">
            <v>15</v>
          </cell>
          <cell r="D21" t="str">
            <v>Funcionamiento SGR</v>
          </cell>
          <cell r="E21" t="str">
            <v>Entidades que emiten CTUS</v>
          </cell>
          <cell r="F21" t="str">
            <v>Min. Transporte</v>
          </cell>
          <cell r="G21">
            <v>4833881558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964112688.37999988</v>
          </cell>
          <cell r="M21">
            <v>158643702.27000001</v>
          </cell>
          <cell r="N21">
            <v>173265918.36000001</v>
          </cell>
          <cell r="O21">
            <v>142575036.85000002</v>
          </cell>
          <cell r="P21">
            <v>164864705.62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1603462051.4799995</v>
          </cell>
          <cell r="AG21">
            <v>0.33171314444523248</v>
          </cell>
          <cell r="AI21">
            <v>231952127.19</v>
          </cell>
          <cell r="AJ21">
            <v>170792425.16999999</v>
          </cell>
          <cell r="AK21">
            <v>175947780.88</v>
          </cell>
          <cell r="AL21">
            <v>211565560.02000001</v>
          </cell>
          <cell r="AM21">
            <v>183948401.78</v>
          </cell>
          <cell r="AN21">
            <v>163561834.38999999</v>
          </cell>
          <cell r="AO21">
            <v>223951506.44999999</v>
          </cell>
          <cell r="AP21">
            <v>215950885.56</v>
          </cell>
          <cell r="AQ21">
            <v>163561834.38999999</v>
          </cell>
          <cell r="AR21">
            <v>231952127.36000001</v>
          </cell>
          <cell r="AS21">
            <v>219566180.91</v>
          </cell>
          <cell r="AT21">
            <v>207950264.59999999</v>
          </cell>
          <cell r="AU21">
            <v>218250265.05000001</v>
          </cell>
          <cell r="AV21">
            <v>173793279.22</v>
          </cell>
          <cell r="AW21">
            <v>172074873.28</v>
          </cell>
          <cell r="AX21">
            <v>229084265.38</v>
          </cell>
          <cell r="AY21">
            <v>195162569.22999999</v>
          </cell>
          <cell r="AZ21">
            <v>182908873.46000001</v>
          </cell>
          <cell r="BA21">
            <v>225946163.84999999</v>
          </cell>
          <cell r="BB21">
            <v>218250265.24000001</v>
          </cell>
          <cell r="BC21">
            <v>167517076.16</v>
          </cell>
          <cell r="BD21">
            <v>233642062.5</v>
          </cell>
          <cell r="BE21">
            <v>213692468.12</v>
          </cell>
          <cell r="BF21">
            <v>202858467.84</v>
          </cell>
          <cell r="BG21">
            <v>4833881558.0299997</v>
          </cell>
          <cell r="BH21">
            <v>1.0000000000062061</v>
          </cell>
        </row>
        <row r="22">
          <cell r="A22" t="str">
            <v>FU017</v>
          </cell>
          <cell r="C22">
            <v>16</v>
          </cell>
          <cell r="D22" t="str">
            <v>Funcionamiento SGR</v>
          </cell>
          <cell r="E22" t="str">
            <v>Entidades que emiten CTUS</v>
          </cell>
          <cell r="F22" t="str">
            <v>Min. Vivienda</v>
          </cell>
          <cell r="G22">
            <v>3200466569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638329754.44000006</v>
          </cell>
          <cell r="M22">
            <v>105036472.12</v>
          </cell>
          <cell r="N22">
            <v>114717701</v>
          </cell>
          <cell r="O22">
            <v>94397563.030000001</v>
          </cell>
          <cell r="P22">
            <v>109155338.70999999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1061636829.3000001</v>
          </cell>
          <cell r="AG22">
            <v>0.33171314444684646</v>
          </cell>
          <cell r="AI22">
            <v>153573276.41999999</v>
          </cell>
          <cell r="AJ22">
            <v>113080024.91</v>
          </cell>
          <cell r="AK22">
            <v>116493336.43000001</v>
          </cell>
          <cell r="AL22">
            <v>140075526.03</v>
          </cell>
          <cell r="AM22">
            <v>121790470.72</v>
          </cell>
          <cell r="AN22">
            <v>108292720.18000001</v>
          </cell>
          <cell r="AO22">
            <v>148276142.24000001</v>
          </cell>
          <cell r="AP22">
            <v>142979007.97</v>
          </cell>
          <cell r="AQ22">
            <v>108292720.18000001</v>
          </cell>
          <cell r="AR22">
            <v>153573276.53</v>
          </cell>
          <cell r="AS22">
            <v>145372660.30000001</v>
          </cell>
          <cell r="AT22">
            <v>137681873.63999999</v>
          </cell>
          <cell r="AU22">
            <v>144501405.05000001</v>
          </cell>
          <cell r="AV22">
            <v>115066861.56999999</v>
          </cell>
          <cell r="AW22">
            <v>113929121.48999999</v>
          </cell>
          <cell r="AX22">
            <v>151674492.65000001</v>
          </cell>
          <cell r="AY22">
            <v>129215263.31</v>
          </cell>
          <cell r="AZ22">
            <v>121102208.98999999</v>
          </cell>
          <cell r="BA22">
            <v>149596785.75</v>
          </cell>
          <cell r="BB22">
            <v>144501405.16999999</v>
          </cell>
          <cell r="BC22">
            <v>110911447.78</v>
          </cell>
          <cell r="BD22">
            <v>154692166.36000001</v>
          </cell>
          <cell r="BE22">
            <v>141483731.46000001</v>
          </cell>
          <cell r="BF22">
            <v>134310643.88999999</v>
          </cell>
          <cell r="BG22">
            <v>3200466569.0200005</v>
          </cell>
          <cell r="BH22">
            <v>1.0000000000062492</v>
          </cell>
        </row>
        <row r="23">
          <cell r="A23" t="str">
            <v>FU020</v>
          </cell>
          <cell r="C23">
            <v>18</v>
          </cell>
          <cell r="D23" t="str">
            <v>Funcionamiento SGR</v>
          </cell>
          <cell r="E23" t="str">
            <v>Entidades que emiten CTUS</v>
          </cell>
          <cell r="F23" t="str">
            <v>Min. Ambiente</v>
          </cell>
          <cell r="G23">
            <v>1674510757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333979442.45999998</v>
          </cell>
          <cell r="M23">
            <v>54955956.780000001</v>
          </cell>
          <cell r="N23">
            <v>60021256.340000004</v>
          </cell>
          <cell r="O23">
            <v>49389590.960000001</v>
          </cell>
          <cell r="P23">
            <v>57110982.07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555457228.61000001</v>
          </cell>
          <cell r="AG23">
            <v>0.33171314444413569</v>
          </cell>
          <cell r="AI23">
            <v>80350816.920000002</v>
          </cell>
          <cell r="AJ23">
            <v>59164410.57</v>
          </cell>
          <cell r="AK23">
            <v>60950283.579999998</v>
          </cell>
          <cell r="AL23">
            <v>73288681.530000001</v>
          </cell>
          <cell r="AM23">
            <v>63721788.340000004</v>
          </cell>
          <cell r="AN23">
            <v>56659652.880000003</v>
          </cell>
          <cell r="AO23">
            <v>77579312.209999993</v>
          </cell>
          <cell r="AP23">
            <v>74807807.459999993</v>
          </cell>
          <cell r="AQ23">
            <v>56659652.880000003</v>
          </cell>
          <cell r="AR23">
            <v>80350816.980000004</v>
          </cell>
          <cell r="AS23">
            <v>76060186.290000007</v>
          </cell>
          <cell r="AT23">
            <v>72036302.670000002</v>
          </cell>
          <cell r="AU23">
            <v>75604338.280000001</v>
          </cell>
          <cell r="AV23">
            <v>60203940.060000002</v>
          </cell>
          <cell r="AW23">
            <v>59608664.969999999</v>
          </cell>
          <cell r="AX23">
            <v>79357357.439999998</v>
          </cell>
          <cell r="AY23">
            <v>67606501.650000006</v>
          </cell>
          <cell r="AZ23">
            <v>63361684.079999998</v>
          </cell>
          <cell r="BA23">
            <v>78270283.900000006</v>
          </cell>
          <cell r="BB23">
            <v>75604338.349999994</v>
          </cell>
          <cell r="BC23">
            <v>58029792.960000001</v>
          </cell>
          <cell r="BD23">
            <v>80936229.459999993</v>
          </cell>
          <cell r="BE23">
            <v>74025466.340000004</v>
          </cell>
          <cell r="BF23">
            <v>70272447.200000003</v>
          </cell>
          <cell r="BG23">
            <v>1674510757</v>
          </cell>
          <cell r="BH23">
            <v>1</v>
          </cell>
        </row>
        <row r="24">
          <cell r="A24" t="str">
            <v>FU018</v>
          </cell>
          <cell r="C24">
            <v>19</v>
          </cell>
          <cell r="D24" t="str">
            <v>Funcionamiento SGR</v>
          </cell>
          <cell r="E24" t="str">
            <v>Entidades que emiten CTUS</v>
          </cell>
          <cell r="F24" t="str">
            <v>Min. Cultura</v>
          </cell>
          <cell r="G24">
            <v>691427135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137904428.55000001</v>
          </cell>
          <cell r="M24">
            <v>22692024.870000001</v>
          </cell>
          <cell r="N24">
            <v>24783552.530000001</v>
          </cell>
          <cell r="O24">
            <v>20393600.48</v>
          </cell>
          <cell r="P24">
            <v>23581862.670000002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229355469.10000002</v>
          </cell>
          <cell r="AG24">
            <v>0.33171314443712135</v>
          </cell>
          <cell r="AI24">
            <v>33177890.859999999</v>
          </cell>
          <cell r="AJ24">
            <v>24429749.84</v>
          </cell>
          <cell r="AK24">
            <v>25167159.890000001</v>
          </cell>
          <cell r="AL24">
            <v>30261843.879999999</v>
          </cell>
          <cell r="AM24">
            <v>26311550.030000001</v>
          </cell>
          <cell r="AN24">
            <v>23395503.010000002</v>
          </cell>
          <cell r="AO24">
            <v>32033500.739999998</v>
          </cell>
          <cell r="AP24">
            <v>30889110.609999999</v>
          </cell>
          <cell r="AQ24">
            <v>23395503.010000002</v>
          </cell>
          <cell r="AR24">
            <v>33177890.879999999</v>
          </cell>
          <cell r="AS24">
            <v>31406234.010000002</v>
          </cell>
          <cell r="AT24">
            <v>29744720.460000001</v>
          </cell>
          <cell r="AU24">
            <v>31218008.48</v>
          </cell>
          <cell r="AV24">
            <v>24858985</v>
          </cell>
          <cell r="AW24">
            <v>24613188.219999999</v>
          </cell>
          <cell r="AX24">
            <v>32767678.600000001</v>
          </cell>
          <cell r="AY24">
            <v>27915598.359999999</v>
          </cell>
          <cell r="AZ24">
            <v>26162858.32</v>
          </cell>
          <cell r="BA24">
            <v>32318811.879999999</v>
          </cell>
          <cell r="BB24">
            <v>31218008.510000002</v>
          </cell>
          <cell r="BC24">
            <v>23961251.559999999</v>
          </cell>
          <cell r="BD24">
            <v>33419615.260000002</v>
          </cell>
          <cell r="BE24">
            <v>30566071.850000001</v>
          </cell>
          <cell r="BF24">
            <v>29016401.739999998</v>
          </cell>
          <cell r="BG24">
            <v>691427135</v>
          </cell>
          <cell r="BH24">
            <v>1</v>
          </cell>
        </row>
        <row r="25">
          <cell r="A25" t="str">
            <v>FU021</v>
          </cell>
          <cell r="C25">
            <v>20</v>
          </cell>
          <cell r="D25" t="str">
            <v>Funcionamiento SGR</v>
          </cell>
          <cell r="E25" t="str">
            <v>Entidades que emiten CTUS</v>
          </cell>
          <cell r="F25" t="str">
            <v>Min. Comercio</v>
          </cell>
          <cell r="G25">
            <v>115656043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23067478.420000002</v>
          </cell>
          <cell r="M25">
            <v>3795728.68</v>
          </cell>
          <cell r="N25">
            <v>4145581.61</v>
          </cell>
          <cell r="O25">
            <v>3411267.82</v>
          </cell>
          <cell r="P25">
            <v>3944573.17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38364629.700000003</v>
          </cell>
          <cell r="AG25">
            <v>0.33171314446578465</v>
          </cell>
          <cell r="AI25">
            <v>5549715.04</v>
          </cell>
          <cell r="AJ25">
            <v>4086400.51</v>
          </cell>
          <cell r="AK25">
            <v>4209748.18</v>
          </cell>
          <cell r="AL25">
            <v>5061943.54</v>
          </cell>
          <cell r="AM25">
            <v>4401172.0199999996</v>
          </cell>
          <cell r="AN25">
            <v>3913400.51</v>
          </cell>
          <cell r="AO25">
            <v>5358291.21</v>
          </cell>
          <cell r="AP25">
            <v>5166867.37</v>
          </cell>
          <cell r="AQ25">
            <v>3913400.51</v>
          </cell>
          <cell r="AR25">
            <v>5549715.0499999998</v>
          </cell>
          <cell r="AS25">
            <v>5253367.37</v>
          </cell>
          <cell r="AT25">
            <v>4975443.53</v>
          </cell>
          <cell r="AU25">
            <v>5221882.6100000003</v>
          </cell>
          <cell r="AV25">
            <v>4158199.31</v>
          </cell>
          <cell r="AW25">
            <v>4117084.52</v>
          </cell>
          <cell r="AX25">
            <v>5481098.2300000004</v>
          </cell>
          <cell r="AY25">
            <v>4669483.57</v>
          </cell>
          <cell r="AZ25">
            <v>4376300.1399999997</v>
          </cell>
          <cell r="BA25">
            <v>5406015.6299999999</v>
          </cell>
          <cell r="BB25">
            <v>5221882.6100000003</v>
          </cell>
          <cell r="BC25">
            <v>4008034.11</v>
          </cell>
          <cell r="BD25">
            <v>5590148.6399999997</v>
          </cell>
          <cell r="BE25">
            <v>5112832.2</v>
          </cell>
          <cell r="BF25">
            <v>4853616.58</v>
          </cell>
          <cell r="BG25">
            <v>115656042.98999998</v>
          </cell>
          <cell r="BH25">
            <v>0.9999999999135365</v>
          </cell>
        </row>
        <row r="26">
          <cell r="A26" t="str">
            <v>FU031</v>
          </cell>
          <cell r="C26">
            <v>21</v>
          </cell>
          <cell r="D26" t="str">
            <v>Funcionamiento SGR</v>
          </cell>
          <cell r="E26" t="str">
            <v>Entidades que emiten CTUS</v>
          </cell>
          <cell r="F26" t="str">
            <v>Unidad Nacional para la Gestión del Riesgo de Desastres</v>
          </cell>
          <cell r="G26">
            <v>471980337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94135991.159999996</v>
          </cell>
          <cell r="M26">
            <v>15489975.74</v>
          </cell>
          <cell r="N26">
            <v>16917689.350000001</v>
          </cell>
          <cell r="O26">
            <v>13921030.779999999</v>
          </cell>
          <cell r="P26">
            <v>16097394.689999999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156562081.72</v>
          </cell>
          <cell r="AG26">
            <v>0.33171314448211853</v>
          </cell>
          <cell r="AI26">
            <v>22647812.5</v>
          </cell>
          <cell r="AJ26">
            <v>16676177.4</v>
          </cell>
          <cell r="AK26">
            <v>17179546.48</v>
          </cell>
          <cell r="AL26">
            <v>20657267.48</v>
          </cell>
          <cell r="AM26">
            <v>17960727.34</v>
          </cell>
          <cell r="AN26">
            <v>15970182.300000001</v>
          </cell>
          <cell r="AO26">
            <v>21866631.649999999</v>
          </cell>
          <cell r="AP26">
            <v>21085450.800000001</v>
          </cell>
          <cell r="AQ26">
            <v>15970182.300000001</v>
          </cell>
          <cell r="AR26">
            <v>22647812.510000002</v>
          </cell>
          <cell r="AS26">
            <v>21438448.34</v>
          </cell>
          <cell r="AT26">
            <v>20304269.93</v>
          </cell>
          <cell r="AU26">
            <v>21309962.280000001</v>
          </cell>
          <cell r="AV26">
            <v>16969180.879999999</v>
          </cell>
          <cell r="AW26">
            <v>16801395.670000002</v>
          </cell>
          <cell r="AX26">
            <v>22367794.390000001</v>
          </cell>
          <cell r="AY26">
            <v>19055678.98</v>
          </cell>
          <cell r="AZ26">
            <v>17859227.77</v>
          </cell>
          <cell r="BA26">
            <v>22061390.059999999</v>
          </cell>
          <cell r="BB26">
            <v>21309962.289999999</v>
          </cell>
          <cell r="BC26">
            <v>16356372.23</v>
          </cell>
          <cell r="BD26">
            <v>22812817.829999998</v>
          </cell>
          <cell r="BE26">
            <v>20864938.850000001</v>
          </cell>
          <cell r="BF26">
            <v>19807106.75</v>
          </cell>
          <cell r="BG26">
            <v>471980337.01000011</v>
          </cell>
          <cell r="BH26">
            <v>1.0000000000211875</v>
          </cell>
        </row>
        <row r="27">
          <cell r="A27" t="str">
            <v>FU057</v>
          </cell>
          <cell r="D27" t="str">
            <v>Funcionamiento SGR</v>
          </cell>
          <cell r="E27" t="str">
            <v>Entidades que emiten CTUS</v>
          </cell>
          <cell r="F27" t="str">
            <v>Min. Justicia y del Derecho</v>
          </cell>
          <cell r="G27">
            <v>760795862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151739949.56999999</v>
          </cell>
          <cell r="M27">
            <v>24968644.920000002</v>
          </cell>
          <cell r="N27">
            <v>27270009.02</v>
          </cell>
          <cell r="O27">
            <v>22439626.780000001</v>
          </cell>
          <cell r="P27">
            <v>25947757.370000001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252365987.66000003</v>
          </cell>
          <cell r="AG27">
            <v>0.33171314443873778</v>
          </cell>
          <cell r="AI27">
            <v>36506525.119999997</v>
          </cell>
          <cell r="AJ27">
            <v>26880710.41</v>
          </cell>
          <cell r="AK27">
            <v>27692102.510000002</v>
          </cell>
          <cell r="AL27">
            <v>33297920.25</v>
          </cell>
          <cell r="AM27">
            <v>28951305.739999998</v>
          </cell>
          <cell r="AN27">
            <v>25742700.829999998</v>
          </cell>
          <cell r="AO27">
            <v>35247321.920000002</v>
          </cell>
          <cell r="AP27">
            <v>33988118.689999998</v>
          </cell>
          <cell r="AQ27">
            <v>25742700.829999998</v>
          </cell>
          <cell r="AR27">
            <v>36506525.149999999</v>
          </cell>
          <cell r="AS27">
            <v>34557123.479999997</v>
          </cell>
          <cell r="AT27">
            <v>32728915.449999999</v>
          </cell>
          <cell r="AU27">
            <v>34350013.859999999</v>
          </cell>
          <cell r="AV27">
            <v>27353009.399999999</v>
          </cell>
          <cell r="AW27">
            <v>27082552.600000001</v>
          </cell>
          <cell r="AX27">
            <v>36055157.549999997</v>
          </cell>
          <cell r="AY27">
            <v>30716283.239999998</v>
          </cell>
          <cell r="AZ27">
            <v>28787696.260000002</v>
          </cell>
          <cell r="BA27">
            <v>35561257.43</v>
          </cell>
          <cell r="BB27">
            <v>34350013.890000001</v>
          </cell>
          <cell r="BC27">
            <v>26365209.170000002</v>
          </cell>
          <cell r="BD27">
            <v>36772500.979999997</v>
          </cell>
          <cell r="BE27">
            <v>33632670.460000001</v>
          </cell>
          <cell r="BF27">
            <v>31927526.780000001</v>
          </cell>
          <cell r="BG27">
            <v>760795862</v>
          </cell>
          <cell r="BH27">
            <v>1</v>
          </cell>
        </row>
        <row r="28">
          <cell r="A28" t="str">
            <v>FU059</v>
          </cell>
          <cell r="D28" t="str">
            <v>Funcionamiento SGR</v>
          </cell>
          <cell r="E28" t="str">
            <v>Entidades que emiten CTUS</v>
          </cell>
          <cell r="F28" t="str">
            <v>Min. Tecnologías de la Información y las Comunicaciones</v>
          </cell>
          <cell r="G28">
            <v>1553336948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309811451.31</v>
          </cell>
          <cell r="M28">
            <v>50979139.920000002</v>
          </cell>
          <cell r="N28">
            <v>55677895.619999997</v>
          </cell>
          <cell r="O28">
            <v>45815576.979999997</v>
          </cell>
          <cell r="P28">
            <v>52978219.590000004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515262283.42000008</v>
          </cell>
          <cell r="AG28">
            <v>0.33171314445550681</v>
          </cell>
          <cell r="AI28">
            <v>74536333.790000007</v>
          </cell>
          <cell r="AJ28">
            <v>54883054.390000001</v>
          </cell>
          <cell r="AK28">
            <v>56539695</v>
          </cell>
          <cell r="AL28">
            <v>67985240.709999993</v>
          </cell>
          <cell r="AM28">
            <v>59110643.399999999</v>
          </cell>
          <cell r="AN28">
            <v>52559550.25</v>
          </cell>
          <cell r="AO28">
            <v>71965385.450000003</v>
          </cell>
          <cell r="AP28">
            <v>69394437.049999997</v>
          </cell>
          <cell r="AQ28">
            <v>52559550.25</v>
          </cell>
          <cell r="AR28">
            <v>74536333.849999994</v>
          </cell>
          <cell r="AS28">
            <v>70556189.109999999</v>
          </cell>
          <cell r="AT28">
            <v>66823488.630000003</v>
          </cell>
          <cell r="AU28">
            <v>70133327.959999993</v>
          </cell>
          <cell r="AV28">
            <v>55847359.659999996</v>
          </cell>
          <cell r="AW28">
            <v>55295160.890000001</v>
          </cell>
          <cell r="AX28">
            <v>73614764.730000004</v>
          </cell>
          <cell r="AY28">
            <v>62714244.450000003</v>
          </cell>
          <cell r="AZ28">
            <v>58776597.619999997</v>
          </cell>
          <cell r="BA28">
            <v>72606355.859999999</v>
          </cell>
          <cell r="BB28">
            <v>70133328.019999996</v>
          </cell>
          <cell r="BC28">
            <v>53830541.909999996</v>
          </cell>
          <cell r="BD28">
            <v>75079383.709999993</v>
          </cell>
          <cell r="BE28">
            <v>68668709.040000007</v>
          </cell>
          <cell r="BF28">
            <v>65187272.280000001</v>
          </cell>
          <cell r="BG28">
            <v>1553336948.0099998</v>
          </cell>
          <cell r="BH28">
            <v>1.0000000000064375</v>
          </cell>
        </row>
        <row r="29">
          <cell r="A29" t="str">
            <v>FU061</v>
          </cell>
          <cell r="D29" t="str">
            <v>Funcionamiento SGR</v>
          </cell>
          <cell r="E29" t="str">
            <v>Entidades que emiten CTUS</v>
          </cell>
          <cell r="F29" t="str">
            <v>Dpto. Prosperidad Social</v>
          </cell>
          <cell r="G29">
            <v>293349300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58508215.159999996</v>
          </cell>
          <cell r="M29">
            <v>9627463.6500000004</v>
          </cell>
          <cell r="N29">
            <v>10514828.560000001</v>
          </cell>
          <cell r="O29">
            <v>8652319.4199999999</v>
          </cell>
          <cell r="P29">
            <v>10004991.93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97307818.719999999</v>
          </cell>
          <cell r="AG29">
            <v>0.33171314443225192</v>
          </cell>
          <cell r="AI29">
            <v>14076264.25</v>
          </cell>
          <cell r="AJ29">
            <v>10364721.970000001</v>
          </cell>
          <cell r="AK29">
            <v>10677580.27</v>
          </cell>
          <cell r="AL29">
            <v>12839083.5</v>
          </cell>
          <cell r="AM29">
            <v>11163106.550000001</v>
          </cell>
          <cell r="AN29">
            <v>9925925.7899999991</v>
          </cell>
          <cell r="AO29">
            <v>13590737.970000001</v>
          </cell>
          <cell r="AP29">
            <v>13105211.689999999</v>
          </cell>
          <cell r="AQ29">
            <v>9925925.7899999991</v>
          </cell>
          <cell r="AR29">
            <v>14076264.26</v>
          </cell>
          <cell r="AS29">
            <v>13324609.779999999</v>
          </cell>
          <cell r="AT29">
            <v>12619685.41</v>
          </cell>
          <cell r="AU29">
            <v>13244752.01</v>
          </cell>
          <cell r="AV29">
            <v>10546832.02</v>
          </cell>
          <cell r="AW29">
            <v>10442548.710000001</v>
          </cell>
          <cell r="AX29">
            <v>13902224.970000001</v>
          </cell>
          <cell r="AY29">
            <v>11843650.359999999</v>
          </cell>
          <cell r="AZ29">
            <v>11100021.66</v>
          </cell>
          <cell r="BA29">
            <v>13711785.9</v>
          </cell>
          <cell r="BB29">
            <v>13244752.02</v>
          </cell>
          <cell r="BC29">
            <v>10165953.890000001</v>
          </cell>
          <cell r="BD29">
            <v>14178819.789999999</v>
          </cell>
          <cell r="BE29">
            <v>12968157.199999999</v>
          </cell>
          <cell r="BF29">
            <v>12310684.25</v>
          </cell>
          <cell r="BG29">
            <v>293349300.01000005</v>
          </cell>
          <cell r="BH29">
            <v>1.0000000000340892</v>
          </cell>
        </row>
        <row r="30">
          <cell r="A30" t="str">
            <v>FU002</v>
          </cell>
          <cell r="C30">
            <v>22</v>
          </cell>
          <cell r="D30" t="str">
            <v>Funcionamiento SGR</v>
          </cell>
          <cell r="E30" t="str">
            <v>Otras entidades y conceptos</v>
          </cell>
          <cell r="F30" t="str">
            <v>Departamento Nacional de Planeación - SIEC</v>
          </cell>
          <cell r="G30">
            <v>34382973996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6857648681.7299995</v>
          </cell>
          <cell r="M30">
            <v>1128418688.8199999</v>
          </cell>
          <cell r="N30">
            <v>1232425224.6800001</v>
          </cell>
          <cell r="O30">
            <v>1014123686.28</v>
          </cell>
          <cell r="P30">
            <v>1172668138.04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11405284419.549999</v>
          </cell>
          <cell r="AG30">
            <v>0.33171314444401617</v>
          </cell>
          <cell r="AI30">
            <v>1649855061.95</v>
          </cell>
          <cell r="AJ30">
            <v>1214831485.4000001</v>
          </cell>
          <cell r="AK30">
            <v>1251501076.72</v>
          </cell>
          <cell r="AL30">
            <v>1504847204.3199999</v>
          </cell>
          <cell r="AM30">
            <v>1308408788.9300001</v>
          </cell>
          <cell r="AN30">
            <v>1163400929.6800001</v>
          </cell>
          <cell r="AO30">
            <v>1592947350.95</v>
          </cell>
          <cell r="AP30">
            <v>1536039638.8699999</v>
          </cell>
          <cell r="AQ30">
            <v>1163400929.6800001</v>
          </cell>
          <cell r="AR30">
            <v>1649855063.1700001</v>
          </cell>
          <cell r="AS30">
            <v>1561754916.4000001</v>
          </cell>
          <cell r="AT30">
            <v>1479131926.25</v>
          </cell>
          <cell r="AU30">
            <v>1552394922.73</v>
          </cell>
          <cell r="AV30">
            <v>1236176296.1199999</v>
          </cell>
          <cell r="AW30">
            <v>1223953425.8900001</v>
          </cell>
          <cell r="AX30">
            <v>1629456213.3900001</v>
          </cell>
          <cell r="AY30">
            <v>1388174174.78</v>
          </cell>
          <cell r="AZ30">
            <v>1301014715.47</v>
          </cell>
          <cell r="BA30">
            <v>1607135173.4300001</v>
          </cell>
          <cell r="BB30">
            <v>1552394924.0699999</v>
          </cell>
          <cell r="BC30">
            <v>1191534216.21</v>
          </cell>
          <cell r="BD30">
            <v>1661875423.0599999</v>
          </cell>
          <cell r="BE30">
            <v>1519975714.4000001</v>
          </cell>
          <cell r="BF30">
            <v>1442914424.1400001</v>
          </cell>
          <cell r="BG30">
            <v>34382973996.010002</v>
          </cell>
          <cell r="BH30">
            <v>1.0000000000002909</v>
          </cell>
        </row>
        <row r="31">
          <cell r="A31" t="str">
            <v>FU047</v>
          </cell>
          <cell r="C31">
            <v>23</v>
          </cell>
          <cell r="D31" t="str">
            <v>Funcionamiento SGR</v>
          </cell>
          <cell r="E31" t="str">
            <v>Otras entidades y conceptos</v>
          </cell>
          <cell r="F31" t="str">
            <v>Departamento Nacional de Planeación - Estructuración de proyectos</v>
          </cell>
          <cell r="G31">
            <v>5660037019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1128888542.52</v>
          </cell>
          <cell r="M31">
            <v>185757391.21000001</v>
          </cell>
          <cell r="N31">
            <v>202878680.47</v>
          </cell>
          <cell r="O31">
            <v>166942440.96000001</v>
          </cell>
          <cell r="P31">
            <v>193041622.09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1877508677.25</v>
          </cell>
          <cell r="AG31">
            <v>0.33171314444542505</v>
          </cell>
          <cell r="AI31">
            <v>271594909.95999998</v>
          </cell>
          <cell r="AJ31">
            <v>199982444.22</v>
          </cell>
          <cell r="AK31">
            <v>206018898.31999999</v>
          </cell>
          <cell r="AL31">
            <v>247724088.25</v>
          </cell>
          <cell r="AM31">
            <v>215386899.99000001</v>
          </cell>
          <cell r="AN31">
            <v>191516078.00999999</v>
          </cell>
          <cell r="AO31">
            <v>262226908.49000001</v>
          </cell>
          <cell r="AP31">
            <v>252858906.84</v>
          </cell>
          <cell r="AQ31">
            <v>191516078.00999999</v>
          </cell>
          <cell r="AR31">
            <v>271594910.16000003</v>
          </cell>
          <cell r="AS31">
            <v>257092089.88999999</v>
          </cell>
          <cell r="AT31">
            <v>243490905.11000001</v>
          </cell>
          <cell r="AU31">
            <v>255551271.74000001</v>
          </cell>
          <cell r="AV31">
            <v>203496172.22999999</v>
          </cell>
          <cell r="AW31">
            <v>201484074.66999999</v>
          </cell>
          <cell r="AX31">
            <v>268236903.81</v>
          </cell>
          <cell r="AY31">
            <v>228517673.28</v>
          </cell>
          <cell r="AZ31">
            <v>214169706.56999999</v>
          </cell>
          <cell r="BA31">
            <v>264562471.44999999</v>
          </cell>
          <cell r="BB31">
            <v>255551271.96000001</v>
          </cell>
          <cell r="BC31">
            <v>196147307.5</v>
          </cell>
          <cell r="BD31">
            <v>273573670.99000001</v>
          </cell>
          <cell r="BE31">
            <v>250214504.78999999</v>
          </cell>
          <cell r="BF31">
            <v>237528872.77000001</v>
          </cell>
          <cell r="BG31">
            <v>5660037019.0100002</v>
          </cell>
          <cell r="BH31">
            <v>1.0000000000017668</v>
          </cell>
        </row>
        <row r="32">
          <cell r="A32" t="str">
            <v>FU029</v>
          </cell>
          <cell r="C32">
            <v>24</v>
          </cell>
          <cell r="D32" t="str">
            <v>Funcionamiento SGR</v>
          </cell>
          <cell r="E32" t="str">
            <v>Otras entidades y conceptos</v>
          </cell>
          <cell r="F32" t="str">
            <v>Agencia Nacional de Licencias Ambientales - Licenciamiento Ambiental</v>
          </cell>
          <cell r="G32">
            <v>30683257639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6119744072.2699995</v>
          </cell>
          <cell r="M32">
            <v>1006997281.79</v>
          </cell>
          <cell r="N32">
            <v>1099812386.6199999</v>
          </cell>
          <cell r="O32">
            <v>905000781.71000004</v>
          </cell>
          <cell r="P32">
            <v>1046485350.8200001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10178039873.209999</v>
          </cell>
          <cell r="AG32">
            <v>0.33171314444373684</v>
          </cell>
          <cell r="AI32">
            <v>1472325457.9100001</v>
          </cell>
          <cell r="AJ32">
            <v>1084111789.1300001</v>
          </cell>
          <cell r="AK32">
            <v>1116835616.8599999</v>
          </cell>
          <cell r="AL32">
            <v>1342920902.73</v>
          </cell>
          <cell r="AM32">
            <v>1167619879.9000001</v>
          </cell>
          <cell r="AN32">
            <v>1038215323.29</v>
          </cell>
          <cell r="AO32">
            <v>1421541195.95</v>
          </cell>
          <cell r="AP32">
            <v>1370756933.03</v>
          </cell>
          <cell r="AQ32">
            <v>1038215323.29</v>
          </cell>
          <cell r="AR32">
            <v>1472325458.99</v>
          </cell>
          <cell r="AS32">
            <v>1393705165.6500001</v>
          </cell>
          <cell r="AT32">
            <v>1319972669.6300001</v>
          </cell>
          <cell r="AU32">
            <v>1385352336.8</v>
          </cell>
          <cell r="AV32">
            <v>1103159830.95</v>
          </cell>
          <cell r="AW32">
            <v>1092252180.0699999</v>
          </cell>
          <cell r="AX32">
            <v>1454121589.74</v>
          </cell>
          <cell r="AY32">
            <v>1238802258.8599999</v>
          </cell>
          <cell r="AZ32">
            <v>1161021432.05</v>
          </cell>
          <cell r="BA32">
            <v>1434202364.02</v>
          </cell>
          <cell r="BB32">
            <v>1385352338</v>
          </cell>
          <cell r="BC32">
            <v>1063321379.53</v>
          </cell>
          <cell r="BD32">
            <v>1483052390.28</v>
          </cell>
          <cell r="BE32">
            <v>1356421537.45</v>
          </cell>
          <cell r="BF32">
            <v>1287652284.8800001</v>
          </cell>
          <cell r="BG32">
            <v>30683257638.990002</v>
          </cell>
          <cell r="BH32">
            <v>0.99999999999967415</v>
          </cell>
        </row>
        <row r="33">
          <cell r="A33" t="str">
            <v>FU028</v>
          </cell>
          <cell r="D33" t="str">
            <v>Funcionamiento SGR</v>
          </cell>
          <cell r="E33" t="str">
            <v>Otras entidades y conceptos</v>
          </cell>
          <cell r="F33" t="str">
            <v>Procuraduría General de la Nación - Funcionamiento</v>
          </cell>
          <cell r="G33">
            <v>22455738389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4478773848.3199997</v>
          </cell>
          <cell r="M33">
            <v>736977402.61000001</v>
          </cell>
          <cell r="N33">
            <v>804904730.83000004</v>
          </cell>
          <cell r="O33">
            <v>662330611.53999996</v>
          </cell>
          <cell r="P33">
            <v>765876998.53999996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7448863591.8399992</v>
          </cell>
          <cell r="AG33">
            <v>0.33171314444457739</v>
          </cell>
          <cell r="AI33">
            <v>1077530805.0799999</v>
          </cell>
          <cell r="AJ33">
            <v>793414148.12</v>
          </cell>
          <cell r="AK33">
            <v>817363290.78999996</v>
          </cell>
          <cell r="AL33">
            <v>982825253.54999995</v>
          </cell>
          <cell r="AM33">
            <v>854530078.57000005</v>
          </cell>
          <cell r="AN33">
            <v>759824525.98000002</v>
          </cell>
          <cell r="AO33">
            <v>1040364018.09</v>
          </cell>
          <cell r="AP33">
            <v>1003197230.4</v>
          </cell>
          <cell r="AQ33">
            <v>759824525.98000002</v>
          </cell>
          <cell r="AR33">
            <v>1077530805.8699999</v>
          </cell>
          <cell r="AS33">
            <v>1019992041.25</v>
          </cell>
          <cell r="AT33">
            <v>966030442.35000002</v>
          </cell>
          <cell r="AU33">
            <v>1013878970.02</v>
          </cell>
          <cell r="AV33">
            <v>807354579.38</v>
          </cell>
          <cell r="AW33">
            <v>799371745.30999994</v>
          </cell>
          <cell r="AX33">
            <v>1064208187.71</v>
          </cell>
          <cell r="AY33">
            <v>906625357.97000003</v>
          </cell>
          <cell r="AZ33">
            <v>849700962.28999996</v>
          </cell>
          <cell r="BA33">
            <v>1049630174.9400001</v>
          </cell>
          <cell r="BB33">
            <v>1013878970.9</v>
          </cell>
          <cell r="BC33">
            <v>778198553.85000002</v>
          </cell>
          <cell r="BD33">
            <v>1085381379.1600001</v>
          </cell>
          <cell r="BE33">
            <v>992705779.44000006</v>
          </cell>
          <cell r="BF33">
            <v>942376562.00999999</v>
          </cell>
          <cell r="BG33">
            <v>22455738389.009995</v>
          </cell>
          <cell r="BH33">
            <v>1.000000000000445</v>
          </cell>
        </row>
        <row r="34">
          <cell r="A34" t="str">
            <v>FU043</v>
          </cell>
          <cell r="C34">
            <v>26</v>
          </cell>
          <cell r="D34" t="str">
            <v>Funcionamiento SGR</v>
          </cell>
          <cell r="E34" t="str">
            <v>Otras entidades y conceptos</v>
          </cell>
          <cell r="F34" t="str">
            <v>Recursos por distribuir - Funcionamiento</v>
          </cell>
          <cell r="G34">
            <v>9160798033</v>
          </cell>
          <cell r="H34">
            <v>12259028389.959999</v>
          </cell>
          <cell r="I34">
            <v>7815637639.4899998</v>
          </cell>
          <cell r="J34">
            <v>10407908773.799999</v>
          </cell>
          <cell r="K34">
            <v>9533725664.7600002</v>
          </cell>
          <cell r="L34">
            <v>-38189188753.909996</v>
          </cell>
          <cell r="M34">
            <v>300649260.47000003</v>
          </cell>
          <cell r="N34">
            <v>328360152.19</v>
          </cell>
          <cell r="O34">
            <v>270197170.01999998</v>
          </cell>
          <cell r="P34">
            <v>312438824.32999998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3038757121.1099982</v>
          </cell>
          <cell r="AG34">
            <v>0.33171314444041494</v>
          </cell>
          <cell r="AI34">
            <v>439577710.99000001</v>
          </cell>
          <cell r="AJ34">
            <v>323672579.43000001</v>
          </cell>
          <cell r="AK34">
            <v>333442610.38</v>
          </cell>
          <cell r="AL34">
            <v>400942667.45999998</v>
          </cell>
          <cell r="AM34">
            <v>348604767.62</v>
          </cell>
          <cell r="AN34">
            <v>309969723.66000003</v>
          </cell>
          <cell r="AO34">
            <v>424415554.07999998</v>
          </cell>
          <cell r="AP34">
            <v>409253396.87</v>
          </cell>
          <cell r="AQ34">
            <v>309969723.66000003</v>
          </cell>
          <cell r="AR34">
            <v>439577711.31999999</v>
          </cell>
          <cell r="AS34">
            <v>416104824.67000002</v>
          </cell>
          <cell r="AT34">
            <v>394091239.51999998</v>
          </cell>
          <cell r="AU34">
            <v>413611002.81999999</v>
          </cell>
          <cell r="AV34">
            <v>329359565.67000002</v>
          </cell>
          <cell r="AW34">
            <v>326102975.77999997</v>
          </cell>
          <cell r="AX34">
            <v>434142761.36000001</v>
          </cell>
          <cell r="AY34">
            <v>369856989.43000001</v>
          </cell>
          <cell r="AZ34">
            <v>346634734.02999997</v>
          </cell>
          <cell r="BA34">
            <v>428195674.32999998</v>
          </cell>
          <cell r="BB34">
            <v>413611003.18000001</v>
          </cell>
          <cell r="BC34">
            <v>317465391.60000002</v>
          </cell>
          <cell r="BD34">
            <v>442780345.54000002</v>
          </cell>
          <cell r="BE34">
            <v>404973419</v>
          </cell>
          <cell r="BF34">
            <v>384441660.56999999</v>
          </cell>
          <cell r="BG34">
            <v>9160798032.9699993</v>
          </cell>
          <cell r="BH34">
            <v>0.99999999999672506</v>
          </cell>
        </row>
        <row r="35">
          <cell r="A35" t="str">
            <v>ET1</v>
          </cell>
          <cell r="D35" t="str">
            <v>Funcionamiento SGR</v>
          </cell>
          <cell r="E35" t="str">
            <v>Fortalecimiento entidades territoriales</v>
          </cell>
          <cell r="F35" t="str">
            <v>Municipios</v>
          </cell>
          <cell r="G35">
            <v>10214464971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2037264497.5700002</v>
          </cell>
          <cell r="M35">
            <v>335229674.17000002</v>
          </cell>
          <cell r="N35">
            <v>366127848.29000002</v>
          </cell>
          <cell r="O35">
            <v>301275011.17999989</v>
          </cell>
          <cell r="P35">
            <v>348375263.18000025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3388272294.3900003</v>
          </cell>
          <cell r="AG35">
            <v>0.33171314444855227</v>
          </cell>
          <cell r="AI35">
            <v>490137552.94999999</v>
          </cell>
          <cell r="AJ35">
            <v>360901115.02999997</v>
          </cell>
          <cell r="AK35">
            <v>371794886.35000002</v>
          </cell>
          <cell r="AL35">
            <v>447058740.67000002</v>
          </cell>
          <cell r="AM35">
            <v>388700981.58999997</v>
          </cell>
          <cell r="AN35">
            <v>345622168.82999998</v>
          </cell>
          <cell r="AO35">
            <v>473231458.06999999</v>
          </cell>
          <cell r="AP35">
            <v>456325362.87</v>
          </cell>
          <cell r="AQ35">
            <v>345622168.82999998</v>
          </cell>
          <cell r="AR35">
            <v>490137553.31</v>
          </cell>
          <cell r="AS35">
            <v>463964835.87</v>
          </cell>
          <cell r="AT35">
            <v>439419267.50999999</v>
          </cell>
          <cell r="AU35">
            <v>461184176.82999998</v>
          </cell>
          <cell r="AV35">
            <v>367242213.43000001</v>
          </cell>
          <cell r="AW35">
            <v>363611053.43000001</v>
          </cell>
          <cell r="AX35">
            <v>484077480.19</v>
          </cell>
          <cell r="AY35">
            <v>412397615.26999998</v>
          </cell>
          <cell r="AZ35">
            <v>386504356.47000003</v>
          </cell>
          <cell r="BA35">
            <v>477446364.43000001</v>
          </cell>
          <cell r="BB35">
            <v>461184177.23000002</v>
          </cell>
          <cell r="BC35">
            <v>353979981.91000003</v>
          </cell>
          <cell r="BD35">
            <v>493708551.70999998</v>
          </cell>
          <cell r="BE35">
            <v>451553105.70999998</v>
          </cell>
          <cell r="BF35">
            <v>428659802.47000003</v>
          </cell>
          <cell r="BG35">
            <v>10214464970.959999</v>
          </cell>
          <cell r="BH35">
            <v>0.99999999999608391</v>
          </cell>
        </row>
        <row r="36">
          <cell r="A36" t="str">
            <v>ET2</v>
          </cell>
          <cell r="D36" t="str">
            <v>Funcionamiento SGR</v>
          </cell>
          <cell r="E36" t="str">
            <v>Fortalecimiento entidades territoriales</v>
          </cell>
          <cell r="F36" t="str">
            <v>Departamentos</v>
          </cell>
          <cell r="G36">
            <v>10214464971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2037264497.5700002</v>
          </cell>
          <cell r="M36">
            <v>335229674.17000002</v>
          </cell>
          <cell r="N36">
            <v>366127848.29000002</v>
          </cell>
          <cell r="O36">
            <v>301275010.89000016</v>
          </cell>
          <cell r="P36">
            <v>348375263.41000015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3388272294.3300009</v>
          </cell>
          <cell r="AG36">
            <v>0.3317131444426783</v>
          </cell>
          <cell r="AI36">
            <v>490137552.94999999</v>
          </cell>
          <cell r="AJ36">
            <v>360901115.02999997</v>
          </cell>
          <cell r="AK36">
            <v>371794886.35000002</v>
          </cell>
          <cell r="AL36">
            <v>447058740.67000002</v>
          </cell>
          <cell r="AM36">
            <v>388700981.58999997</v>
          </cell>
          <cell r="AN36">
            <v>345622168.82999998</v>
          </cell>
          <cell r="AO36">
            <v>473231458.06999999</v>
          </cell>
          <cell r="AP36">
            <v>456325362.87</v>
          </cell>
          <cell r="AQ36">
            <v>345622168.82999998</v>
          </cell>
          <cell r="AR36">
            <v>490137553.31</v>
          </cell>
          <cell r="AS36">
            <v>463964835.87</v>
          </cell>
          <cell r="AT36">
            <v>439419267.50999999</v>
          </cell>
          <cell r="AU36">
            <v>461184176.82999998</v>
          </cell>
          <cell r="AV36">
            <v>367242213.43000001</v>
          </cell>
          <cell r="AW36">
            <v>363611053.43000001</v>
          </cell>
          <cell r="AX36">
            <v>484077480.19</v>
          </cell>
          <cell r="AY36">
            <v>412397615.26999998</v>
          </cell>
          <cell r="AZ36">
            <v>386504356.47000003</v>
          </cell>
          <cell r="BA36">
            <v>477446364.43000001</v>
          </cell>
          <cell r="BB36">
            <v>461184177.23000002</v>
          </cell>
          <cell r="BC36">
            <v>353979981.91000003</v>
          </cell>
          <cell r="BD36">
            <v>493708551.70999998</v>
          </cell>
          <cell r="BE36">
            <v>451553105.70999998</v>
          </cell>
          <cell r="BF36">
            <v>428659802.47000003</v>
          </cell>
          <cell r="BG36">
            <v>10214464970.959999</v>
          </cell>
          <cell r="BH36">
            <v>0.99999999999608391</v>
          </cell>
        </row>
        <row r="37">
          <cell r="A37" t="str">
            <v>MO001</v>
          </cell>
          <cell r="C37">
            <v>27</v>
          </cell>
          <cell r="D37" t="str">
            <v>SSEC</v>
          </cell>
          <cell r="E37" t="str">
            <v>Sistema de seguimiento evaluacion y control</v>
          </cell>
          <cell r="F37" t="str">
            <v>Departamento Nacional de Planeación - SSEC</v>
          </cell>
          <cell r="G37">
            <v>102144649712</v>
          </cell>
          <cell r="H37">
            <v>4903611356</v>
          </cell>
          <cell r="I37">
            <v>3126255055.8099999</v>
          </cell>
          <cell r="J37">
            <v>4163163509.54</v>
          </cell>
          <cell r="K37">
            <v>3813490265.9200001</v>
          </cell>
          <cell r="L37">
            <v>4366124788.9200001</v>
          </cell>
          <cell r="M37">
            <v>3352296741.7600002</v>
          </cell>
          <cell r="N37">
            <v>3661278482.9699998</v>
          </cell>
          <cell r="O37">
            <v>3012750110.3499999</v>
          </cell>
          <cell r="P37">
            <v>3483752633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33882722944.269997</v>
          </cell>
          <cell r="AG37">
            <v>0.33171314444567956</v>
          </cell>
          <cell r="AI37">
            <v>4901375529.6199999</v>
          </cell>
          <cell r="AJ37">
            <v>3609011150.4099998</v>
          </cell>
          <cell r="AK37">
            <v>3717948863.6100001</v>
          </cell>
          <cell r="AL37">
            <v>4470587406.8199997</v>
          </cell>
          <cell r="AM37">
            <v>3887009816.02</v>
          </cell>
          <cell r="AN37">
            <v>3456221688.4099998</v>
          </cell>
          <cell r="AO37">
            <v>4732314580.8199997</v>
          </cell>
          <cell r="AP37">
            <v>4563253628.8199997</v>
          </cell>
          <cell r="AQ37">
            <v>3456221688.4099998</v>
          </cell>
          <cell r="AR37">
            <v>4901375533.2200003</v>
          </cell>
          <cell r="AS37">
            <v>4639648358.8199997</v>
          </cell>
          <cell r="AT37">
            <v>4394192675.2200003</v>
          </cell>
          <cell r="AU37">
            <v>4611841768.4200001</v>
          </cell>
          <cell r="AV37">
            <v>3672422134.4099998</v>
          </cell>
          <cell r="AW37">
            <v>3636110534.4099998</v>
          </cell>
          <cell r="AX37">
            <v>4840774802.0200005</v>
          </cell>
          <cell r="AY37">
            <v>4123976152.8200002</v>
          </cell>
          <cell r="AZ37">
            <v>3865043564.8200002</v>
          </cell>
          <cell r="BA37">
            <v>4774463644.4200001</v>
          </cell>
          <cell r="BB37">
            <v>4611841772.4200001</v>
          </cell>
          <cell r="BC37">
            <v>3539799819.21</v>
          </cell>
          <cell r="BD37">
            <v>4937085517.2200003</v>
          </cell>
          <cell r="BE37">
            <v>4515531057.2200003</v>
          </cell>
          <cell r="BF37">
            <v>4286598024.8200002</v>
          </cell>
          <cell r="BG37">
            <v>102144649712.41003</v>
          </cell>
          <cell r="BH37">
            <v>1.0000000000040143</v>
          </cell>
        </row>
        <row r="38">
          <cell r="A38" t="str">
            <v>MO002</v>
          </cell>
          <cell r="C38">
            <v>28</v>
          </cell>
          <cell r="D38" t="str">
            <v>SSEC</v>
          </cell>
          <cell r="E38" t="str">
            <v>Vigilancia y control fiscal</v>
          </cell>
          <cell r="F38" t="str">
            <v>Contraloría General de la Republica - SSEC</v>
          </cell>
          <cell r="G38">
            <v>127680812139</v>
          </cell>
          <cell r="H38">
            <v>6129514194.9499998</v>
          </cell>
          <cell r="I38">
            <v>3907818819.73</v>
          </cell>
          <cell r="J38">
            <v>5203954386.8800001</v>
          </cell>
          <cell r="K38">
            <v>4766862832.3599997</v>
          </cell>
          <cell r="L38">
            <v>5457655986.1000004</v>
          </cell>
          <cell r="M38">
            <v>4190370927.1700001</v>
          </cell>
          <cell r="N38">
            <v>4576598103.6800003</v>
          </cell>
          <cell r="O38">
            <v>3765937637.9099998</v>
          </cell>
          <cell r="P38">
            <v>4354690791.21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42353403679.989998</v>
          </cell>
          <cell r="AG38">
            <v>0.33171314444555594</v>
          </cell>
          <cell r="AI38">
            <v>6126719411.9799995</v>
          </cell>
          <cell r="AJ38">
            <v>4511263937.9799995</v>
          </cell>
          <cell r="AK38">
            <v>4647436079.4799995</v>
          </cell>
          <cell r="AL38">
            <v>5588234258.4799995</v>
          </cell>
          <cell r="AM38">
            <v>4858762269.9799995</v>
          </cell>
          <cell r="AN38">
            <v>4320277110.4799995</v>
          </cell>
          <cell r="AO38">
            <v>5915393225.9799995</v>
          </cell>
          <cell r="AP38">
            <v>5704067035.9799995</v>
          </cell>
          <cell r="AQ38">
            <v>4320277110.4799995</v>
          </cell>
          <cell r="AR38">
            <v>6126719416.4799995</v>
          </cell>
          <cell r="AS38">
            <v>5799560448.4799995</v>
          </cell>
          <cell r="AT38">
            <v>5492740843.9799995</v>
          </cell>
          <cell r="AU38">
            <v>5764802210.4799995</v>
          </cell>
          <cell r="AV38">
            <v>4590527667.9799995</v>
          </cell>
          <cell r="AW38">
            <v>4545138167.9799995</v>
          </cell>
          <cell r="AX38">
            <v>6050968502.4799995</v>
          </cell>
          <cell r="AY38">
            <v>5154970190.9799995</v>
          </cell>
          <cell r="AZ38">
            <v>4831304455.9799995</v>
          </cell>
          <cell r="BA38">
            <v>5968079555.4799995</v>
          </cell>
          <cell r="BB38">
            <v>5764802215.4799995</v>
          </cell>
          <cell r="BC38">
            <v>4424749773.9799995</v>
          </cell>
          <cell r="BD38">
            <v>6171356896.4799995</v>
          </cell>
          <cell r="BE38">
            <v>5644413821.4799995</v>
          </cell>
          <cell r="BF38">
            <v>5358247530.9799995</v>
          </cell>
          <cell r="BG38">
            <v>127680812139.51993</v>
          </cell>
          <cell r="BH38">
            <v>1.0000000000040721</v>
          </cell>
        </row>
        <row r="39">
          <cell r="A39" t="str">
            <v>MO003</v>
          </cell>
          <cell r="C39">
            <v>29</v>
          </cell>
          <cell r="D39" t="str">
            <v>SSEC</v>
          </cell>
          <cell r="E39" t="str">
            <v>Vigilancia y control disciplinario</v>
          </cell>
          <cell r="F39" t="str">
            <v>Procuraduría General de la Nación - SSEC</v>
          </cell>
          <cell r="G39">
            <v>25536162428</v>
          </cell>
          <cell r="H39">
            <v>1225902839.01</v>
          </cell>
          <cell r="I39">
            <v>781563763.95000005</v>
          </cell>
          <cell r="J39">
            <v>1040790877.38</v>
          </cell>
          <cell r="K39">
            <v>953372566.48000002</v>
          </cell>
          <cell r="L39">
            <v>1091531197.23</v>
          </cell>
          <cell r="M39">
            <v>838074185.44000006</v>
          </cell>
          <cell r="N39">
            <v>915319620.74000001</v>
          </cell>
          <cell r="O39">
            <v>753187527.59000003</v>
          </cell>
          <cell r="P39">
            <v>870938158.25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8470680736.0699997</v>
          </cell>
          <cell r="AG39">
            <v>0.33171314444577749</v>
          </cell>
          <cell r="AI39">
            <v>1225343882.4000001</v>
          </cell>
          <cell r="AJ39">
            <v>902252787.60000002</v>
          </cell>
          <cell r="AK39">
            <v>929487215.89999998</v>
          </cell>
          <cell r="AL39">
            <v>1117646851.7</v>
          </cell>
          <cell r="AM39">
            <v>971752454</v>
          </cell>
          <cell r="AN39">
            <v>864055422.10000002</v>
          </cell>
          <cell r="AO39">
            <v>1183078645.2</v>
          </cell>
          <cell r="AP39">
            <v>1140813407.2</v>
          </cell>
          <cell r="AQ39">
            <v>864055422.10000002</v>
          </cell>
          <cell r="AR39">
            <v>1225343883.3</v>
          </cell>
          <cell r="AS39">
            <v>1159912089.7</v>
          </cell>
          <cell r="AT39">
            <v>1098548168.8</v>
          </cell>
          <cell r="AU39">
            <v>1152960442.0999999</v>
          </cell>
          <cell r="AV39">
            <v>918105533.60000002</v>
          </cell>
          <cell r="AW39">
            <v>909027633.60000002</v>
          </cell>
          <cell r="AX39">
            <v>1210193700.5</v>
          </cell>
          <cell r="AY39">
            <v>1030994038.2</v>
          </cell>
          <cell r="AZ39">
            <v>966260891.20000005</v>
          </cell>
          <cell r="BA39">
            <v>1193615911.0999999</v>
          </cell>
          <cell r="BB39">
            <v>1152960443.0999999</v>
          </cell>
          <cell r="BC39">
            <v>884949954.79999995</v>
          </cell>
          <cell r="BD39">
            <v>1234271379.3</v>
          </cell>
          <cell r="BE39">
            <v>1128882764.3</v>
          </cell>
          <cell r="BF39">
            <v>1071649506.2</v>
          </cell>
          <cell r="BG39">
            <v>25536162427.999996</v>
          </cell>
          <cell r="BH39">
            <v>0.99999999999999989</v>
          </cell>
        </row>
        <row r="40">
          <cell r="A40" t="str">
            <v>FI005</v>
          </cell>
          <cell r="C40">
            <v>30</v>
          </cell>
          <cell r="D40" t="str">
            <v>Fiscalización</v>
          </cell>
          <cell r="E40" t="str">
            <v>Formulación, articulación y seguimiento</v>
          </cell>
          <cell r="F40" t="str">
            <v>Ministerio de Minas y Energía - Fiscalización</v>
          </cell>
          <cell r="G40">
            <v>25500000000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6836859464.4200001</v>
          </cell>
          <cell r="O40">
            <v>752120919.01999998</v>
          </cell>
          <cell r="P40">
            <v>869704799.92999995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8458685183.3700008</v>
          </cell>
          <cell r="AG40">
            <v>0.3317131444458824</v>
          </cell>
          <cell r="AI40">
            <v>1223608640.8599999</v>
          </cell>
          <cell r="AJ40">
            <v>900975083.82000005</v>
          </cell>
          <cell r="AK40">
            <v>928170944.73000002</v>
          </cell>
          <cell r="AL40">
            <v>1116064122.74</v>
          </cell>
          <cell r="AM40">
            <v>970376329.91999996</v>
          </cell>
          <cell r="AN40">
            <v>862831810.60000002</v>
          </cell>
          <cell r="AO40">
            <v>1181403256.5699999</v>
          </cell>
          <cell r="AP40">
            <v>1139197871.48</v>
          </cell>
          <cell r="AQ40">
            <v>862831810.60000002</v>
          </cell>
          <cell r="AR40">
            <v>1223608641.76</v>
          </cell>
          <cell r="AS40">
            <v>1158269507.8299999</v>
          </cell>
          <cell r="AT40">
            <v>1096992485.99</v>
          </cell>
          <cell r="AU40">
            <v>1151327704.6400001</v>
          </cell>
          <cell r="AV40">
            <v>916805380.33000004</v>
          </cell>
          <cell r="AW40">
            <v>907740335.77999997</v>
          </cell>
          <cell r="AX40">
            <v>1208479913.53</v>
          </cell>
          <cell r="AY40">
            <v>1029534020.5599999</v>
          </cell>
          <cell r="AZ40">
            <v>964892543.86000001</v>
          </cell>
          <cell r="BA40">
            <v>1191925600.3699999</v>
          </cell>
          <cell r="BB40">
            <v>1151327705.6400001</v>
          </cell>
          <cell r="BC40">
            <v>883696754.00999999</v>
          </cell>
          <cell r="BD40">
            <v>1232523495.3</v>
          </cell>
          <cell r="BE40">
            <v>1127284123.8699999</v>
          </cell>
          <cell r="BF40">
            <v>1070131915.29</v>
          </cell>
          <cell r="BG40">
            <v>25500000000.079998</v>
          </cell>
          <cell r="BH40">
            <v>1.0000000000031373</v>
          </cell>
        </row>
        <row r="41">
          <cell r="A41" t="str">
            <v>FI002</v>
          </cell>
          <cell r="C41">
            <v>31</v>
          </cell>
          <cell r="D41" t="str">
            <v>Fiscalización</v>
          </cell>
          <cell r="E41" t="str">
            <v>Conocimiento y cartografía</v>
          </cell>
          <cell r="F41" t="str">
            <v>Servicio Geológico Colombiano - Fiscalización</v>
          </cell>
          <cell r="G41">
            <v>96000000000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25738765042.52</v>
          </cell>
          <cell r="O41">
            <v>2831514048.0599999</v>
          </cell>
          <cell r="P41">
            <v>3274182776.1999998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31844461866.780003</v>
          </cell>
          <cell r="AG41">
            <v>0.33171314444562505</v>
          </cell>
          <cell r="AI41">
            <v>4606526647.9499998</v>
          </cell>
          <cell r="AJ41">
            <v>3391906197.8899999</v>
          </cell>
          <cell r="AK41">
            <v>3494290615.4499998</v>
          </cell>
          <cell r="AL41">
            <v>4201653167.98</v>
          </cell>
          <cell r="AM41">
            <v>3653181477.3400002</v>
          </cell>
          <cell r="AN41">
            <v>3248307992.8600001</v>
          </cell>
          <cell r="AO41">
            <v>4447635789.4399996</v>
          </cell>
          <cell r="AP41">
            <v>4288744927.9200001</v>
          </cell>
          <cell r="AQ41">
            <v>3248307992.8600001</v>
          </cell>
          <cell r="AR41">
            <v>4606526651.3299999</v>
          </cell>
          <cell r="AS41">
            <v>4360544029.5</v>
          </cell>
          <cell r="AT41">
            <v>4129854064.9000001</v>
          </cell>
          <cell r="AU41">
            <v>4334410182.1899996</v>
          </cell>
          <cell r="AV41">
            <v>3451502608.29</v>
          </cell>
          <cell r="AW41">
            <v>3417375381.75</v>
          </cell>
          <cell r="AX41">
            <v>4549571439.1700001</v>
          </cell>
          <cell r="AY41">
            <v>3875892783.29</v>
          </cell>
          <cell r="AZ41">
            <v>3632536635.73</v>
          </cell>
          <cell r="BA41">
            <v>4487249319.04</v>
          </cell>
          <cell r="BB41">
            <v>4334410185.9499998</v>
          </cell>
          <cell r="BC41">
            <v>3326858368.04</v>
          </cell>
          <cell r="BD41">
            <v>4640088452.8900003</v>
          </cell>
          <cell r="BE41">
            <v>4243893172.23</v>
          </cell>
          <cell r="BF41">
            <v>4028731916.3800001</v>
          </cell>
          <cell r="BG41">
            <v>96000000000.369995</v>
          </cell>
          <cell r="BH41">
            <v>1.000000000003854</v>
          </cell>
        </row>
        <row r="42">
          <cell r="A42" t="str">
            <v>FI004</v>
          </cell>
          <cell r="C42">
            <v>32</v>
          </cell>
          <cell r="D42" t="str">
            <v>Fiscalización</v>
          </cell>
          <cell r="E42" t="str">
            <v>Fiscalización</v>
          </cell>
          <cell r="F42" t="str">
            <v>Agencia Nacional de Hidrocarburos - Fiscalización</v>
          </cell>
          <cell r="G42">
            <v>30000000000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8043364075.7799997</v>
          </cell>
          <cell r="O42">
            <v>884848140.01999998</v>
          </cell>
          <cell r="P42">
            <v>1023182117.5599999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9951394333.3599987</v>
          </cell>
          <cell r="AG42">
            <v>0.33171314444533329</v>
          </cell>
          <cell r="AI42">
            <v>1439539577.48</v>
          </cell>
          <cell r="AJ42">
            <v>1059970686.84</v>
          </cell>
          <cell r="AK42">
            <v>1091965817.3299999</v>
          </cell>
          <cell r="AL42">
            <v>1313016614.99</v>
          </cell>
          <cell r="AM42">
            <v>1141619211.6700001</v>
          </cell>
          <cell r="AN42">
            <v>1015096247.77</v>
          </cell>
          <cell r="AO42">
            <v>1389886184.2</v>
          </cell>
          <cell r="AP42">
            <v>1340232789.98</v>
          </cell>
          <cell r="AQ42">
            <v>1015096247.77</v>
          </cell>
          <cell r="AR42">
            <v>1439539578.54</v>
          </cell>
          <cell r="AS42">
            <v>1362670009.22</v>
          </cell>
          <cell r="AT42">
            <v>1290579395.28</v>
          </cell>
          <cell r="AU42">
            <v>1354503181.9400001</v>
          </cell>
          <cell r="AV42">
            <v>1078594565.0899999</v>
          </cell>
          <cell r="AW42">
            <v>1067929806.8</v>
          </cell>
          <cell r="AX42">
            <v>1421741074.74</v>
          </cell>
          <cell r="AY42">
            <v>1211216494.78</v>
          </cell>
          <cell r="AZ42">
            <v>1135167698.6600001</v>
          </cell>
          <cell r="BA42">
            <v>1402265412.2</v>
          </cell>
          <cell r="BB42">
            <v>1354503183.1099999</v>
          </cell>
          <cell r="BC42">
            <v>1039643240.01</v>
          </cell>
          <cell r="BD42">
            <v>1450027641.53</v>
          </cell>
          <cell r="BE42">
            <v>1326216616.3199999</v>
          </cell>
          <cell r="BF42">
            <v>1258978723.8699999</v>
          </cell>
          <cell r="BG42">
            <v>30000000000.119995</v>
          </cell>
          <cell r="BH42">
            <v>1.0000000000039999</v>
          </cell>
        </row>
        <row r="43">
          <cell r="A43" t="str">
            <v>FI003</v>
          </cell>
          <cell r="C43">
            <v>33</v>
          </cell>
          <cell r="D43" t="str">
            <v>Fiscalización</v>
          </cell>
          <cell r="E43" t="str">
            <v>Fiscalización</v>
          </cell>
          <cell r="F43" t="str">
            <v>Agencia Nacional de Minería - Fiscalización</v>
          </cell>
          <cell r="G43">
            <v>103861624279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27846561919.299999</v>
          </cell>
          <cell r="O43">
            <v>3063392168.75</v>
          </cell>
          <cell r="P43">
            <v>3542311888.77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34452265976.82</v>
          </cell>
          <cell r="AG43">
            <v>0.33171314444565236</v>
          </cell>
          <cell r="AI43">
            <v>4983763957.71</v>
          </cell>
          <cell r="AJ43">
            <v>3669675907.4499998</v>
          </cell>
          <cell r="AK43">
            <v>3780444781.4899998</v>
          </cell>
          <cell r="AL43">
            <v>4545734611.2799997</v>
          </cell>
          <cell r="AM43">
            <v>3952347521.0700002</v>
          </cell>
          <cell r="AN43">
            <v>3514318169.7600002</v>
          </cell>
          <cell r="AO43">
            <v>4811861221.8000002</v>
          </cell>
          <cell r="AP43">
            <v>4639958482.6300001</v>
          </cell>
          <cell r="AQ43">
            <v>3514318169.7600002</v>
          </cell>
          <cell r="AR43">
            <v>4983763961.3699999</v>
          </cell>
          <cell r="AS43">
            <v>4717637350.4499998</v>
          </cell>
          <cell r="AT43">
            <v>4468055741.8299999</v>
          </cell>
          <cell r="AU43">
            <v>4689363352.2299995</v>
          </cell>
          <cell r="AV43">
            <v>3734152782.29</v>
          </cell>
          <cell r="AW43">
            <v>3697230811.6700001</v>
          </cell>
          <cell r="AX43">
            <v>4922144577.5600004</v>
          </cell>
          <cell r="AY43">
            <v>4193297083.3699999</v>
          </cell>
          <cell r="AZ43">
            <v>3930012033.7399998</v>
          </cell>
          <cell r="BA43">
            <v>4854718779.3800001</v>
          </cell>
          <cell r="BB43">
            <v>4689363356.3000002</v>
          </cell>
          <cell r="BC43">
            <v>3599301185.9400001</v>
          </cell>
          <cell r="BD43">
            <v>5020074203.2799997</v>
          </cell>
          <cell r="BE43">
            <v>4591433730.5699997</v>
          </cell>
          <cell r="BF43">
            <v>4358652506.46</v>
          </cell>
          <cell r="BG43">
            <v>103861624279.39003</v>
          </cell>
          <cell r="BH43">
            <v>1.0000000000037552</v>
          </cell>
        </row>
        <row r="44">
          <cell r="A44" t="str">
            <v>FI006</v>
          </cell>
          <cell r="C44">
            <v>34</v>
          </cell>
          <cell r="D44" t="str">
            <v>Fiscalización</v>
          </cell>
          <cell r="E44" t="str">
            <v>Fiscalización</v>
          </cell>
          <cell r="F44" t="str">
            <v>Departamento de Antioquia - Fiscalización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</row>
        <row r="45">
          <cell r="A45" t="str">
            <v>FU044</v>
          </cell>
          <cell r="C45">
            <v>35</v>
          </cell>
          <cell r="D45" t="str">
            <v>Fiscalización</v>
          </cell>
          <cell r="E45" t="str">
            <v>Otros</v>
          </cell>
          <cell r="F45" t="str">
            <v>Recursos por distribuir - Fiscalización</v>
          </cell>
          <cell r="G45">
            <v>0</v>
          </cell>
          <cell r="H45">
            <v>12259028389.959999</v>
          </cell>
          <cell r="I45">
            <v>7815637639.4899998</v>
          </cell>
          <cell r="J45">
            <v>10407908773.799999</v>
          </cell>
          <cell r="K45">
            <v>9533725664.7600002</v>
          </cell>
          <cell r="L45">
            <v>10915311972.25</v>
          </cell>
          <cell r="M45">
            <v>8380741854.3699999</v>
          </cell>
          <cell r="N45">
            <v>-59312354294.629997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O FISCAL 1993 A 1998"/>
      <sheetName val="SITUAD FISCAL Y FEC 1996 A 2002"/>
      <sheetName val="RECURSOS FEC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.FISCAL- 2000"/>
      <sheetName val="GIROS SITUADO FISCAL Y FEC 2001"/>
      <sheetName val="COMPROMISOS Y PAGOS SGP 2002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1-VERSION DGP-SEPTIEM"/>
      <sheetName val="COSTOS 2000 Y 2001- PRESUPUESTO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RESUMEN 1996 A 2001 (2)"/>
      <sheetName val="RESUMEN 1996 A 2001"/>
      <sheetName val="SITUADO FISCAL 2001"/>
      <sheetName val="SITUADO FISCAL AFORADO"/>
      <sheetName val="VALOR UN PUNTO 200-9%-2,5%  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  <sheetName val="Departamentos 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_2_1"/>
      <sheetName val="D_2_2"/>
      <sheetName val="D_2_2_1"/>
      <sheetName val="D3"/>
      <sheetName val="D4"/>
      <sheetName val="D5"/>
      <sheetName val="D6"/>
      <sheetName val="D6_1"/>
      <sheetName val="D6_2"/>
      <sheetName val="D7_Icfes 02"/>
      <sheetName val="D7_1"/>
      <sheetName val="D8"/>
      <sheetName val="D8_1"/>
      <sheetName val="D9_Saber 97-99"/>
      <sheetName val="D10"/>
      <sheetName val="Cober Bruta 96-01 "/>
      <sheetName val="Posición Colegios Icfes"/>
      <sheetName val="Salud "/>
      <sheetName val="Educa 94-01 miles const (2001)"/>
      <sheetName val="Educa 94-02 miles const (2002)"/>
      <sheetName val="Educa 94-01 miles corrientes"/>
      <sheetName val="matricula 94-02 final"/>
      <sheetName val="GIROS SITUAD.FISCAL-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C2">
            <v>143873304.77899998</v>
          </cell>
          <cell r="M2">
            <v>0.37582719489197253</v>
          </cell>
          <cell r="N2">
            <v>0.4466742187644912</v>
          </cell>
          <cell r="O2">
            <v>0.52202091794207206</v>
          </cell>
          <cell r="P2">
            <v>0.60992847280641138</v>
          </cell>
        </row>
      </sheetData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OFMI"/>
      <sheetName val="PAGOS VIGENCIA t"/>
      <sheetName val="PAGORES"/>
      <sheetName val="VIGN"/>
      <sheetName val="SPC"/>
      <sheetName val="DATOS"/>
      <sheetName val="RUBRO LEY"/>
      <sheetName val="Promedios"/>
    </sheetNames>
    <sheetDataSet>
      <sheetData sheetId="0" refreshError="1">
        <row r="1">
          <cell r="A1" t="str">
            <v>PAGOS POR NUMERALES CON RECURSOS NACION</v>
          </cell>
          <cell r="P1" t="str">
            <v>PAGOS POR NUMERALES CON RECURSOS NACION</v>
          </cell>
        </row>
        <row r="2">
          <cell r="A2" t="str">
            <v>Clasificación FMI</v>
          </cell>
          <cell r="P2" t="str">
            <v>Clasificación FMI</v>
          </cell>
        </row>
        <row r="3">
          <cell r="A3" t="str">
            <v>Millones de pesos</v>
          </cell>
          <cell r="P3" t="str">
            <v>Participación porcentual en el PIB</v>
          </cell>
        </row>
        <row r="6">
          <cell r="A6" t="str">
            <v>CONCEPTOS</v>
          </cell>
          <cell r="D6" t="str">
            <v>1990</v>
          </cell>
          <cell r="E6" t="str">
            <v>1991</v>
          </cell>
          <cell r="F6" t="str">
            <v>1992</v>
          </cell>
          <cell r="G6" t="str">
            <v>1993</v>
          </cell>
          <cell r="H6" t="str">
            <v>1994</v>
          </cell>
          <cell r="I6" t="str">
            <v>1995</v>
          </cell>
          <cell r="J6" t="str">
            <v>1996</v>
          </cell>
          <cell r="K6" t="str">
            <v>1997</v>
          </cell>
          <cell r="L6" t="str">
            <v>1998</v>
          </cell>
          <cell r="P6" t="str">
            <v>CONCEPTOS</v>
          </cell>
          <cell r="S6" t="str">
            <v>1990</v>
          </cell>
          <cell r="T6" t="str">
            <v>1991</v>
          </cell>
          <cell r="U6" t="str">
            <v>1992</v>
          </cell>
          <cell r="V6" t="str">
            <v>1993</v>
          </cell>
          <cell r="W6" t="str">
            <v>1994</v>
          </cell>
          <cell r="X6" t="str">
            <v>1995</v>
          </cell>
          <cell r="Y6" t="str">
            <v>1996</v>
          </cell>
          <cell r="Z6" t="str">
            <v>1997</v>
          </cell>
          <cell r="AA6" t="str">
            <v>1998</v>
          </cell>
        </row>
        <row r="9">
          <cell r="A9" t="str">
            <v>FUNCIONAMIENTO</v>
          </cell>
          <cell r="D9">
            <v>1514171.5079999999</v>
          </cell>
          <cell r="E9">
            <v>2042977.54</v>
          </cell>
          <cell r="F9">
            <v>2840041.1519999998</v>
          </cell>
          <cell r="G9">
            <v>4359295.9340000004</v>
          </cell>
          <cell r="H9">
            <v>6348478.9809999987</v>
          </cell>
          <cell r="I9">
            <v>8416455.5750610009</v>
          </cell>
          <cell r="J9">
            <v>10744325.71397927</v>
          </cell>
          <cell r="K9">
            <v>13479247.99776217</v>
          </cell>
          <cell r="L9">
            <v>18614618.366270654</v>
          </cell>
          <cell r="P9" t="str">
            <v>FUNCIONAMIENTO</v>
          </cell>
          <cell r="S9">
            <v>10.00992620994665</v>
          </cell>
          <cell r="T9">
            <v>10.099689630110003</v>
          </cell>
          <cell r="U9">
            <v>10.823009552577551</v>
          </cell>
          <cell r="V9">
            <v>13.154773506714696</v>
          </cell>
          <cell r="W9">
            <v>14.563491641442578</v>
          </cell>
          <cell r="X9">
            <v>14.792463841724823</v>
          </cell>
          <cell r="Y9">
            <v>14.838791327562923</v>
          </cell>
          <cell r="Z9">
            <v>14.988418185388378</v>
          </cell>
          <cell r="AA9">
            <v>17.078168629258041</v>
          </cell>
        </row>
        <row r="10">
          <cell r="A10" t="str">
            <v>1.</v>
          </cell>
          <cell r="B10" t="str">
            <v>SERVICIOS PERSONALES</v>
          </cell>
          <cell r="D10">
            <v>452281.84499999997</v>
          </cell>
          <cell r="E10">
            <v>570378.91799999995</v>
          </cell>
          <cell r="F10">
            <v>786919.03299999994</v>
          </cell>
          <cell r="G10">
            <v>1168875.811</v>
          </cell>
          <cell r="H10">
            <v>1624297.6979999999</v>
          </cell>
          <cell r="I10">
            <v>2079844.530424</v>
          </cell>
          <cell r="J10">
            <v>2552417.1840965501</v>
          </cell>
          <cell r="K10">
            <v>3822362.5809934139</v>
          </cell>
          <cell r="L10">
            <v>4103822.4998498741</v>
          </cell>
          <cell r="P10" t="str">
            <v>1.</v>
          </cell>
          <cell r="Q10" t="str">
            <v>SERVICIOS PERSONALES</v>
          </cell>
          <cell r="S10">
            <v>2.9899571287855244</v>
          </cell>
          <cell r="T10">
            <v>2.8197324398181896</v>
          </cell>
          <cell r="U10">
            <v>2.9988411278007034</v>
          </cell>
          <cell r="V10">
            <v>3.5272431108097497</v>
          </cell>
          <cell r="W10">
            <v>3.7261596074956627</v>
          </cell>
          <cell r="X10">
            <v>3.6554609880992781</v>
          </cell>
          <cell r="Y10">
            <v>3.525096593676063</v>
          </cell>
          <cell r="Z10">
            <v>4.2503238184816574</v>
          </cell>
          <cell r="AA10">
            <v>3.7650931809579053</v>
          </cell>
        </row>
        <row r="11">
          <cell r="B11" t="str">
            <v>1.1.</v>
          </cell>
          <cell r="C11" t="str">
            <v>Vigencia</v>
          </cell>
          <cell r="D11">
            <v>448435.77999999997</v>
          </cell>
          <cell r="E11">
            <v>561895</v>
          </cell>
          <cell r="F11">
            <v>780872.06299999997</v>
          </cell>
          <cell r="G11">
            <v>1155639.1529999999</v>
          </cell>
          <cell r="H11">
            <v>1614299.4</v>
          </cell>
          <cell r="I11">
            <v>2058168.3357800001</v>
          </cell>
          <cell r="J11">
            <v>2533434</v>
          </cell>
          <cell r="K11">
            <v>3720242.9032626296</v>
          </cell>
          <cell r="L11">
            <v>4025801.5790410009</v>
          </cell>
          <cell r="Q11" t="str">
            <v>1.1.</v>
          </cell>
          <cell r="R11" t="str">
            <v>Vigencia</v>
          </cell>
          <cell r="S11">
            <v>2.964531457621292</v>
          </cell>
          <cell r="T11">
            <v>2.7777912353900178</v>
          </cell>
          <cell r="U11">
            <v>2.9757969497161496</v>
          </cell>
          <cell r="V11">
            <v>3.4872996794364015</v>
          </cell>
          <cell r="W11">
            <v>3.7032233845377793</v>
          </cell>
          <cell r="X11">
            <v>3.6173636771067899</v>
          </cell>
          <cell r="Y11">
            <v>3.4988792660335366</v>
          </cell>
          <cell r="Z11">
            <v>4.1367705672142128</v>
          </cell>
          <cell r="AA11">
            <v>3.6935121033356908</v>
          </cell>
        </row>
        <row r="12">
          <cell r="B12" t="str">
            <v>1.2.</v>
          </cell>
          <cell r="C12" t="str">
            <v>Reservas de apropiación</v>
          </cell>
          <cell r="D12">
            <v>858.06499999999994</v>
          </cell>
          <cell r="E12">
            <v>974</v>
          </cell>
          <cell r="F12">
            <v>445.137</v>
          </cell>
          <cell r="G12">
            <v>4114.1580000000004</v>
          </cell>
          <cell r="H12">
            <v>4524.2</v>
          </cell>
          <cell r="I12">
            <v>8374.0679999999993</v>
          </cell>
          <cell r="J12">
            <v>4569.7269999999999</v>
          </cell>
          <cell r="K12">
            <v>6443.6396408199998</v>
          </cell>
          <cell r="L12">
            <v>9822.3828690355003</v>
          </cell>
          <cell r="Q12" t="str">
            <v>1.2.</v>
          </cell>
          <cell r="R12" t="str">
            <v>Reservas de apropiación</v>
          </cell>
          <cell r="S12">
            <v>5.6725194523590729E-3</v>
          </cell>
          <cell r="T12">
            <v>4.8150787304921333E-3</v>
          </cell>
          <cell r="U12">
            <v>1.6963564066010104E-3</v>
          </cell>
          <cell r="V12">
            <v>1.2415036161855195E-2</v>
          </cell>
          <cell r="W12">
            <v>1.0378572423632085E-2</v>
          </cell>
          <cell r="X12">
            <v>1.4717964943009525E-2</v>
          </cell>
          <cell r="Y12">
            <v>6.3111662082902635E-3</v>
          </cell>
          <cell r="Z12">
            <v>7.1650855884979759E-3</v>
          </cell>
          <cell r="AA12">
            <v>9.0116438423728604E-3</v>
          </cell>
        </row>
        <row r="13">
          <cell r="B13" t="str">
            <v>1.3.</v>
          </cell>
          <cell r="C13" t="str">
            <v>Reservas de Tesorería</v>
          </cell>
          <cell r="D13">
            <v>1389.0060000000001</v>
          </cell>
          <cell r="E13">
            <v>2988</v>
          </cell>
          <cell r="F13">
            <v>7509.9179999999997</v>
          </cell>
          <cell r="G13">
            <v>5601.8329999999996</v>
          </cell>
          <cell r="H13">
            <v>9122.5</v>
          </cell>
          <cell r="I13">
            <v>5474.098</v>
          </cell>
          <cell r="J13">
            <v>13302.126644</v>
          </cell>
          <cell r="K13">
            <v>14413.457096550001</v>
          </cell>
          <cell r="L13">
            <v>95676.038089963811</v>
          </cell>
          <cell r="Q13" t="str">
            <v>1.3.</v>
          </cell>
          <cell r="R13" t="str">
            <v>Reservas de Tesorería</v>
          </cell>
          <cell r="S13">
            <v>9.18247866355517E-3</v>
          </cell>
          <cell r="T13">
            <v>1.4771514627012828E-2</v>
          </cell>
          <cell r="U13">
            <v>2.8619273419976873E-2</v>
          </cell>
          <cell r="V13">
            <v>1.6904299559636207E-2</v>
          </cell>
          <cell r="W13">
            <v>2.09271311910578E-2</v>
          </cell>
          <cell r="X13">
            <v>9.6210805141059962E-3</v>
          </cell>
          <cell r="Y13">
            <v>1.8371323314064575E-2</v>
          </cell>
          <cell r="Z13">
            <v>1.6027223662337199E-2</v>
          </cell>
          <cell r="AA13">
            <v>8.7778942341382823E-2</v>
          </cell>
        </row>
        <row r="14">
          <cell r="B14" t="str">
            <v>1.4.</v>
          </cell>
          <cell r="C14" t="str">
            <v>Deuda Flotante</v>
          </cell>
          <cell r="D14">
            <v>1598.9939999999999</v>
          </cell>
          <cell r="E14">
            <v>4521.9179999999997</v>
          </cell>
          <cell r="F14">
            <v>-1908.085</v>
          </cell>
          <cell r="G14">
            <v>3520.6670000000004</v>
          </cell>
          <cell r="H14">
            <v>-3648.402</v>
          </cell>
          <cell r="I14">
            <v>7828.028644</v>
          </cell>
          <cell r="J14">
            <v>1111.3304525500007</v>
          </cell>
          <cell r="K14">
            <v>81262.580993413809</v>
          </cell>
          <cell r="L14">
            <v>-27477.500150126158</v>
          </cell>
          <cell r="Q14" t="str">
            <v>1.4.</v>
          </cell>
          <cell r="R14" t="str">
            <v>Deuda Flotante</v>
          </cell>
          <cell r="S14">
            <v>1.0570673048318536E-2</v>
          </cell>
          <cell r="T14">
            <v>2.2354611070666865E-2</v>
          </cell>
          <cell r="U14">
            <v>-7.2714517420238902E-3</v>
          </cell>
          <cell r="V14">
            <v>1.0624095651856406E-2</v>
          </cell>
          <cell r="W14">
            <v>-8.36948065680654E-3</v>
          </cell>
          <cell r="X14">
            <v>1.3758265535372582E-2</v>
          </cell>
          <cell r="Y14">
            <v>1.5348381201716185E-3</v>
          </cell>
          <cell r="Z14">
            <v>9.0360942016608936E-2</v>
          </cell>
          <cell r="AA14">
            <v>-2.5209508561540958E-2</v>
          </cell>
        </row>
        <row r="15">
          <cell r="A15" t="str">
            <v>2.</v>
          </cell>
          <cell r="B15" t="str">
            <v>GASTOS GENERALES</v>
          </cell>
          <cell r="D15">
            <v>88229.286999999997</v>
          </cell>
          <cell r="E15">
            <v>135133.66399999999</v>
          </cell>
          <cell r="F15">
            <v>221513.60000000001</v>
          </cell>
          <cell r="G15">
            <v>331820.55400000006</v>
          </cell>
          <cell r="H15">
            <v>496726.674</v>
          </cell>
          <cell r="I15">
            <v>658657.75230500009</v>
          </cell>
          <cell r="J15">
            <v>746841.81881257007</v>
          </cell>
          <cell r="K15">
            <v>923741.25538861135</v>
          </cell>
          <cell r="L15">
            <v>1064141.5849549375</v>
          </cell>
          <cell r="P15" t="str">
            <v>2.</v>
          </cell>
          <cell r="Q15" t="str">
            <v>GASTOS GENERALES</v>
          </cell>
          <cell r="S15">
            <v>0.58326857146634759</v>
          </cell>
          <cell r="T15">
            <v>0.66804849209432293</v>
          </cell>
          <cell r="U15">
            <v>0.84415812325026574</v>
          </cell>
          <cell r="V15">
            <v>1.0013140421823434</v>
          </cell>
          <cell r="W15">
            <v>1.1394973168425102</v>
          </cell>
          <cell r="X15">
            <v>1.157633507139713</v>
          </cell>
          <cell r="Y15">
            <v>1.0314495482614019</v>
          </cell>
          <cell r="Z15">
            <v>1.0271656277233547</v>
          </cell>
          <cell r="AA15">
            <v>0.97630738786439764</v>
          </cell>
        </row>
        <row r="16">
          <cell r="B16" t="str">
            <v>2.1.</v>
          </cell>
          <cell r="C16" t="str">
            <v>Vigencia</v>
          </cell>
          <cell r="D16">
            <v>60562.438000000002</v>
          </cell>
          <cell r="E16">
            <v>112505</v>
          </cell>
          <cell r="F16">
            <v>176720.44200000001</v>
          </cell>
          <cell r="G16">
            <v>258642.916</v>
          </cell>
          <cell r="H16">
            <v>399005.9</v>
          </cell>
          <cell r="I16">
            <v>508771.81699999998</v>
          </cell>
          <cell r="J16">
            <v>567045.63896799996</v>
          </cell>
          <cell r="K16">
            <v>675253.51317078003</v>
          </cell>
          <cell r="L16">
            <v>770641.77358200005</v>
          </cell>
          <cell r="Q16" t="str">
            <v>2.1.</v>
          </cell>
          <cell r="R16" t="str">
            <v>Vigencia</v>
          </cell>
          <cell r="S16">
            <v>0.40036781320446624</v>
          </cell>
          <cell r="T16">
            <v>0.55618114227311855</v>
          </cell>
          <cell r="U16">
            <v>0.67345750626001044</v>
          </cell>
          <cell r="V16">
            <v>0.78049048071262106</v>
          </cell>
          <cell r="W16">
            <v>0.91532461664084308</v>
          </cell>
          <cell r="X16">
            <v>0.89419930272804793</v>
          </cell>
          <cell r="Y16">
            <v>0.78313633948224948</v>
          </cell>
          <cell r="Z16">
            <v>0.75085657881185952</v>
          </cell>
          <cell r="AA16">
            <v>0.7070330373160727</v>
          </cell>
        </row>
        <row r="17">
          <cell r="B17" t="str">
            <v>2.2.</v>
          </cell>
          <cell r="C17" t="str">
            <v>Reservas de apropiación</v>
          </cell>
          <cell r="D17">
            <v>10424.849</v>
          </cell>
          <cell r="E17">
            <v>12493</v>
          </cell>
          <cell r="F17">
            <v>24202.214</v>
          </cell>
          <cell r="G17">
            <v>44751.06</v>
          </cell>
          <cell r="H17">
            <v>77700.800000000003</v>
          </cell>
          <cell r="I17">
            <v>67560.148344000001</v>
          </cell>
          <cell r="J17">
            <v>52550.792460999997</v>
          </cell>
          <cell r="K17">
            <v>65501.099445650005</v>
          </cell>
          <cell r="L17">
            <v>94194.583645818668</v>
          </cell>
          <cell r="Q17" t="str">
            <v>2.2.</v>
          </cell>
          <cell r="R17" t="str">
            <v>Reservas de apropiación</v>
          </cell>
          <cell r="S17">
            <v>6.891687545862614E-2</v>
          </cell>
          <cell r="T17">
            <v>6.1760552956918097E-2</v>
          </cell>
          <cell r="U17">
            <v>9.2231337257582854E-2</v>
          </cell>
          <cell r="V17">
            <v>0.13504246268163533</v>
          </cell>
          <cell r="W17">
            <v>0.17824662485614076</v>
          </cell>
          <cell r="X17">
            <v>0.11874132080985193</v>
          </cell>
          <cell r="Y17">
            <v>7.2576936346249551E-2</v>
          </cell>
          <cell r="Z17">
            <v>7.2834765727072079E-2</v>
          </cell>
          <cell r="AA17">
            <v>8.6419767078379922E-2</v>
          </cell>
        </row>
        <row r="18">
          <cell r="B18" t="str">
            <v>2.3.</v>
          </cell>
          <cell r="C18" t="str">
            <v>Reservas de Tesorería</v>
          </cell>
          <cell r="D18">
            <v>7626.5989999999993</v>
          </cell>
          <cell r="E18">
            <v>17242</v>
          </cell>
          <cell r="F18">
            <v>10135.664000000001</v>
          </cell>
          <cell r="G18">
            <v>20590.944</v>
          </cell>
          <cell r="H18">
            <v>28426.578000000001</v>
          </cell>
          <cell r="I18">
            <v>20019.974000000002</v>
          </cell>
          <cell r="J18">
            <v>82325.786961000005</v>
          </cell>
          <cell r="K18">
            <v>127245.38738357001</v>
          </cell>
          <cell r="L18">
            <v>182986.6427721814</v>
          </cell>
          <cell r="Q18" t="str">
            <v>2.3.</v>
          </cell>
          <cell r="R18" t="str">
            <v>Reservas de Tesorería</v>
          </cell>
          <cell r="S18">
            <v>5.0418128210382961E-2</v>
          </cell>
          <cell r="T18">
            <v>8.5237769477561981E-2</v>
          </cell>
          <cell r="U18">
            <v>3.8625633370299985E-2</v>
          </cell>
          <cell r="V18">
            <v>6.2135998269083316E-2</v>
          </cell>
          <cell r="W18">
            <v>6.5210931994391624E-2</v>
          </cell>
          <cell r="X18">
            <v>3.5186396323980441E-2</v>
          </cell>
          <cell r="Y18">
            <v>0.11369863555069402</v>
          </cell>
          <cell r="Z18">
            <v>0.14149209797040049</v>
          </cell>
          <cell r="AA18">
            <v>0.16788293376068872</v>
          </cell>
        </row>
        <row r="19">
          <cell r="B19" t="str">
            <v>2.4.</v>
          </cell>
          <cell r="C19" t="str">
            <v>Deuda Flotante</v>
          </cell>
          <cell r="D19">
            <v>9615.4010000000017</v>
          </cell>
          <cell r="E19">
            <v>-7106.3359999999993</v>
          </cell>
          <cell r="F19">
            <v>10455.279999999999</v>
          </cell>
          <cell r="G19">
            <v>7835.6340000000018</v>
          </cell>
          <cell r="H19">
            <v>-8406.6039999999994</v>
          </cell>
          <cell r="I19">
            <v>62305.812961000003</v>
          </cell>
          <cell r="J19">
            <v>44919.600422570002</v>
          </cell>
          <cell r="K19">
            <v>55741.255388611389</v>
          </cell>
          <cell r="L19">
            <v>16318.584954937338</v>
          </cell>
          <cell r="Q19" t="str">
            <v>2.4.</v>
          </cell>
          <cell r="R19" t="str">
            <v>Deuda Flotante</v>
          </cell>
          <cell r="S19">
            <v>6.3565754592872212E-2</v>
          </cell>
          <cell r="T19">
            <v>-3.5130972613275711E-2</v>
          </cell>
          <cell r="U19">
            <v>3.9843646362372503E-2</v>
          </cell>
          <cell r="V19">
            <v>2.3645100519003422E-2</v>
          </cell>
          <cell r="W19">
            <v>-1.9284856648865034E-2</v>
          </cell>
          <cell r="X19">
            <v>0.10950648727783278</v>
          </cell>
          <cell r="Y19">
            <v>6.2037636882208674E-2</v>
          </cell>
          <cell r="Z19">
            <v>6.1982185214022795E-2</v>
          </cell>
          <cell r="AA19">
            <v>1.4971649709256303E-2</v>
          </cell>
        </row>
        <row r="20">
          <cell r="A20" t="str">
            <v>3.</v>
          </cell>
          <cell r="B20" t="str">
            <v>TRANSFERENCIAS</v>
          </cell>
          <cell r="D20">
            <v>973660.37599999993</v>
          </cell>
          <cell r="E20">
            <v>1337464.9580000001</v>
          </cell>
          <cell r="F20">
            <v>1831608.5190000001</v>
          </cell>
          <cell r="G20">
            <v>2858599.5690000001</v>
          </cell>
          <cell r="H20">
            <v>4227454.6089999992</v>
          </cell>
          <cell r="I20">
            <v>5677953.2923320001</v>
          </cell>
          <cell r="J20">
            <v>7445066.7110701501</v>
          </cell>
          <cell r="K20">
            <v>8733144.1613801438</v>
          </cell>
          <cell r="L20">
            <v>13446654.281465843</v>
          </cell>
          <cell r="P20" t="str">
            <v>3.</v>
          </cell>
          <cell r="Q20" t="str">
            <v>TRANSFERENCIAS</v>
          </cell>
          <cell r="S20">
            <v>6.4367005096947771</v>
          </cell>
          <cell r="T20">
            <v>6.6119086981974897</v>
          </cell>
          <cell r="U20">
            <v>6.9800103015265833</v>
          </cell>
          <cell r="V20">
            <v>8.6262163537226026</v>
          </cell>
          <cell r="W20">
            <v>9.6978347171044064</v>
          </cell>
          <cell r="X20">
            <v>9.9793693464858304</v>
          </cell>
          <cell r="Y20">
            <v>10.282245185625456</v>
          </cell>
          <cell r="Z20">
            <v>9.7109287391833643</v>
          </cell>
          <cell r="AA20">
            <v>12.336768060435739</v>
          </cell>
        </row>
        <row r="21">
          <cell r="B21" t="str">
            <v>3.1.</v>
          </cell>
          <cell r="C21" t="str">
            <v>Vigencia</v>
          </cell>
          <cell r="D21">
            <v>916032.97599999991</v>
          </cell>
          <cell r="E21">
            <v>1191613</v>
          </cell>
          <cell r="F21">
            <v>1764629.9180000001</v>
          </cell>
          <cell r="G21">
            <v>2728808.7370000002</v>
          </cell>
          <cell r="H21">
            <v>4015879</v>
          </cell>
          <cell r="I21">
            <v>5203311.62</v>
          </cell>
          <cell r="J21">
            <v>6804539.1954640001</v>
          </cell>
          <cell r="K21">
            <v>7561255.3762968201</v>
          </cell>
          <cell r="L21">
            <v>11980966.199272001</v>
          </cell>
          <cell r="Q21" t="str">
            <v>3.1.</v>
          </cell>
          <cell r="R21" t="str">
            <v>Vigencia</v>
          </cell>
          <cell r="S21">
            <v>6.0557357255713402</v>
          </cell>
          <cell r="T21">
            <v>5.8908731121949929</v>
          </cell>
          <cell r="U21">
            <v>6.7247639865459741</v>
          </cell>
          <cell r="V21">
            <v>8.2345547129306667</v>
          </cell>
          <cell r="W21">
            <v>9.2124775752714729</v>
          </cell>
          <cell r="X21">
            <v>9.1451559756517522</v>
          </cell>
          <cell r="Y21">
            <v>9.3976243730531408</v>
          </cell>
          <cell r="Z21">
            <v>8.4078323661133165</v>
          </cell>
          <cell r="AA21">
            <v>10.992057804599581</v>
          </cell>
        </row>
        <row r="22">
          <cell r="B22" t="str">
            <v>3.2.</v>
          </cell>
          <cell r="C22" t="str">
            <v>Reservas de apropiación</v>
          </cell>
          <cell r="D22">
            <v>27937.4</v>
          </cell>
          <cell r="E22">
            <v>67827</v>
          </cell>
          <cell r="F22">
            <v>44092.851999999999</v>
          </cell>
          <cell r="G22">
            <v>61973.756000000001</v>
          </cell>
          <cell r="H22">
            <v>25414.799999999999</v>
          </cell>
          <cell r="I22">
            <v>128370.81544999999</v>
          </cell>
          <cell r="J22">
            <v>142737.45243100001</v>
          </cell>
          <cell r="K22">
            <v>123754.56052803001</v>
          </cell>
          <cell r="L22">
            <v>855038.81017270719</v>
          </cell>
          <cell r="Q22" t="str">
            <v>3.2.</v>
          </cell>
          <cell r="R22" t="str">
            <v>Reservas de apropiación</v>
          </cell>
          <cell r="S22">
            <v>0.18468932417513403</v>
          </cell>
          <cell r="T22">
            <v>0.3353104158655954</v>
          </cell>
          <cell r="U22">
            <v>0.16803184632036916</v>
          </cell>
          <cell r="V22">
            <v>0.18701431054081794</v>
          </cell>
          <cell r="W22">
            <v>5.8301874902109703E-2</v>
          </cell>
          <cell r="X22">
            <v>0.22561999275604708</v>
          </cell>
          <cell r="Y22">
            <v>0.19713207953997386</v>
          </cell>
          <cell r="Z22">
            <v>0.13761042944317223</v>
          </cell>
          <cell r="AA22">
            <v>0.7844639464190738</v>
          </cell>
        </row>
        <row r="23">
          <cell r="B23" t="str">
            <v>3.3.</v>
          </cell>
          <cell r="C23" t="str">
            <v>Reservas de Tesorería</v>
          </cell>
          <cell r="D23">
            <v>75494</v>
          </cell>
          <cell r="E23">
            <v>29690</v>
          </cell>
          <cell r="F23">
            <v>78024.957999999999</v>
          </cell>
          <cell r="G23">
            <v>22885.749</v>
          </cell>
          <cell r="H23">
            <v>67817.076000000001</v>
          </cell>
          <cell r="I23">
            <v>186160.80899999998</v>
          </cell>
          <cell r="J23">
            <v>346270.85688199999</v>
          </cell>
          <cell r="K23">
            <v>497790.06317515002</v>
          </cell>
          <cell r="L23">
            <v>1048134.2245552937</v>
          </cell>
          <cell r="Q23" t="str">
            <v>3.3.</v>
          </cell>
          <cell r="R23" t="str">
            <v>Reservas de Tesorería</v>
          </cell>
          <cell r="S23">
            <v>0.4990777896038131</v>
          </cell>
          <cell r="T23">
            <v>0.14677585986479616</v>
          </cell>
          <cell r="U23">
            <v>0.29734247518870538</v>
          </cell>
          <cell r="V23">
            <v>6.906088716722629E-2</v>
          </cell>
          <cell r="W23">
            <v>0.1555732361135585</v>
          </cell>
          <cell r="X23">
            <v>0.32718963598388406</v>
          </cell>
          <cell r="Y23">
            <v>0.47822833418044275</v>
          </cell>
          <cell r="Z23">
            <v>0.55352387882756815</v>
          </cell>
          <cell r="AA23">
            <v>0.96162127425006882</v>
          </cell>
        </row>
        <row r="24">
          <cell r="B24" t="str">
            <v>3.4.</v>
          </cell>
          <cell r="C24" t="str">
            <v>Deuda Flotante</v>
          </cell>
          <cell r="D24">
            <v>-45804</v>
          </cell>
          <cell r="E24">
            <v>48334.957999999999</v>
          </cell>
          <cell r="F24">
            <v>-55139.209000000003</v>
          </cell>
          <cell r="G24">
            <v>44931.327000000005</v>
          </cell>
          <cell r="H24">
            <v>118343.73299999998</v>
          </cell>
          <cell r="I24">
            <v>160110.04788200001</v>
          </cell>
          <cell r="J24">
            <v>151519.20629315003</v>
          </cell>
          <cell r="K24">
            <v>550344.1613801436</v>
          </cell>
          <cell r="L24">
            <v>-437484.9525341579</v>
          </cell>
          <cell r="Q24" t="str">
            <v>3.4.</v>
          </cell>
          <cell r="R24" t="str">
            <v>Deuda Flotante</v>
          </cell>
          <cell r="S24">
            <v>-0.30280232965550979</v>
          </cell>
          <cell r="T24">
            <v>0.23894931027210534</v>
          </cell>
          <cell r="U24">
            <v>-0.21012800652846669</v>
          </cell>
          <cell r="V24">
            <v>0.13558644308389245</v>
          </cell>
          <cell r="W24">
            <v>0.27148203081726674</v>
          </cell>
          <cell r="X24">
            <v>0.28140374209414742</v>
          </cell>
          <cell r="Y24">
            <v>0.20926039885189857</v>
          </cell>
          <cell r="Z24">
            <v>0.61196206479930682</v>
          </cell>
          <cell r="AA24">
            <v>-0.40137496483298385</v>
          </cell>
        </row>
        <row r="26">
          <cell r="A26" t="str">
            <v>SERVICIO DE LA DEUDA</v>
          </cell>
          <cell r="D26">
            <v>642008.13299999991</v>
          </cell>
          <cell r="E26">
            <v>981207.84400000004</v>
          </cell>
          <cell r="F26">
            <v>1186322.27</v>
          </cell>
          <cell r="G26">
            <v>1555947.0029999998</v>
          </cell>
          <cell r="H26">
            <v>2492870.6804299997</v>
          </cell>
          <cell r="I26">
            <v>2555290.0435859999</v>
          </cell>
          <cell r="J26">
            <v>4931696.6335319998</v>
          </cell>
          <cell r="K26">
            <v>8105297.8707762575</v>
          </cell>
          <cell r="L26">
            <v>15954873.558034485</v>
          </cell>
          <cell r="P26" t="str">
            <v>SERVICIO DE LA DEUDA</v>
          </cell>
          <cell r="S26">
            <v>4.2442048364811882</v>
          </cell>
          <cell r="T26">
            <v>4.8507115193392645</v>
          </cell>
          <cell r="U26">
            <v>4.5209124000205634</v>
          </cell>
          <cell r="V26">
            <v>4.6952835326633569</v>
          </cell>
          <cell r="W26">
            <v>5.7186770919923413</v>
          </cell>
          <cell r="X26">
            <v>4.4910871610691521</v>
          </cell>
          <cell r="Y26">
            <v>6.8110758351835914</v>
          </cell>
          <cell r="Z26">
            <v>9.0127872136859288</v>
          </cell>
          <cell r="AA26">
            <v>14.637959034192823</v>
          </cell>
        </row>
        <row r="27">
          <cell r="A27" t="str">
            <v>1.</v>
          </cell>
          <cell r="B27" t="str">
            <v>INTERNA</v>
          </cell>
          <cell r="D27">
            <v>53495.635999999999</v>
          </cell>
          <cell r="E27">
            <v>317438.14600000001</v>
          </cell>
          <cell r="F27">
            <v>191249.383</v>
          </cell>
          <cell r="G27">
            <v>342860.55699999997</v>
          </cell>
          <cell r="H27">
            <v>1209860.2339999999</v>
          </cell>
          <cell r="I27">
            <v>1316512.6035509999</v>
          </cell>
          <cell r="J27">
            <v>3410773.4025599998</v>
          </cell>
          <cell r="K27">
            <v>5774404.6764245965</v>
          </cell>
          <cell r="L27">
            <v>12048979.051885806</v>
          </cell>
          <cell r="P27" t="str">
            <v>1.</v>
          </cell>
          <cell r="Q27" t="str">
            <v>INTERNA</v>
          </cell>
          <cell r="S27">
            <v>0.35365040623533223</v>
          </cell>
          <cell r="T27">
            <v>1.5692912372191545</v>
          </cell>
          <cell r="U27">
            <v>0.72882531919508009</v>
          </cell>
          <cell r="V27">
            <v>1.0346287657471622</v>
          </cell>
          <cell r="W27">
            <v>2.7754347864907527</v>
          </cell>
          <cell r="X27">
            <v>2.3138558638518121</v>
          </cell>
          <cell r="Y27">
            <v>4.7105566355215256</v>
          </cell>
          <cell r="Z27">
            <v>6.4209214101768168</v>
          </cell>
          <cell r="AA27">
            <v>11.054456879511593</v>
          </cell>
        </row>
        <row r="28">
          <cell r="B28" t="str">
            <v>1.1.</v>
          </cell>
          <cell r="C28" t="str">
            <v>Vigencia</v>
          </cell>
          <cell r="D28">
            <v>43883.635999999999</v>
          </cell>
          <cell r="E28">
            <v>303956</v>
          </cell>
          <cell r="F28">
            <v>181226.709</v>
          </cell>
          <cell r="G28">
            <v>322907.95699999999</v>
          </cell>
          <cell r="H28">
            <v>1121100.2999999998</v>
          </cell>
          <cell r="I28">
            <v>1288610.748864</v>
          </cell>
          <cell r="J28">
            <v>3407106.3435379998</v>
          </cell>
          <cell r="K28">
            <v>5204532.9409779999</v>
          </cell>
          <cell r="L28">
            <v>10199179.051885806</v>
          </cell>
          <cell r="Q28" t="str">
            <v>1.1.</v>
          </cell>
          <cell r="R28" t="str">
            <v>Vigencia</v>
          </cell>
          <cell r="S28">
            <v>0.29010713506581076</v>
          </cell>
          <cell r="T28">
            <v>1.5026407295744015</v>
          </cell>
          <cell r="U28">
            <v>0.69063027530707843</v>
          </cell>
          <cell r="V28">
            <v>0.97441905806869411</v>
          </cell>
          <cell r="W28">
            <v>2.5718183673811188</v>
          </cell>
          <cell r="X28">
            <v>2.2648165535514644</v>
          </cell>
          <cell r="Y28">
            <v>4.7054921275140549</v>
          </cell>
          <cell r="Z28">
            <v>5.7872454154681607</v>
          </cell>
          <cell r="AA28">
            <v>9.3573392857582771</v>
          </cell>
        </row>
        <row r="29">
          <cell r="B29" t="str">
            <v>1.2.</v>
          </cell>
          <cell r="C29" t="str">
            <v>Reservas de apropiación</v>
          </cell>
          <cell r="D29">
            <v>0</v>
          </cell>
          <cell r="E29">
            <v>2300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200</v>
          </cell>
          <cell r="L29">
            <v>0</v>
          </cell>
          <cell r="Q29" t="str">
            <v>1.2.</v>
          </cell>
          <cell r="R29" t="str">
            <v>Reservas de apropiación</v>
          </cell>
          <cell r="S29">
            <v>0</v>
          </cell>
          <cell r="T29">
            <v>1.137030911717855E-2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2.2239249827403964E-4</v>
          </cell>
          <cell r="AA29">
            <v>0</v>
          </cell>
        </row>
        <row r="30">
          <cell r="B30" t="str">
            <v>1.3.</v>
          </cell>
          <cell r="C30" t="str">
            <v>Reservas de Tesorería</v>
          </cell>
          <cell r="D30">
            <v>1630.654</v>
          </cell>
          <cell r="E30">
            <v>9612</v>
          </cell>
          <cell r="F30">
            <v>11182.146000000001</v>
          </cell>
          <cell r="G30">
            <v>10022.674000000001</v>
          </cell>
          <cell r="H30">
            <v>19952.599999999999</v>
          </cell>
          <cell r="I30">
            <v>88759.933999999994</v>
          </cell>
          <cell r="J30">
            <v>27901.854686999999</v>
          </cell>
          <cell r="K30">
            <v>3667.0590219999999</v>
          </cell>
          <cell r="L30">
            <v>569671.7354465964</v>
          </cell>
          <cell r="Q30" t="str">
            <v>1.3.</v>
          </cell>
          <cell r="R30" t="str">
            <v>Reservas de Tesorería</v>
          </cell>
          <cell r="S30">
            <v>1.0779971837876073E-2</v>
          </cell>
          <cell r="T30">
            <v>4.7518004884487056E-2</v>
          </cell>
          <cell r="U30">
            <v>4.2613633570446542E-2</v>
          </cell>
          <cell r="V30">
            <v>3.024479374600729E-2</v>
          </cell>
          <cell r="W30">
            <v>4.5771518531400372E-2</v>
          </cell>
          <cell r="X30">
            <v>0.15600131226016306</v>
          </cell>
          <cell r="Y30">
            <v>3.8534740138572762E-2</v>
          </cell>
          <cell r="Z30">
            <v>4.0776320861046818E-3</v>
          </cell>
          <cell r="AA30">
            <v>0.52265105681176505</v>
          </cell>
        </row>
        <row r="31">
          <cell r="B31" t="str">
            <v>1.4.</v>
          </cell>
          <cell r="C31" t="str">
            <v>Deuda Flotante</v>
          </cell>
          <cell r="D31">
            <v>7981.3459999999995</v>
          </cell>
          <cell r="E31">
            <v>1570.1460000000006</v>
          </cell>
          <cell r="F31">
            <v>-1159.4719999999998</v>
          </cell>
          <cell r="G31">
            <v>9929.9259999999977</v>
          </cell>
          <cell r="H31">
            <v>68807.334000000003</v>
          </cell>
          <cell r="I31">
            <v>-60858.079312999995</v>
          </cell>
          <cell r="J31">
            <v>-24234.795664999998</v>
          </cell>
          <cell r="K31">
            <v>566004.67642459646</v>
          </cell>
          <cell r="L31">
            <v>1280128.2645534035</v>
          </cell>
          <cell r="Q31" t="str">
            <v>1.4.</v>
          </cell>
          <cell r="R31" t="str">
            <v>Deuda Flotante</v>
          </cell>
          <cell r="S31">
            <v>5.2763299331645364E-2</v>
          </cell>
          <cell r="T31">
            <v>7.762193643087582E-3</v>
          </cell>
          <cell r="U31">
            <v>-4.418589682444924E-3</v>
          </cell>
          <cell r="V31">
            <v>2.9964913932461049E-2</v>
          </cell>
          <cell r="W31">
            <v>0.15784490057823317</v>
          </cell>
          <cell r="X31">
            <v>-0.10696200195981539</v>
          </cell>
          <cell r="Y31">
            <v>-3.3470232131102652E-2</v>
          </cell>
          <cell r="Z31">
            <v>0.62937597012427704</v>
          </cell>
          <cell r="AA31">
            <v>1.1744665369415503</v>
          </cell>
        </row>
        <row r="32">
          <cell r="A32" t="str">
            <v>2.</v>
          </cell>
          <cell r="B32" t="str">
            <v>EXTERNA</v>
          </cell>
          <cell r="D32">
            <v>588512.49699999997</v>
          </cell>
          <cell r="E32">
            <v>663769.69799999997</v>
          </cell>
          <cell r="F32">
            <v>995072.88699999999</v>
          </cell>
          <cell r="G32">
            <v>1213086.4459999998</v>
          </cell>
          <cell r="H32">
            <v>1283010.44643</v>
          </cell>
          <cell r="I32">
            <v>1238777.440035</v>
          </cell>
          <cell r="J32">
            <v>1520923.2309719999</v>
          </cell>
          <cell r="K32">
            <v>2330893.194351661</v>
          </cell>
          <cell r="L32">
            <v>3905894.5061486787</v>
          </cell>
          <cell r="P32" t="str">
            <v>2.</v>
          </cell>
          <cell r="Q32" t="str">
            <v>EXTERNA</v>
          </cell>
          <cell r="S32">
            <v>3.8905544302458566</v>
          </cell>
          <cell r="T32">
            <v>3.2814202821201093</v>
          </cell>
          <cell r="U32">
            <v>3.7920870808254832</v>
          </cell>
          <cell r="V32">
            <v>3.6606547669161946</v>
          </cell>
          <cell r="W32">
            <v>2.9432423055015895</v>
          </cell>
          <cell r="X32">
            <v>2.17723129721734</v>
          </cell>
          <cell r="Y32">
            <v>2.1005191996620658</v>
          </cell>
          <cell r="Z32">
            <v>2.5918658035091124</v>
          </cell>
          <cell r="AA32">
            <v>3.5835021546812307</v>
          </cell>
        </row>
        <row r="33">
          <cell r="B33" t="str">
            <v>2.1.</v>
          </cell>
          <cell r="C33" t="str">
            <v>Vigencia</v>
          </cell>
          <cell r="D33">
            <v>502217.49699999997</v>
          </cell>
          <cell r="E33">
            <v>622360</v>
          </cell>
          <cell r="F33">
            <v>984036.4</v>
          </cell>
          <cell r="G33">
            <v>1127655.3459999999</v>
          </cell>
          <cell r="H33">
            <v>1264475.7</v>
          </cell>
          <cell r="I33">
            <v>1227136.3594519999</v>
          </cell>
          <cell r="J33">
            <v>1479298.6209249999</v>
          </cell>
          <cell r="K33">
            <v>1924315.2899529999</v>
          </cell>
          <cell r="L33">
            <v>3722794.5061486787</v>
          </cell>
          <cell r="Q33" t="str">
            <v>2.1.</v>
          </cell>
          <cell r="R33" t="str">
            <v>Vigencia</v>
          </cell>
          <cell r="S33">
            <v>3.3200730959164919</v>
          </cell>
          <cell r="T33">
            <v>3.0767067748553227</v>
          </cell>
          <cell r="U33">
            <v>3.7500285338414789</v>
          </cell>
          <cell r="V33">
            <v>3.4028547028819336</v>
          </cell>
          <cell r="W33">
            <v>2.9007233611186236</v>
          </cell>
          <cell r="X33">
            <v>2.1567713468181622</v>
          </cell>
          <cell r="Y33">
            <v>2.0430322135988095</v>
          </cell>
          <cell r="Z33">
            <v>2.1397664239979028</v>
          </cell>
          <cell r="AA33">
            <v>3.4155152201930523</v>
          </cell>
        </row>
        <row r="34">
          <cell r="B34" t="str">
            <v>2.2.</v>
          </cell>
          <cell r="C34" t="str">
            <v>Reservas de apropiación</v>
          </cell>
          <cell r="D34">
            <v>0</v>
          </cell>
          <cell r="E34">
            <v>799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260.10000000000002</v>
          </cell>
          <cell r="L34">
            <v>0</v>
          </cell>
          <cell r="Q34" t="str">
            <v>2.2.</v>
          </cell>
          <cell r="R34" t="str">
            <v>Reservas de apropiación</v>
          </cell>
          <cell r="S34">
            <v>0</v>
          </cell>
          <cell r="T34">
            <v>3.9499465150546354E-3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2.8922144400538854E-4</v>
          </cell>
          <cell r="AA34">
            <v>0</v>
          </cell>
        </row>
        <row r="35">
          <cell r="B35" t="str">
            <v>2.3.</v>
          </cell>
          <cell r="C35" t="str">
            <v>Reservas de Tesorería</v>
          </cell>
          <cell r="D35">
            <v>18709.312999999998</v>
          </cell>
          <cell r="E35">
            <v>86295</v>
          </cell>
          <cell r="F35">
            <v>40610.697999999997</v>
          </cell>
          <cell r="G35">
            <v>11036.486999999999</v>
          </cell>
          <cell r="H35">
            <v>85431.099999999991</v>
          </cell>
          <cell r="I35">
            <v>18534.746429999999</v>
          </cell>
          <cell r="J35">
            <v>11641.080583000001</v>
          </cell>
          <cell r="K35">
            <v>41624.610047000002</v>
          </cell>
          <cell r="L35">
            <v>406317.8043986609</v>
          </cell>
          <cell r="Q35" t="str">
            <v>2.3.</v>
          </cell>
          <cell r="R35" t="str">
            <v>Reservas de Tesorería</v>
          </cell>
          <cell r="S35">
            <v>0.12368403551336377</v>
          </cell>
          <cell r="T35">
            <v>0.42660905446387953</v>
          </cell>
          <cell r="U35">
            <v>0.15476183226476081</v>
          </cell>
          <cell r="V35">
            <v>3.3304113552480176E-2</v>
          </cell>
          <cell r="W35">
            <v>0.19598003151508667</v>
          </cell>
          <cell r="X35">
            <v>3.2576013018321678E-2</v>
          </cell>
          <cell r="Y35">
            <v>1.6077283041943974E-2</v>
          </cell>
          <cell r="Z35">
            <v>4.6285005090175101E-2</v>
          </cell>
          <cell r="AA35">
            <v>0.37278035165973927</v>
          </cell>
        </row>
        <row r="36">
          <cell r="B36" t="str">
            <v>2.4.</v>
          </cell>
          <cell r="C36" t="str">
            <v>Deuda Flotante</v>
          </cell>
          <cell r="D36">
            <v>67585.687000000005</v>
          </cell>
          <cell r="E36">
            <v>-45684.302000000003</v>
          </cell>
          <cell r="F36">
            <v>-29574.210999999996</v>
          </cell>
          <cell r="G36">
            <v>74394.612999999998</v>
          </cell>
          <cell r="H36">
            <v>-66896.353569999992</v>
          </cell>
          <cell r="I36">
            <v>-6893.6658469999984</v>
          </cell>
          <cell r="J36">
            <v>29983.529463999999</v>
          </cell>
          <cell r="K36">
            <v>364693.1943516609</v>
          </cell>
          <cell r="L36">
            <v>-223217.8043986609</v>
          </cell>
          <cell r="Q36" t="str">
            <v>2.4.</v>
          </cell>
          <cell r="R36" t="str">
            <v>Deuda Flotante</v>
          </cell>
          <cell r="S36">
            <v>0.44679729881600083</v>
          </cell>
          <cell r="T36">
            <v>-0.22584549371414708</v>
          </cell>
          <cell r="U36">
            <v>-0.11270328528075639</v>
          </cell>
          <cell r="V36">
            <v>0.22449595048178086</v>
          </cell>
          <cell r="W36">
            <v>-0.15346108713212142</v>
          </cell>
          <cell r="X36">
            <v>-1.2116062619143773E-2</v>
          </cell>
          <cell r="Y36">
            <v>4.140970302131227E-2</v>
          </cell>
          <cell r="Z36">
            <v>0.40552515297702868</v>
          </cell>
          <cell r="AA36">
            <v>-0.20479341717156105</v>
          </cell>
        </row>
        <row r="38">
          <cell r="A38" t="str">
            <v>INVERSION</v>
          </cell>
          <cell r="D38">
            <v>401180.27699999989</v>
          </cell>
          <cell r="E38">
            <v>698543.87199999997</v>
          </cell>
          <cell r="F38">
            <v>1001927.9469999998</v>
          </cell>
          <cell r="G38">
            <v>1084661.3589999999</v>
          </cell>
          <cell r="H38">
            <v>1426368.5948099999</v>
          </cell>
          <cell r="I38">
            <v>2390426.667376</v>
          </cell>
          <cell r="J38">
            <v>3155755.68042127</v>
          </cell>
          <cell r="K38">
            <v>4182411.6367080738</v>
          </cell>
          <cell r="L38">
            <v>2286180.076307606</v>
          </cell>
          <cell r="P38" t="str">
            <v>INVERSION</v>
          </cell>
          <cell r="S38">
            <v>2.6521334924339075</v>
          </cell>
          <cell r="T38">
            <v>3.4533303289351327</v>
          </cell>
          <cell r="U38">
            <v>3.8182107797061291</v>
          </cell>
          <cell r="V38">
            <v>3.2731144490201882</v>
          </cell>
          <cell r="W38">
            <v>3.2721077238030847</v>
          </cell>
          <cell r="X38">
            <v>4.2013291376753887</v>
          </cell>
          <cell r="Y38">
            <v>4.3583563332984143</v>
          </cell>
          <cell r="Z38">
            <v>4.6506848634896176</v>
          </cell>
          <cell r="AA38">
            <v>2.0974788787922671</v>
          </cell>
        </row>
        <row r="39">
          <cell r="B39" t="str">
            <v>1.1.</v>
          </cell>
          <cell r="C39" t="str">
            <v>Vigencia</v>
          </cell>
          <cell r="D39">
            <v>300944.17699999997</v>
          </cell>
          <cell r="E39">
            <v>509847</v>
          </cell>
          <cell r="F39">
            <v>740705.81499999994</v>
          </cell>
          <cell r="G39">
            <v>698011.73499999999</v>
          </cell>
          <cell r="H39">
            <v>958714.70000000007</v>
          </cell>
          <cell r="I39">
            <v>1384495.9769009999</v>
          </cell>
          <cell r="J39">
            <v>1677982.626127</v>
          </cell>
          <cell r="K39">
            <v>2146733.9303026702</v>
          </cell>
          <cell r="L39">
            <v>439348.78469574777</v>
          </cell>
          <cell r="Q39" t="str">
            <v>1.1.</v>
          </cell>
          <cell r="R39" t="str">
            <v>Vigencia</v>
          </cell>
          <cell r="S39">
            <v>1.9894899548480498</v>
          </cell>
          <cell r="T39">
            <v>2.5204860836809271</v>
          </cell>
          <cell r="U39">
            <v>2.8227288557946713</v>
          </cell>
          <cell r="V39">
            <v>2.106346166438986</v>
          </cell>
          <cell r="W39">
            <v>2.1993037327153329</v>
          </cell>
          <cell r="X39">
            <v>2.4333410299231679</v>
          </cell>
          <cell r="Y39">
            <v>2.3174310518135717</v>
          </cell>
          <cell r="Z39">
            <v>2.3870876094482947</v>
          </cell>
          <cell r="AA39">
            <v>0.40308495637435993</v>
          </cell>
        </row>
        <row r="40">
          <cell r="B40" t="str">
            <v>1.2.</v>
          </cell>
          <cell r="C40" t="str">
            <v>Reservas de apropiación</v>
          </cell>
          <cell r="D40">
            <v>44156.1</v>
          </cell>
          <cell r="E40">
            <v>131762</v>
          </cell>
          <cell r="F40">
            <v>153077.386</v>
          </cell>
          <cell r="G40">
            <v>263387.62400000001</v>
          </cell>
          <cell r="H40">
            <v>301579.3</v>
          </cell>
          <cell r="I40">
            <v>426682.572744</v>
          </cell>
          <cell r="J40">
            <v>544215.95600500004</v>
          </cell>
          <cell r="K40">
            <v>958608.97140806005</v>
          </cell>
          <cell r="L40">
            <v>1105971.7226547827</v>
          </cell>
          <cell r="Q40" t="str">
            <v>1.2.</v>
          </cell>
          <cell r="R40" t="str">
            <v>Reservas de apropiación</v>
          </cell>
          <cell r="S40">
            <v>0.29190834749152161</v>
          </cell>
          <cell r="T40">
            <v>0.65138029125986086</v>
          </cell>
          <cell r="U40">
            <v>0.58335704389173626</v>
          </cell>
          <cell r="V40">
            <v>0.79480828800087888</v>
          </cell>
          <cell r="W40">
            <v>0.69182675534199811</v>
          </cell>
          <cell r="X40">
            <v>0.74992215819590957</v>
          </cell>
          <cell r="Y40">
            <v>0.75160668275175668</v>
          </cell>
          <cell r="Z40">
            <v>1.0659372200967294</v>
          </cell>
          <cell r="AA40">
            <v>1.0146848679376657</v>
          </cell>
        </row>
        <row r="41">
          <cell r="B41" t="str">
            <v>1.3.</v>
          </cell>
          <cell r="C41" t="str">
            <v>Reservas de Tesorería</v>
          </cell>
          <cell r="D41">
            <v>93412.69200000001</v>
          </cell>
          <cell r="E41">
            <v>56080</v>
          </cell>
          <cell r="F41">
            <v>56934.872000000003</v>
          </cell>
          <cell r="G41">
            <v>108144.746</v>
          </cell>
          <cell r="H41">
            <v>123262</v>
          </cell>
          <cell r="I41">
            <v>166074.59480999998</v>
          </cell>
          <cell r="J41">
            <v>579248.11773099995</v>
          </cell>
          <cell r="K41">
            <v>933557.09828926995</v>
          </cell>
          <cell r="L41">
            <v>1077068.7349973437</v>
          </cell>
          <cell r="Q41" t="str">
            <v>1.3.</v>
          </cell>
          <cell r="R41" t="str">
            <v>Reservas de Tesorería</v>
          </cell>
          <cell r="S41">
            <v>0.61753516629535865</v>
          </cell>
          <cell r="T41">
            <v>0.27723779795277087</v>
          </cell>
          <cell r="U41">
            <v>0.21697103335873782</v>
          </cell>
          <cell r="V41">
            <v>0.32634160678920082</v>
          </cell>
          <cell r="W41">
            <v>0.28276459795803421</v>
          </cell>
          <cell r="X41">
            <v>0.29188681825106888</v>
          </cell>
          <cell r="Y41">
            <v>0.79998895926159852</v>
          </cell>
          <cell r="Z41">
            <v>1.0380804768500695</v>
          </cell>
          <cell r="AA41">
            <v>0.98816753154158254</v>
          </cell>
        </row>
        <row r="42">
          <cell r="B42" t="str">
            <v>1.4.</v>
          </cell>
          <cell r="C42" t="str">
            <v>Deuda Flotante</v>
          </cell>
          <cell r="D42">
            <v>-37332.69200000001</v>
          </cell>
          <cell r="E42">
            <v>854.87200000000303</v>
          </cell>
          <cell r="F42">
            <v>51209.873999999996</v>
          </cell>
          <cell r="G42">
            <v>15117.254000000001</v>
          </cell>
          <cell r="H42">
            <v>42812.59480999998</v>
          </cell>
          <cell r="I42">
            <v>413173.52292099997</v>
          </cell>
          <cell r="J42">
            <v>354308.98055827001</v>
          </cell>
          <cell r="K42">
            <v>143511.63670807378</v>
          </cell>
          <cell r="L42">
            <v>-336209.16604026826</v>
          </cell>
          <cell r="Q42" t="str">
            <v>1.4.</v>
          </cell>
          <cell r="R42" t="str">
            <v>Deuda Flotante</v>
          </cell>
          <cell r="S42">
            <v>-0.24679997620102212</v>
          </cell>
          <cell r="T42">
            <v>4.2261560415742154E-3</v>
          </cell>
          <cell r="U42">
            <v>0.19515384666098415</v>
          </cell>
          <cell r="V42">
            <v>4.5618387791122782E-2</v>
          </cell>
          <cell r="W42">
            <v>9.8212637787719381E-2</v>
          </cell>
          <cell r="X42">
            <v>0.72617913130524148</v>
          </cell>
          <cell r="Y42">
            <v>0.48932963947148822</v>
          </cell>
          <cell r="Z42">
            <v>0.15957955709452451</v>
          </cell>
          <cell r="AA42">
            <v>-0.30845847706134122</v>
          </cell>
        </row>
        <row r="44">
          <cell r="A44" t="str">
            <v>TOTAL</v>
          </cell>
          <cell r="D44">
            <v>2557359.9179999996</v>
          </cell>
          <cell r="E44">
            <v>3722729.2560000001</v>
          </cell>
          <cell r="F44">
            <v>5028291.368999999</v>
          </cell>
          <cell r="G44">
            <v>6999904.296000001</v>
          </cell>
          <cell r="H44">
            <v>10267718.256239997</v>
          </cell>
          <cell r="I44">
            <v>13362172.286022998</v>
          </cell>
          <cell r="J44">
            <v>18831778.02793254</v>
          </cell>
          <cell r="K44">
            <v>25766957.505246505</v>
          </cell>
          <cell r="L44">
            <v>36855672.000612743</v>
          </cell>
          <cell r="P44" t="str">
            <v>TOTAL</v>
          </cell>
          <cell r="S44">
            <v>16.906264538861745</v>
          </cell>
          <cell r="T44">
            <v>18.403731478384401</v>
          </cell>
          <cell r="U44">
            <v>19.16213273230424</v>
          </cell>
          <cell r="V44">
            <v>21.123171488398242</v>
          </cell>
          <cell r="W44">
            <v>23.554276457238004</v>
          </cell>
          <cell r="X44">
            <v>23.484880140469357</v>
          </cell>
          <cell r="Y44">
            <v>26.008223496044923</v>
          </cell>
          <cell r="Z44">
            <v>28.651890262563928</v>
          </cell>
          <cell r="AA44">
            <v>33.813606542243129</v>
          </cell>
        </row>
        <row r="45">
          <cell r="C45" t="str">
            <v>Vigencia</v>
          </cell>
          <cell r="D45">
            <v>2272076.5039999997</v>
          </cell>
          <cell r="E45">
            <v>3302176</v>
          </cell>
          <cell r="F45">
            <v>4628191.3469999991</v>
          </cell>
          <cell r="G45">
            <v>6291665.8440000005</v>
          </cell>
          <cell r="H45">
            <v>9373474.9999999981</v>
          </cell>
          <cell r="I45">
            <v>11670494.857997</v>
          </cell>
          <cell r="J45">
            <v>16469406.425021999</v>
          </cell>
          <cell r="K45">
            <v>21232333.953963906</v>
          </cell>
          <cell r="L45">
            <v>31138731.894625232</v>
          </cell>
          <cell r="R45" t="str">
            <v>Vigencia</v>
          </cell>
          <cell r="S45">
            <v>15.02030518222745</v>
          </cell>
          <cell r="T45">
            <v>16.324679077968778</v>
          </cell>
          <cell r="U45">
            <v>17.637406107465363</v>
          </cell>
          <cell r="V45">
            <v>18.985964800469304</v>
          </cell>
          <cell r="W45">
            <v>21.502871037665166</v>
          </cell>
          <cell r="X45">
            <v>20.511647885779386</v>
          </cell>
          <cell r="Y45">
            <v>22.745595371495362</v>
          </cell>
          <cell r="Z45">
            <v>23.609558961053754</v>
          </cell>
          <cell r="AA45">
            <v>28.568542407577031</v>
          </cell>
        </row>
        <row r="46">
          <cell r="C46" t="str">
            <v>Reservas de apropiación</v>
          </cell>
          <cell r="D46">
            <v>83376.41399999999</v>
          </cell>
          <cell r="E46">
            <v>216155</v>
          </cell>
          <cell r="F46">
            <v>221817.58899999998</v>
          </cell>
          <cell r="G46">
            <v>374226.598</v>
          </cell>
          <cell r="H46">
            <v>409219.1</v>
          </cell>
          <cell r="I46">
            <v>630987.60453799996</v>
          </cell>
          <cell r="J46">
            <v>744073.92789699999</v>
          </cell>
          <cell r="K46">
            <v>1154768.3710225602</v>
          </cell>
          <cell r="L46">
            <v>2065027.499342344</v>
          </cell>
          <cell r="R46" t="str">
            <v>Reservas de apropiación</v>
          </cell>
          <cell r="S46">
            <v>0.55118706657764083</v>
          </cell>
          <cell r="T46">
            <v>1.0685865944450998</v>
          </cell>
          <cell r="U46">
            <v>0.84531658387628927</v>
          </cell>
          <cell r="V46">
            <v>1.1292800973851873</v>
          </cell>
          <cell r="W46">
            <v>0.9387538275238807</v>
          </cell>
          <cell r="X46">
            <v>1.109001436704818</v>
          </cell>
          <cell r="Y46">
            <v>1.0276268648462701</v>
          </cell>
          <cell r="Z46">
            <v>1.2840591147977511</v>
          </cell>
          <cell r="AA46">
            <v>1.8945802252774924</v>
          </cell>
        </row>
        <row r="47">
          <cell r="C47" t="str">
            <v>Reservas de Tesorería</v>
          </cell>
          <cell r="D47">
            <v>198262.264</v>
          </cell>
          <cell r="E47">
            <v>201907</v>
          </cell>
          <cell r="F47">
            <v>204398.25600000002</v>
          </cell>
          <cell r="G47">
            <v>178282.43299999999</v>
          </cell>
          <cell r="H47">
            <v>334011.85399999999</v>
          </cell>
          <cell r="I47">
            <v>485024.15623999998</v>
          </cell>
          <cell r="J47">
            <v>1060689.8234879998</v>
          </cell>
          <cell r="K47">
            <v>1618297.6750135398</v>
          </cell>
          <cell r="L47">
            <v>3379855.1802600399</v>
          </cell>
          <cell r="R47" t="str">
            <v>Reservas de Tesorería</v>
          </cell>
          <cell r="S47">
            <v>1.3106775701243496</v>
          </cell>
          <cell r="T47">
            <v>0.99815000127050846</v>
          </cell>
          <cell r="U47">
            <v>0.7789338811729275</v>
          </cell>
          <cell r="V47">
            <v>0.53799169908363409</v>
          </cell>
          <cell r="W47">
            <v>0.7662274473035291</v>
          </cell>
          <cell r="X47">
            <v>0.85246125635152425</v>
          </cell>
          <cell r="Y47">
            <v>1.4648992754873165</v>
          </cell>
          <cell r="Z47">
            <v>1.7994863144866549</v>
          </cell>
          <cell r="AA47">
            <v>3.1008820903652272</v>
          </cell>
        </row>
        <row r="48">
          <cell r="C48" t="str">
            <v>Deuda Flotante</v>
          </cell>
          <cell r="D48">
            <v>3644.7359999999971</v>
          </cell>
          <cell r="E48">
            <v>2491.2560000000012</v>
          </cell>
          <cell r="F48">
            <v>-26115.823000000004</v>
          </cell>
          <cell r="G48">
            <v>155729.42100000003</v>
          </cell>
          <cell r="H48">
            <v>151012.30223999999</v>
          </cell>
          <cell r="I48">
            <v>575665.66724799993</v>
          </cell>
          <cell r="J48">
            <v>557607.85152554</v>
          </cell>
          <cell r="K48">
            <v>1761557.5052465</v>
          </cell>
          <cell r="L48">
            <v>272057.42638512759</v>
          </cell>
          <cell r="R48" t="str">
            <v>Deuda Flotante</v>
          </cell>
          <cell r="S48">
            <v>2.4094719932305109E-2</v>
          </cell>
          <cell r="T48">
            <v>1.2315804700011208E-2</v>
          </cell>
          <cell r="U48">
            <v>-9.9523840210335307E-2</v>
          </cell>
          <cell r="V48">
            <v>0.46993489146011708</v>
          </cell>
          <cell r="W48">
            <v>0.34642414474542632</v>
          </cell>
          <cell r="X48">
            <v>1.0117695616336349</v>
          </cell>
          <cell r="Y48">
            <v>0.77010198421597664</v>
          </cell>
          <cell r="Z48">
            <v>1.9587858722257692</v>
          </cell>
          <cell r="AA48">
            <v>0.24960181902337952</v>
          </cell>
        </row>
        <row r="50">
          <cell r="Q50" t="str">
            <v>PIB</v>
          </cell>
          <cell r="S50">
            <v>15126700</v>
          </cell>
          <cell r="T50">
            <v>20228122</v>
          </cell>
          <cell r="U50">
            <v>26240771</v>
          </cell>
          <cell r="V50">
            <v>33138510</v>
          </cell>
          <cell r="W50">
            <v>43591737.045630313</v>
          </cell>
          <cell r="X50">
            <v>56896914.977212004</v>
          </cell>
          <cell r="Y50">
            <v>72407014</v>
          </cell>
          <cell r="Z50">
            <v>89931091</v>
          </cell>
          <cell r="AA50">
            <v>108996572</v>
          </cell>
        </row>
        <row r="51">
          <cell r="A51" t="str">
            <v>C:\CARLOSJ\PRES9194\PAGOS.XLS</v>
          </cell>
          <cell r="I51" t="str">
            <v>Rango FMI 1</v>
          </cell>
          <cell r="P51" t="str">
            <v>C:\CARLOSJ\PRES9194\PAGOS.XLS</v>
          </cell>
          <cell r="X51" t="str">
            <v>Rango FMI 2</v>
          </cell>
        </row>
      </sheetData>
      <sheetData sheetId="1" refreshError="1">
        <row r="1">
          <cell r="A1" t="str">
            <v>PAGOS REZAGO POR NUMERALES CON RECURSOS DE LA NACION</v>
          </cell>
        </row>
        <row r="2">
          <cell r="A2" t="str">
            <v>PAGOS POR NUMERALES CON RECURSOS DE LA NACION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Clasificación anterior al Decreto 568 de 1996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 xml:space="preserve"> 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 t="str">
            <v>Proyección</v>
          </cell>
          <cell r="AI6">
            <v>1993</v>
          </cell>
          <cell r="AJ6" t="str">
            <v>TASAS DE CRECIMIENTO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N7">
            <v>1980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O7" t="str">
            <v>96/95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</row>
        <row r="10">
          <cell r="A10" t="str">
            <v>FUNCIONAMIENTO</v>
          </cell>
          <cell r="B10" t="str">
            <v>SERVICIOS PERSONALES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1130234.436</v>
          </cell>
          <cell r="X10">
            <v>1548761.1129999999</v>
          </cell>
          <cell r="Y10">
            <v>1997227</v>
          </cell>
          <cell r="Z10">
            <v>2886633.1660000002</v>
          </cell>
          <cell r="AA10">
            <v>4303008.3059999999</v>
          </cell>
          <cell r="AB10">
            <v>6242190.2539999997</v>
          </cell>
          <cell r="AC10">
            <v>8186211.6855740007</v>
          </cell>
          <cell r="AD10">
            <v>10546775.576811001</v>
          </cell>
          <cell r="AE10">
            <v>12471901</v>
          </cell>
          <cell r="AF10">
            <v>12965872</v>
          </cell>
          <cell r="AG10">
            <v>12791900</v>
          </cell>
          <cell r="AH10">
            <v>19063262.234000001</v>
          </cell>
          <cell r="AI10">
            <v>13236.657999999999</v>
          </cell>
          <cell r="AJ10">
            <v>28.95642738158033</v>
          </cell>
          <cell r="AK10">
            <v>44.532051990084256</v>
          </cell>
          <cell r="AL10">
            <v>49.066682829071318</v>
          </cell>
          <cell r="AM10">
            <v>45.065726350006251</v>
          </cell>
          <cell r="AN10">
            <v>31.143258255037498</v>
          </cell>
          <cell r="AO10">
            <v>28.835852063254851</v>
          </cell>
          <cell r="AP10">
            <v>18.253213118725476</v>
          </cell>
          <cell r="AQ10">
            <v>22.936834159132214</v>
          </cell>
          <cell r="AR10">
            <v>21.287306313081245</v>
          </cell>
          <cell r="AS10">
            <v>49.026041745166872</v>
          </cell>
        </row>
        <row r="11">
          <cell r="A11" t="str">
            <v>1.</v>
          </cell>
          <cell r="B11" t="str">
            <v>SERVICIOS PERSONALES</v>
          </cell>
          <cell r="C11" t="str">
            <v>Reservas de apropiación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288550.58299999998</v>
          </cell>
          <cell r="X11">
            <v>450682.85099999997</v>
          </cell>
          <cell r="Y11">
            <v>565857</v>
          </cell>
          <cell r="Z11">
            <v>788827.1179999999</v>
          </cell>
          <cell r="AA11">
            <v>1165355.1440000001</v>
          </cell>
          <cell r="AB11">
            <v>1627946.0999999999</v>
          </cell>
          <cell r="AC11">
            <v>2072016.50178</v>
          </cell>
          <cell r="AD11">
            <v>2551305.8536439999</v>
          </cell>
          <cell r="AE11">
            <v>2827001</v>
          </cell>
          <cell r="AF11">
            <v>3038901</v>
          </cell>
          <cell r="AG11">
            <v>3741100</v>
          </cell>
          <cell r="AH11">
            <v>4131300</v>
          </cell>
          <cell r="AI11">
            <v>4114.1580000000004</v>
          </cell>
          <cell r="AJ11">
            <v>25.555476261065913</v>
          </cell>
          <cell r="AK11">
            <v>39.403969200699109</v>
          </cell>
          <cell r="AL11">
            <v>47.732642223894771</v>
          </cell>
          <cell r="AM11">
            <v>39.6952773050959</v>
          </cell>
          <cell r="AN11">
            <v>27.277954827865635</v>
          </cell>
          <cell r="AO11">
            <v>23.131541252314271</v>
          </cell>
          <cell r="AP11">
            <v>10.806040599257361</v>
          </cell>
          <cell r="AQ11">
            <v>19.111591252752923</v>
          </cell>
          <cell r="AR11">
            <v>46.634712363342537</v>
          </cell>
          <cell r="AS11">
            <v>10.430087407446997</v>
          </cell>
        </row>
        <row r="12">
          <cell r="B12" t="str">
            <v>1.1.</v>
          </cell>
          <cell r="C12" t="str">
            <v>Vigencia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286526.09999999998</v>
          </cell>
          <cell r="X12">
            <v>448435.77999999997</v>
          </cell>
          <cell r="Y12">
            <v>561895</v>
          </cell>
          <cell r="Z12">
            <v>780872.06299999997</v>
          </cell>
          <cell r="AA12">
            <v>1155639.1529999999</v>
          </cell>
          <cell r="AB12">
            <v>1614299.4</v>
          </cell>
          <cell r="AC12">
            <v>2058168.3357800001</v>
          </cell>
          <cell r="AD12">
            <v>2533434</v>
          </cell>
          <cell r="AE12">
            <v>2801601</v>
          </cell>
          <cell r="AF12">
            <v>3013501</v>
          </cell>
          <cell r="AG12">
            <v>3720242.9032626296</v>
          </cell>
          <cell r="AH12">
            <v>4025801.5790410009</v>
          </cell>
          <cell r="AI12">
            <v>5601.8329999999996</v>
          </cell>
          <cell r="AJ12">
            <v>25.301107775120002</v>
          </cell>
          <cell r="AK12">
            <v>38.971171304247235</v>
          </cell>
          <cell r="AL12">
            <v>47.993404778780004</v>
          </cell>
          <cell r="AM12">
            <v>39.688880894121105</v>
          </cell>
          <cell r="AN12">
            <v>27.49607264798588</v>
          </cell>
          <cell r="AO12">
            <v>23.091680887213961</v>
          </cell>
          <cell r="AP12">
            <v>10.585118854487629</v>
          </cell>
          <cell r="AQ12">
            <v>18.949260174135183</v>
          </cell>
          <cell r="AR12">
            <v>46.845858359153226</v>
          </cell>
          <cell r="AS12">
            <v>8.2134065899406306</v>
          </cell>
        </row>
        <row r="13">
          <cell r="A13" t="str">
            <v>2.</v>
          </cell>
          <cell r="B13" t="str">
            <v>1.2.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</v>
          </cell>
          <cell r="X13">
            <v>858.06499999999994</v>
          </cell>
          <cell r="Y13">
            <v>974</v>
          </cell>
          <cell r="Z13">
            <v>445.137</v>
          </cell>
          <cell r="AA13">
            <v>4114.1580000000004</v>
          </cell>
          <cell r="AB13">
            <v>4524.2</v>
          </cell>
          <cell r="AC13">
            <v>8374.0679999999993</v>
          </cell>
          <cell r="AD13">
            <v>4569.7269999999999</v>
          </cell>
          <cell r="AE13">
            <v>6300</v>
          </cell>
          <cell r="AF13">
            <v>6300</v>
          </cell>
          <cell r="AG13">
            <v>6443.6396408199998</v>
          </cell>
          <cell r="AH13">
            <v>9822.3828690355003</v>
          </cell>
          <cell r="AI13">
            <v>7001.4620601623456</v>
          </cell>
          <cell r="AJ13">
            <v>13.511214185405551</v>
          </cell>
          <cell r="AK13">
            <v>-54.298049281314164</v>
          </cell>
          <cell r="AL13">
            <v>824.24534469163427</v>
          </cell>
          <cell r="AM13">
            <v>9.9666079912341665</v>
          </cell>
          <cell r="AN13">
            <v>85.09500022103353</v>
          </cell>
          <cell r="AO13">
            <v>-45.430022779848457</v>
          </cell>
          <cell r="AP13">
            <v>37.863815497074562</v>
          </cell>
          <cell r="AQ13">
            <v>37.863815497074562</v>
          </cell>
          <cell r="AR13">
            <v>41.007102630419709</v>
          </cell>
          <cell r="AS13">
            <v>52.435322528147019</v>
          </cell>
        </row>
        <row r="14">
          <cell r="B14" t="str">
            <v>1.3.</v>
          </cell>
          <cell r="C14" t="str">
            <v>Reservas de Tesorería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2024.4829999999999</v>
          </cell>
          <cell r="X14">
            <v>1389.0060000000001</v>
          </cell>
          <cell r="Y14">
            <v>2988</v>
          </cell>
          <cell r="Z14">
            <v>7509.9179999999997</v>
          </cell>
          <cell r="AA14">
            <v>5601.8329999999996</v>
          </cell>
          <cell r="AB14">
            <v>9122.5</v>
          </cell>
          <cell r="AC14">
            <v>5474.098</v>
          </cell>
          <cell r="AD14">
            <v>13302.126644</v>
          </cell>
          <cell r="AE14">
            <v>19100</v>
          </cell>
          <cell r="AF14">
            <v>19100</v>
          </cell>
          <cell r="AG14">
            <v>14413.457096550001</v>
          </cell>
          <cell r="AH14">
            <v>95676.038089963811</v>
          </cell>
          <cell r="AI14">
            <v>68198.537939837654</v>
          </cell>
          <cell r="AJ14">
            <v>115.11786126193839</v>
          </cell>
          <cell r="AK14">
            <v>151.33594377510039</v>
          </cell>
          <cell r="AL14">
            <v>-25.407534409829779</v>
          </cell>
          <cell r="AM14">
            <v>62.84848191654411</v>
          </cell>
          <cell r="AN14">
            <v>-39.993444779391616</v>
          </cell>
          <cell r="AO14">
            <v>143.00125142078204</v>
          </cell>
          <cell r="AP14">
            <v>43.586063425543784</v>
          </cell>
          <cell r="AQ14">
            <v>43.586063425543784</v>
          </cell>
          <cell r="AR14">
            <v>8.3545321909205494</v>
          </cell>
          <cell r="AS14">
            <v>563.79659958792809</v>
          </cell>
        </row>
        <row r="15">
          <cell r="A15" t="str">
            <v>2.</v>
          </cell>
          <cell r="B15" t="str">
            <v>GASTOS GENERALES</v>
          </cell>
          <cell r="C15" t="str">
            <v>Reservas de Tesorería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70047.97</v>
          </cell>
          <cell r="X15">
            <v>78613.885999999999</v>
          </cell>
          <cell r="Y15">
            <v>142240</v>
          </cell>
          <cell r="Z15">
            <v>211058.32</v>
          </cell>
          <cell r="AA15">
            <v>323984.92000000004</v>
          </cell>
          <cell r="AB15">
            <v>505133.27799999999</v>
          </cell>
          <cell r="AC15">
            <v>596351.93934400007</v>
          </cell>
          <cell r="AD15">
            <v>701922.21839000005</v>
          </cell>
          <cell r="AE15">
            <v>788600</v>
          </cell>
          <cell r="AF15">
            <v>790371</v>
          </cell>
          <cell r="AG15">
            <v>868000</v>
          </cell>
          <cell r="AH15">
            <v>1047823.0000000001</v>
          </cell>
          <cell r="AI15">
            <v>44751.06</v>
          </cell>
          <cell r="AJ15">
            <v>80.93495594404277</v>
          </cell>
          <cell r="AK15">
            <v>48.381833520809913</v>
          </cell>
          <cell r="AL15">
            <v>53.504926979424461</v>
          </cell>
          <cell r="AM15">
            <v>55.912589388419654</v>
          </cell>
          <cell r="AN15">
            <v>18.058335357584589</v>
          </cell>
          <cell r="AO15">
            <v>17.702680595309129</v>
          </cell>
          <cell r="AP15">
            <v>12.348630566049446</v>
          </cell>
          <cell r="AQ15">
            <v>12.600937723965355</v>
          </cell>
          <cell r="AR15">
            <v>23.660425223599969</v>
          </cell>
          <cell r="AS15">
            <v>20.716935483870991</v>
          </cell>
        </row>
        <row r="16">
          <cell r="A16" t="str">
            <v>3.</v>
          </cell>
          <cell r="B16" t="str">
            <v>2.1.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49524.1</v>
          </cell>
          <cell r="X16">
            <v>60562.438000000002</v>
          </cell>
          <cell r="Y16">
            <v>112505</v>
          </cell>
          <cell r="Z16">
            <v>176720.44200000001</v>
          </cell>
          <cell r="AA16">
            <v>258642.916</v>
          </cell>
          <cell r="AB16">
            <v>399005.9</v>
          </cell>
          <cell r="AC16">
            <v>508771.81699999998</v>
          </cell>
          <cell r="AD16">
            <v>567045.63896799996</v>
          </cell>
          <cell r="AE16">
            <v>585500</v>
          </cell>
          <cell r="AF16">
            <v>587771</v>
          </cell>
          <cell r="AG16">
            <v>675253.51317078003</v>
          </cell>
          <cell r="AH16">
            <v>770641.77358200005</v>
          </cell>
          <cell r="AI16">
            <v>20590.944</v>
          </cell>
          <cell r="AJ16">
            <v>85.766960042130407</v>
          </cell>
          <cell r="AK16">
            <v>57.077856095284659</v>
          </cell>
          <cell r="AL16">
            <v>46.357101121329251</v>
          </cell>
          <cell r="AM16">
            <v>54.269023165513651</v>
          </cell>
          <cell r="AN16">
            <v>27.509848099990485</v>
          </cell>
          <cell r="AO16">
            <v>11.453822719901163</v>
          </cell>
          <cell r="AP16">
            <v>3.2544754361547135</v>
          </cell>
          <cell r="AQ16">
            <v>3.6549722998874268</v>
          </cell>
          <cell r="AR16">
            <v>19.082745156053747</v>
          </cell>
          <cell r="AS16">
            <v>14.126288653176555</v>
          </cell>
        </row>
        <row r="17">
          <cell r="B17" t="str">
            <v>2.2.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</v>
          </cell>
          <cell r="X17">
            <v>10424.849</v>
          </cell>
          <cell r="Y17">
            <v>12493</v>
          </cell>
          <cell r="Z17">
            <v>24202.214</v>
          </cell>
          <cell r="AA17">
            <v>44751.06</v>
          </cell>
          <cell r="AB17">
            <v>77700.800000000003</v>
          </cell>
          <cell r="AC17">
            <v>67560.148344000001</v>
          </cell>
          <cell r="AD17">
            <v>52550.792460999997</v>
          </cell>
          <cell r="AE17">
            <v>77294</v>
          </cell>
          <cell r="AF17">
            <v>81600</v>
          </cell>
          <cell r="AG17">
            <v>65501.099445650005</v>
          </cell>
          <cell r="AH17">
            <v>94194.583645818668</v>
          </cell>
          <cell r="AI17">
            <v>102594.77227288127</v>
          </cell>
          <cell r="AJ17">
            <v>19.83866624830728</v>
          </cell>
          <cell r="AK17">
            <v>93.726198671255915</v>
          </cell>
          <cell r="AL17">
            <v>84.904819038456552</v>
          </cell>
          <cell r="AM17">
            <v>73.628959850336528</v>
          </cell>
          <cell r="AN17">
            <v>-13.050897360130143</v>
          </cell>
          <cell r="AO17">
            <v>-22.216286155228637</v>
          </cell>
          <cell r="AP17">
            <v>47.084366153684364</v>
          </cell>
          <cell r="AQ17">
            <v>55.278343443742649</v>
          </cell>
          <cell r="AR17">
            <v>24.643409505690972</v>
          </cell>
          <cell r="AS17">
            <v>43.806110802731311</v>
          </cell>
        </row>
        <row r="18">
          <cell r="B18" t="str">
            <v>2.3.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20523.870000000003</v>
          </cell>
          <cell r="X18">
            <v>7626.5989999999993</v>
          </cell>
          <cell r="Y18">
            <v>17242</v>
          </cell>
          <cell r="Z18">
            <v>10135.664000000001</v>
          </cell>
          <cell r="AA18">
            <v>20590.944</v>
          </cell>
          <cell r="AB18">
            <v>28426.578000000001</v>
          </cell>
          <cell r="AC18">
            <v>20019.974000000002</v>
          </cell>
          <cell r="AD18">
            <v>82325.786961000005</v>
          </cell>
          <cell r="AE18">
            <v>125806</v>
          </cell>
          <cell r="AF18">
            <v>121000</v>
          </cell>
          <cell r="AG18">
            <v>127245.38738357001</v>
          </cell>
          <cell r="AH18">
            <v>182986.6427721814</v>
          </cell>
          <cell r="AI18">
            <v>199305.22772711873</v>
          </cell>
          <cell r="AJ18">
            <v>126.07718066729352</v>
          </cell>
          <cell r="AK18">
            <v>-41.215265050458186</v>
          </cell>
          <cell r="AL18">
            <v>103.15337998576118</v>
          </cell>
          <cell r="AM18">
            <v>38.053787140599304</v>
          </cell>
          <cell r="AN18">
            <v>-29.573042523795856</v>
          </cell>
          <cell r="AO18">
            <v>311.21825113758888</v>
          </cell>
          <cell r="AP18">
            <v>52.814816163977611</v>
          </cell>
          <cell r="AQ18">
            <v>46.977034130655859</v>
          </cell>
          <cell r="AR18">
            <v>54.563220202012339</v>
          </cell>
          <cell r="AS18">
            <v>43.806110802731332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>
            <v>7293547.5047770003</v>
          </cell>
          <cell r="AE19">
            <v>8856300</v>
          </cell>
          <cell r="AF19">
            <v>9136600</v>
          </cell>
          <cell r="AG19">
            <v>8182800</v>
          </cell>
          <cell r="AH19">
            <v>13884139.234000001</v>
          </cell>
          <cell r="AI19">
            <v>61973.756000000001</v>
          </cell>
          <cell r="AJ19">
            <v>26.451696630937516</v>
          </cell>
          <cell r="AK19">
            <v>46.358220505302029</v>
          </cell>
          <cell r="AL19">
            <v>49.127951778829427</v>
          </cell>
          <cell r="AM19">
            <v>46.041058240724865</v>
          </cell>
          <cell r="AN19">
            <v>34.283143262888217</v>
          </cell>
          <cell r="AO19">
            <v>32.181129141590837</v>
          </cell>
          <cell r="AP19">
            <v>21.426507391628768</v>
          </cell>
          <cell r="AQ19">
            <v>25.269630368704242</v>
          </cell>
          <cell r="AR19">
            <v>12.192317862337543</v>
          </cell>
          <cell r="AS19">
            <v>69.674674121327683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715945</v>
          </cell>
          <cell r="X20">
            <v>916032.97599999991</v>
          </cell>
          <cell r="Y20">
            <v>1191613</v>
          </cell>
          <cell r="Z20">
            <v>1764629.9180000001</v>
          </cell>
          <cell r="AA20">
            <v>2728808.7370000002</v>
          </cell>
          <cell r="AB20">
            <v>4015879</v>
          </cell>
          <cell r="AC20">
            <v>5203311.62</v>
          </cell>
          <cell r="AD20">
            <v>6804539.1954640001</v>
          </cell>
          <cell r="AE20">
            <v>8147300</v>
          </cell>
          <cell r="AF20">
            <v>8414000</v>
          </cell>
          <cell r="AG20">
            <v>7561255.3762968201</v>
          </cell>
          <cell r="AH20">
            <v>11980966.199272001</v>
          </cell>
          <cell r="AI20">
            <v>22885.749</v>
          </cell>
          <cell r="AJ20">
            <v>30.084072431907739</v>
          </cell>
          <cell r="AK20">
            <v>48.087501395167735</v>
          </cell>
          <cell r="AL20">
            <v>54.639151765758513</v>
          </cell>
          <cell r="AM20">
            <v>47.166012243678914</v>
          </cell>
          <cell r="AN20">
            <v>29.568436200393489</v>
          </cell>
          <cell r="AO20">
            <v>30.773240051765338</v>
          </cell>
          <cell r="AP20">
            <v>19.733309868081928</v>
          </cell>
          <cell r="AQ20">
            <v>23.652752351090701</v>
          </cell>
          <cell r="AR20">
            <v>11.120755705797936</v>
          </cell>
          <cell r="AS20">
            <v>58.452077109181921</v>
          </cell>
        </row>
        <row r="21">
          <cell r="A21" t="str">
            <v>1.</v>
          </cell>
          <cell r="B21" t="str">
            <v>3.2.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</v>
          </cell>
          <cell r="X21">
            <v>27937.4</v>
          </cell>
          <cell r="Y21">
            <v>67827</v>
          </cell>
          <cell r="Z21">
            <v>44092.851999999999</v>
          </cell>
          <cell r="AA21">
            <v>61973.756000000001</v>
          </cell>
          <cell r="AB21">
            <v>25414.799999999999</v>
          </cell>
          <cell r="AC21">
            <v>128370.81544999999</v>
          </cell>
          <cell r="AD21">
            <v>142737.45243100001</v>
          </cell>
          <cell r="AE21">
            <v>209122</v>
          </cell>
          <cell r="AF21">
            <v>226100</v>
          </cell>
          <cell r="AG21">
            <v>123754.56052803001</v>
          </cell>
          <cell r="AH21">
            <v>855038.81017270719</v>
          </cell>
          <cell r="AI21">
            <v>498150.72797886416</v>
          </cell>
          <cell r="AJ21">
            <v>142.78207707231167</v>
          </cell>
          <cell r="AK21">
            <v>-34.992183053946071</v>
          </cell>
          <cell r="AL21">
            <v>40.552840628226996</v>
          </cell>
          <cell r="AM21">
            <v>-58.991028395955226</v>
          </cell>
          <cell r="AN21">
            <v>405.10259946960036</v>
          </cell>
          <cell r="AO21">
            <v>11.191513375246709</v>
          </cell>
          <cell r="AP21">
            <v>46.508149359811938</v>
          </cell>
          <cell r="AQ21">
            <v>58.402715019239857</v>
          </cell>
          <cell r="AR21">
            <v>-13.299166812681085</v>
          </cell>
          <cell r="AS21">
            <v>590.91499054618168</v>
          </cell>
        </row>
        <row r="22">
          <cell r="B22" t="str">
            <v>3.3.</v>
          </cell>
          <cell r="C22" t="str">
            <v>Reservas de Tesorería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55690.883000000002</v>
          </cell>
          <cell r="X22">
            <v>75494</v>
          </cell>
          <cell r="Y22">
            <v>29690</v>
          </cell>
          <cell r="Z22">
            <v>78024.957999999999</v>
          </cell>
          <cell r="AA22">
            <v>22885.749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O22">
            <v>86.006312898006371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</row>
        <row r="24">
          <cell r="A24" t="str">
            <v>SERVICIO DE LA DEUDA</v>
          </cell>
          <cell r="B24" t="str">
            <v>EXTERNA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490596.93699999992</v>
          </cell>
          <cell r="X24">
            <v>566441.1</v>
          </cell>
          <cell r="Y24">
            <v>1025322</v>
          </cell>
          <cell r="Z24">
            <v>1217055.953</v>
          </cell>
          <cell r="AA24">
            <v>1471622.4639999999</v>
          </cell>
          <cell r="AB24">
            <v>2490959.7000000002</v>
          </cell>
          <cell r="AC24">
            <v>2623041.7887459998</v>
          </cell>
          <cell r="AD24">
            <v>4925947.8997329995</v>
          </cell>
          <cell r="AE24">
            <v>7085000</v>
          </cell>
          <cell r="AF24">
            <v>7305400</v>
          </cell>
          <cell r="AG24">
            <v>7174600</v>
          </cell>
          <cell r="AH24">
            <v>14897963.097879741</v>
          </cell>
          <cell r="AI24">
            <v>19952.599999999999</v>
          </cell>
          <cell r="AJ24">
            <v>81.011229587683516</v>
          </cell>
          <cell r="AK24">
            <v>18.699877014245271</v>
          </cell>
          <cell r="AL24">
            <v>20.916582378361692</v>
          </cell>
          <cell r="AM24">
            <v>69.266218811946615</v>
          </cell>
          <cell r="AN24">
            <v>5.3024578738066097</v>
          </cell>
          <cell r="AO24">
            <v>87.795250570062507</v>
          </cell>
          <cell r="AP24">
            <v>43.830185463066449</v>
          </cell>
          <cell r="AQ24">
            <v>48.304451218332488</v>
          </cell>
          <cell r="AR24">
            <v>45.649124717475885</v>
          </cell>
          <cell r="AS24">
            <v>107.6486925804887</v>
          </cell>
        </row>
        <row r="25">
          <cell r="A25" t="str">
            <v>1.</v>
          </cell>
          <cell r="B25" t="str">
            <v>INTERNA</v>
          </cell>
          <cell r="C25" t="str">
            <v>Reservas de apropiación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88669.915999999997</v>
          </cell>
          <cell r="X25">
            <v>45514.29</v>
          </cell>
          <cell r="Y25">
            <v>315868</v>
          </cell>
          <cell r="Z25">
            <v>192408.85500000001</v>
          </cell>
          <cell r="AA25">
            <v>332930.63099999999</v>
          </cell>
          <cell r="AB25">
            <v>1141052.8999999999</v>
          </cell>
          <cell r="AC25">
            <v>1377370.6828639999</v>
          </cell>
          <cell r="AD25">
            <v>3435008.1982249999</v>
          </cell>
          <cell r="AE25">
            <v>4897900</v>
          </cell>
          <cell r="AF25">
            <v>5277600</v>
          </cell>
          <cell r="AG25">
            <v>5208400</v>
          </cell>
          <cell r="AH25">
            <v>10768850.787332403</v>
          </cell>
          <cell r="AI25">
            <v>0</v>
          </cell>
          <cell r="AJ25">
            <v>593.99742366628152</v>
          </cell>
          <cell r="AK25">
            <v>-39.085676611749207</v>
          </cell>
          <cell r="AL25">
            <v>73.032904852533932</v>
          </cell>
          <cell r="AM25">
            <v>242.72992442080223</v>
          </cell>
          <cell r="AN25">
            <v>20.710501928876379</v>
          </cell>
          <cell r="AO25">
            <v>149.38879859723056</v>
          </cell>
          <cell r="AP25">
            <v>42.587723736174254</v>
          </cell>
          <cell r="AQ25">
            <v>53.641554705084474</v>
          </cell>
          <cell r="AR25">
            <v>51.627003472404496</v>
          </cell>
          <cell r="AS25">
            <v>106.75928859788809</v>
          </cell>
        </row>
        <row r="26">
          <cell r="B26" t="str">
            <v>1.1.</v>
          </cell>
          <cell r="C26" t="str">
            <v>Vigencia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88669.915999999997</v>
          </cell>
          <cell r="X26">
            <v>43883.635999999999</v>
          </cell>
          <cell r="Y26">
            <v>303956</v>
          </cell>
          <cell r="Z26">
            <v>181226.709</v>
          </cell>
          <cell r="AA26">
            <v>322907.95699999999</v>
          </cell>
          <cell r="AB26">
            <v>1121100.2999999998</v>
          </cell>
          <cell r="AC26">
            <v>1288610.748864</v>
          </cell>
          <cell r="AD26">
            <v>3407106.3435379998</v>
          </cell>
          <cell r="AE26">
            <v>4897900</v>
          </cell>
          <cell r="AF26">
            <v>5277600</v>
          </cell>
          <cell r="AG26">
            <v>5204532.9409779999</v>
          </cell>
          <cell r="AH26">
            <v>10199179.051885806</v>
          </cell>
          <cell r="AI26">
            <v>10022.674000000001</v>
          </cell>
          <cell r="AJ26">
            <v>592.6408741518137</v>
          </cell>
          <cell r="AK26">
            <v>-40.377321388622036</v>
          </cell>
          <cell r="AL26">
            <v>78.179010578402114</v>
          </cell>
          <cell r="AM26">
            <v>247.18881207377615</v>
          </cell>
          <cell r="AN26">
            <v>14.941611278134538</v>
          </cell>
          <cell r="AO26">
            <v>164.40151508448935</v>
          </cell>
          <cell r="AP26">
            <v>43.755419002094719</v>
          </cell>
          <cell r="AQ26">
            <v>54.899773234540319</v>
          </cell>
          <cell r="AR26">
            <v>52.755224410563017</v>
          </cell>
          <cell r="AS26">
            <v>95.967230250045191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200</v>
          </cell>
          <cell r="AH27">
            <v>0</v>
          </cell>
          <cell r="AI27">
            <v>0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0</v>
          </cell>
          <cell r="X28">
            <v>1630.654</v>
          </cell>
          <cell r="Y28">
            <v>9612</v>
          </cell>
          <cell r="Z28">
            <v>11182.146000000001</v>
          </cell>
          <cell r="AA28">
            <v>10022.674000000001</v>
          </cell>
          <cell r="AB28">
            <v>19952.599999999999</v>
          </cell>
          <cell r="AC28">
            <v>88759.933999999994</v>
          </cell>
          <cell r="AD28">
            <v>27901.854686999999</v>
          </cell>
          <cell r="AE28">
            <v>0</v>
          </cell>
          <cell r="AF28">
            <v>0</v>
          </cell>
          <cell r="AG28">
            <v>3667.0590219999999</v>
          </cell>
          <cell r="AH28">
            <v>569671.7354465964</v>
          </cell>
          <cell r="AI28">
            <v>1849800</v>
          </cell>
          <cell r="AJ28">
            <v>489.45674557570158</v>
          </cell>
          <cell r="AK28">
            <v>16.335268414481895</v>
          </cell>
          <cell r="AL28">
            <v>-10.368957801123324</v>
          </cell>
          <cell r="AM28">
            <v>99.074618210669101</v>
          </cell>
          <cell r="AN28">
            <v>344.85397391818606</v>
          </cell>
          <cell r="AO28">
            <v>-68.564809109704839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</row>
        <row r="29">
          <cell r="A29" t="str">
            <v>2.</v>
          </cell>
          <cell r="B29" t="str">
            <v>EXTERNA</v>
          </cell>
          <cell r="C29" t="str">
            <v>Reservas de apropiación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401927.02099999995</v>
          </cell>
          <cell r="X29">
            <v>520926.81</v>
          </cell>
          <cell r="Y29">
            <v>709454</v>
          </cell>
          <cell r="Z29">
            <v>1024647.098</v>
          </cell>
          <cell r="AA29">
            <v>1138691.8329999999</v>
          </cell>
          <cell r="AB29">
            <v>1349906.8</v>
          </cell>
          <cell r="AC29">
            <v>1245671.1058819999</v>
          </cell>
          <cell r="AD29">
            <v>1490939.701508</v>
          </cell>
          <cell r="AE29">
            <v>2187100</v>
          </cell>
          <cell r="AF29">
            <v>2027800</v>
          </cell>
          <cell r="AG29">
            <v>1966200</v>
          </cell>
          <cell r="AH29">
            <v>4129112.3105473397</v>
          </cell>
          <cell r="AI29">
            <v>0</v>
          </cell>
          <cell r="AJ29">
            <v>36.190725142366922</v>
          </cell>
          <cell r="AK29">
            <v>44.42755950350552</v>
          </cell>
          <cell r="AL29">
            <v>11.130147659872636</v>
          </cell>
          <cell r="AM29">
            <v>18.548913839447923</v>
          </cell>
          <cell r="AN29">
            <v>-7.7216956102451046</v>
          </cell>
          <cell r="AO29">
            <v>19.689675265634186</v>
          </cell>
          <cell r="AP29">
            <v>46.692719885846067</v>
          </cell>
          <cell r="AQ29">
            <v>36.008183157843106</v>
          </cell>
          <cell r="AR29">
            <v>31.876560669174037</v>
          </cell>
          <cell r="AS29">
            <v>110.00469487068152</v>
          </cell>
        </row>
        <row r="30">
          <cell r="B30" t="str">
            <v>2.1.</v>
          </cell>
          <cell r="C30" t="str">
            <v>Vigencia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401927.02099999995</v>
          </cell>
          <cell r="X30">
            <v>502217.49699999997</v>
          </cell>
          <cell r="Y30">
            <v>622360</v>
          </cell>
          <cell r="Z30">
            <v>984036.4</v>
          </cell>
          <cell r="AA30">
            <v>1127655.3459999999</v>
          </cell>
          <cell r="AB30">
            <v>1264475.7</v>
          </cell>
          <cell r="AC30">
            <v>1227136.3594519999</v>
          </cell>
          <cell r="AD30">
            <v>1479298.6209249999</v>
          </cell>
          <cell r="AE30">
            <v>2187100</v>
          </cell>
          <cell r="AF30">
            <v>2027800</v>
          </cell>
          <cell r="AG30">
            <v>1924315.2899529999</v>
          </cell>
          <cell r="AH30">
            <v>3722794.5061486787</v>
          </cell>
          <cell r="AI30">
            <v>11036.486999999999</v>
          </cell>
          <cell r="AJ30">
            <v>23.922404877900938</v>
          </cell>
          <cell r="AK30">
            <v>58.113696252972559</v>
          </cell>
          <cell r="AL30">
            <v>14.594881449507335</v>
          </cell>
          <cell r="AM30">
            <v>12.133171228720441</v>
          </cell>
          <cell r="AN30">
            <v>-2.9529504242746696</v>
          </cell>
          <cell r="AO30">
            <v>20.548837912814164</v>
          </cell>
          <cell r="AP30">
            <v>47.847092470918049</v>
          </cell>
          <cell r="AQ30">
            <v>37.078475658418732</v>
          </cell>
          <cell r="AR30">
            <v>30.082950307202516</v>
          </cell>
          <cell r="AS30">
            <v>93.460735129304368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260.10000000000002</v>
          </cell>
          <cell r="AH31">
            <v>0</v>
          </cell>
          <cell r="AI31">
            <v>0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0</v>
          </cell>
          <cell r="X32">
            <v>18709.312999999998</v>
          </cell>
          <cell r="Y32">
            <v>86295</v>
          </cell>
          <cell r="Z32">
            <v>40610.697999999997</v>
          </cell>
          <cell r="AA32">
            <v>11036.486999999999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O32">
            <v>-37.193202901562429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</row>
        <row r="34">
          <cell r="A34" t="str">
            <v>INVERSION</v>
          </cell>
          <cell r="C34" t="str">
            <v>Reservas de Tesorería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330205.33600000001</v>
          </cell>
          <cell r="X34">
            <v>438512.96899999992</v>
          </cell>
          <cell r="Y34">
            <v>697689</v>
          </cell>
          <cell r="Z34">
            <v>950718.07299999986</v>
          </cell>
          <cell r="AA34">
            <v>1069544.105</v>
          </cell>
          <cell r="AB34">
            <v>1383556</v>
          </cell>
          <cell r="AC34">
            <v>1977253.1444549998</v>
          </cell>
          <cell r="AD34">
            <v>2801446.6998629998</v>
          </cell>
          <cell r="AE34">
            <v>3575300</v>
          </cell>
          <cell r="AF34">
            <v>3515000</v>
          </cell>
          <cell r="AG34">
            <v>4038900</v>
          </cell>
          <cell r="AH34">
            <v>2622389.2423478742</v>
          </cell>
          <cell r="AI34">
            <v>263387.62400000001</v>
          </cell>
          <cell r="AJ34">
            <v>59.103390166779789</v>
          </cell>
          <cell r="AK34">
            <v>36.266742488415304</v>
          </cell>
          <cell r="AL34">
            <v>12.498556130845762</v>
          </cell>
          <cell r="AM34">
            <v>29.359415243563049</v>
          </cell>
          <cell r="AN34">
            <v>42.910958750856487</v>
          </cell>
          <cell r="AO34">
            <v>41.683765061614132</v>
          </cell>
          <cell r="AP34">
            <v>27.623345472710369</v>
          </cell>
          <cell r="AQ34">
            <v>25.470886173629339</v>
          </cell>
          <cell r="AR34">
            <v>44.171938027502563</v>
          </cell>
          <cell r="AS34">
            <v>-35.07169669098333</v>
          </cell>
        </row>
        <row r="35">
          <cell r="B35" t="str">
            <v>1.1.</v>
          </cell>
          <cell r="C35" t="str">
            <v>Vigencia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249036</v>
          </cell>
          <cell r="X35">
            <v>300944.17699999997</v>
          </cell>
          <cell r="Y35">
            <v>509847</v>
          </cell>
          <cell r="Z35">
            <v>740705.81499999994</v>
          </cell>
          <cell r="AA35">
            <v>698011.73499999999</v>
          </cell>
          <cell r="AB35">
            <v>958714.70000000007</v>
          </cell>
          <cell r="AC35">
            <v>1384495.9769009999</v>
          </cell>
          <cell r="AD35">
            <v>1677982.626127</v>
          </cell>
          <cell r="AE35">
            <v>1672300</v>
          </cell>
          <cell r="AF35">
            <v>1583800</v>
          </cell>
          <cell r="AG35">
            <v>2146733.9303026702</v>
          </cell>
          <cell r="AH35">
            <v>439348.78469574777</v>
          </cell>
          <cell r="AI35">
            <v>108144.746</v>
          </cell>
          <cell r="AJ35">
            <v>69.415804978343232</v>
          </cell>
          <cell r="AK35">
            <v>45.280018319221242</v>
          </cell>
          <cell r="AL35">
            <v>-5.7639725698656719</v>
          </cell>
          <cell r="AM35">
            <v>37.349367056128372</v>
          </cell>
          <cell r="AN35">
            <v>44.411677102791877</v>
          </cell>
          <cell r="AO35">
            <v>21.198086099385339</v>
          </cell>
          <cell r="AP35">
            <v>-0.33865822199340423</v>
          </cell>
          <cell r="AQ35">
            <v>-5.6128487065676964</v>
          </cell>
          <cell r="AR35">
            <v>27.935408679266761</v>
          </cell>
          <cell r="AS35">
            <v>-79.534082985598332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>
            <v>544215.95600500004</v>
          </cell>
          <cell r="AE36">
            <v>933140</v>
          </cell>
          <cell r="AF36">
            <v>1006000</v>
          </cell>
          <cell r="AG36">
            <v>958608.97140806005</v>
          </cell>
          <cell r="AH36">
            <v>1105971.7226547827</v>
          </cell>
          <cell r="AI36">
            <v>760740.43104292452</v>
          </cell>
          <cell r="AJ36">
            <v>198.40044750328948</v>
          </cell>
          <cell r="AK36">
            <v>16.177187656532222</v>
          </cell>
          <cell r="AL36">
            <v>72.061746599200504</v>
          </cell>
          <cell r="AM36">
            <v>14.500178641650985</v>
          </cell>
          <cell r="AN36">
            <v>41.4827120906508</v>
          </cell>
          <cell r="AO36">
            <v>27.5458597957591</v>
          </cell>
          <cell r="AP36">
            <v>71.465020402934812</v>
          </cell>
          <cell r="AQ36">
            <v>84.853087988246585</v>
          </cell>
          <cell r="AR36">
            <v>76.144958785304851</v>
          </cell>
          <cell r="AS36">
            <v>15.372561246768623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81169.335999999981</v>
          </cell>
          <cell r="X37">
            <v>93412.69200000001</v>
          </cell>
          <cell r="Y37">
            <v>56080</v>
          </cell>
          <cell r="Z37">
            <v>56934.872000000003</v>
          </cell>
          <cell r="AA37">
            <v>108144.746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O37">
            <v>248.7879156915584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0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e">
            <v>#DIV/0!</v>
          </cell>
          <cell r="AQ38" t="e">
            <v>#DIV/0!</v>
          </cell>
          <cell r="AR38" t="e">
            <v>#DIV/0!</v>
          </cell>
          <cell r="AS38" t="e">
            <v>#DIV/0!</v>
          </cell>
        </row>
        <row r="39">
          <cell r="A39" t="str">
            <v>OTROS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>
            <v>120687</v>
          </cell>
          <cell r="AF39">
            <v>120688</v>
          </cell>
          <cell r="AG39">
            <v>0</v>
          </cell>
          <cell r="AH39">
            <v>0</v>
          </cell>
          <cell r="AI39">
            <v>374226.598</v>
          </cell>
          <cell r="AJ39">
            <v>8.2863771959651444E-4</v>
          </cell>
          <cell r="AK39">
            <v>8.2863085324458297E-4</v>
          </cell>
          <cell r="AL39">
            <v>8.2862398700367379E-4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>
            <v>-100</v>
          </cell>
          <cell r="AS39">
            <v>-100</v>
          </cell>
        </row>
        <row r="40">
          <cell r="B40" t="str">
            <v>DEVOLUCION DE IMPUESTOS</v>
          </cell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0</v>
          </cell>
          <cell r="AI40">
            <v>178282.43299999999</v>
          </cell>
          <cell r="AJ40">
            <v>334011.85399999999</v>
          </cell>
          <cell r="AK40" t="e">
            <v>#DIV/0!</v>
          </cell>
          <cell r="AL40" t="e">
            <v>#DIV/0!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e">
            <v>#DIV/0!</v>
          </cell>
          <cell r="AS40" t="e">
            <v>#DIV/0!</v>
          </cell>
        </row>
        <row r="41">
          <cell r="B41" t="str">
            <v>PREPAGO DEUDA</v>
          </cell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0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e">
            <v>#DIV/0!</v>
          </cell>
          <cell r="AS41" t="e">
            <v>#DIV/0!</v>
          </cell>
        </row>
        <row r="42">
          <cell r="B42" t="str">
            <v>OTROS</v>
          </cell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B43" t="str">
            <v>TESOROS</v>
          </cell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e">
            <v>#DIV/0!</v>
          </cell>
          <cell r="AQ43" t="e">
            <v>#DIV/0!</v>
          </cell>
          <cell r="AR43" t="e">
            <v>#DIV/0!</v>
          </cell>
          <cell r="AS43" t="e">
            <v>#DIV/0!</v>
          </cell>
        </row>
        <row r="44">
          <cell r="B44" t="str">
            <v>RECOMPRA TESOROS</v>
          </cell>
          <cell r="AH44">
            <v>0</v>
          </cell>
          <cell r="AK44" t="e">
            <v>#DIV/0!</v>
          </cell>
          <cell r="AP44" t="e">
            <v>#DIV/0!</v>
          </cell>
          <cell r="AQ44" t="e">
            <v>#DIV/0!</v>
          </cell>
          <cell r="AR44" t="e">
            <v>#DIV/0!</v>
          </cell>
          <cell r="AS44" t="e">
            <v>#DIV/0!</v>
          </cell>
        </row>
        <row r="45">
          <cell r="B45" t="str">
            <v>ORO Y PLATINO</v>
          </cell>
          <cell r="AH45">
            <v>0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</row>
        <row r="47">
          <cell r="A47" t="str">
            <v>TOTAL</v>
          </cell>
          <cell r="C47">
            <v>0.50661989280961939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2043111.7089999998</v>
          </cell>
          <cell r="X47">
            <v>2553715.182</v>
          </cell>
          <cell r="Y47">
            <v>3720238</v>
          </cell>
          <cell r="Z47">
            <v>5054407.1919999998</v>
          </cell>
          <cell r="AA47">
            <v>6844174.875</v>
          </cell>
          <cell r="AB47">
            <v>10116705.954</v>
          </cell>
          <cell r="AC47">
            <v>12786506.618774999</v>
          </cell>
          <cell r="AD47">
            <v>18274170.176407002</v>
          </cell>
          <cell r="AE47">
            <v>23132201</v>
          </cell>
          <cell r="AF47">
            <v>23786272</v>
          </cell>
          <cell r="AG47">
            <v>24005400</v>
          </cell>
          <cell r="AH47">
            <v>36583614.574227616</v>
          </cell>
          <cell r="AJ47">
            <v>45.679440926783819</v>
          </cell>
          <cell r="AK47">
            <v>35.862468799039206</v>
          </cell>
          <cell r="AL47">
            <v>35.410041474948905</v>
          </cell>
          <cell r="AM47">
            <v>47.814837270650543</v>
          </cell>
          <cell r="AN47">
            <v>26.39001940863368</v>
          </cell>
          <cell r="AO47">
            <v>42.917614022693428</v>
          </cell>
          <cell r="AP47">
            <v>26.584139124768534</v>
          </cell>
          <cell r="AQ47">
            <v>30.163349527681625</v>
          </cell>
          <cell r="AR47">
            <v>31.362462800047375</v>
          </cell>
          <cell r="AS47">
            <v>52.397437969072037</v>
          </cell>
        </row>
        <row r="48">
          <cell r="C48" t="str">
            <v>Vigencia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1791628.1369999999</v>
          </cell>
          <cell r="X48">
            <v>2272076.5039999997</v>
          </cell>
          <cell r="Y48">
            <v>3302176</v>
          </cell>
          <cell r="Z48">
            <v>4628191.3469999991</v>
          </cell>
          <cell r="AA48">
            <v>6291665.8440000005</v>
          </cell>
          <cell r="AB48">
            <v>9373474.9999999981</v>
          </cell>
          <cell r="AC48">
            <v>11670494.857997</v>
          </cell>
          <cell r="AD48">
            <v>16469406.425021999</v>
          </cell>
          <cell r="AE48">
            <v>20291701</v>
          </cell>
          <cell r="AF48">
            <v>20904472</v>
          </cell>
          <cell r="AG48">
            <v>21232333.953963906</v>
          </cell>
          <cell r="AH48">
            <v>31138731.894625232</v>
          </cell>
          <cell r="AJ48">
            <v>45.337359643766661</v>
          </cell>
          <cell r="AK48">
            <v>40.155804748141797</v>
          </cell>
          <cell r="AL48">
            <v>35.942215269000677</v>
          </cell>
          <cell r="AM48">
            <v>48.982403586149474</v>
          </cell>
          <cell r="AN48">
            <v>24.505531385073343</v>
          </cell>
          <cell r="AO48">
            <v>41.120034972095709</v>
          </cell>
          <cell r="AP48">
            <v>23.208453761701954</v>
          </cell>
          <cell r="AQ48">
            <v>26.92911608665991</v>
          </cell>
          <cell r="AR48">
            <v>28.919849362060688</v>
          </cell>
          <cell r="AS48">
            <v>46.657131345712855</v>
          </cell>
        </row>
        <row r="49">
          <cell r="C49" t="str">
            <v>Reservas de apropiación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83376.41399999999</v>
          </cell>
          <cell r="Y49">
            <v>216155</v>
          </cell>
          <cell r="Z49">
            <v>221817.58899999998</v>
          </cell>
          <cell r="AA49">
            <v>374226.598</v>
          </cell>
          <cell r="AB49">
            <v>409219.1</v>
          </cell>
          <cell r="AC49">
            <v>630987.60453799996</v>
          </cell>
          <cell r="AD49">
            <v>744073.92789699999</v>
          </cell>
          <cell r="AE49">
            <v>1225856</v>
          </cell>
          <cell r="AF49">
            <v>1320000</v>
          </cell>
          <cell r="AG49">
            <v>1154768.3710225602</v>
          </cell>
          <cell r="AH49">
            <v>2065027.499342344</v>
          </cell>
          <cell r="AJ49">
            <v>159.25197502497531</v>
          </cell>
          <cell r="AK49">
            <v>2.6196891119798282</v>
          </cell>
          <cell r="AL49">
            <v>68.709163095267442</v>
          </cell>
          <cell r="AM49">
            <v>9.3506186324040961</v>
          </cell>
          <cell r="AN49">
            <v>54.193097178992858</v>
          </cell>
          <cell r="AO49">
            <v>17.922114879229724</v>
          </cell>
          <cell r="AP49">
            <v>64.749221016878806</v>
          </cell>
          <cell r="AQ49">
            <v>77.401727235727563</v>
          </cell>
          <cell r="AR49">
            <v>55.195381497416406</v>
          </cell>
          <cell r="AS49">
            <v>78.826122290978518</v>
          </cell>
        </row>
        <row r="50">
          <cell r="C50" t="str">
            <v>Reservas de Tesorería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159408.57199999999</v>
          </cell>
          <cell r="X50">
            <v>198262.264</v>
          </cell>
          <cell r="Y50">
            <v>201907</v>
          </cell>
          <cell r="Z50">
            <v>204398.25600000002</v>
          </cell>
          <cell r="AA50">
            <v>178282.43299999999</v>
          </cell>
          <cell r="AB50">
            <v>334011.85399999999</v>
          </cell>
          <cell r="AC50">
            <v>485024.15623999998</v>
          </cell>
          <cell r="AD50">
            <v>1060689.8234879998</v>
          </cell>
          <cell r="AE50">
            <v>1614644</v>
          </cell>
          <cell r="AF50">
            <v>1561800</v>
          </cell>
          <cell r="AG50">
            <v>1618297.6750135398</v>
          </cell>
          <cell r="AH50">
            <v>3379855.1802600399</v>
          </cell>
          <cell r="AJ50">
            <v>1.8383407545472297</v>
          </cell>
          <cell r="AK50">
            <v>1.2338631151966206</v>
          </cell>
          <cell r="AL50">
            <v>-12.776930445042556</v>
          </cell>
          <cell r="AM50">
            <v>87.349840575711696</v>
          </cell>
          <cell r="AN50">
            <v>45.211659535891791</v>
          </cell>
          <cell r="AO50">
            <v>118.6880405525923</v>
          </cell>
          <cell r="AP50">
            <v>52.225840603463404</v>
          </cell>
          <cell r="AQ50">
            <v>47.24379978155504</v>
          </cell>
          <cell r="AR50">
            <v>52.570302757491149</v>
          </cell>
          <cell r="AS50">
            <v>108.852501764347</v>
          </cell>
        </row>
        <row r="51">
          <cell r="C51" t="str">
            <v>Otros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92075</v>
          </cell>
          <cell r="X51">
            <v>120680</v>
          </cell>
          <cell r="Y51">
            <v>120681</v>
          </cell>
          <cell r="Z51">
            <v>120682</v>
          </cell>
          <cell r="AA51">
            <v>120683</v>
          </cell>
          <cell r="AB51">
            <v>120684</v>
          </cell>
          <cell r="AC51">
            <v>120685</v>
          </cell>
          <cell r="AD51">
            <v>120686</v>
          </cell>
          <cell r="AE51">
            <v>120687</v>
          </cell>
          <cell r="AF51">
            <v>120688</v>
          </cell>
          <cell r="AG51">
            <v>0</v>
          </cell>
          <cell r="AH51">
            <v>0</v>
          </cell>
          <cell r="AJ51">
            <v>8.2863771959651444E-4</v>
          </cell>
          <cell r="AK51">
            <v>8.2863085324458297E-4</v>
          </cell>
          <cell r="AL51">
            <v>8.2862398700367379E-4</v>
          </cell>
        </row>
        <row r="53">
          <cell r="A53" t="str">
            <v>P = Proyectado</v>
          </cell>
          <cell r="E53" t="str">
            <v>C:\CARLOSJ\PRES9194\PAGOS.WK3</v>
          </cell>
          <cell r="W53" t="str">
            <v>C:\CARLOSJ\PRES9194\PAGOS.WK3</v>
          </cell>
          <cell r="X53" t="str">
            <v>C:\CARLOSJ\PRES9194\PAGOS.XLS</v>
          </cell>
          <cell r="AF53">
            <v>35620</v>
          </cell>
          <cell r="AL53" t="str">
            <v>Rango REZ 1</v>
          </cell>
        </row>
        <row r="54">
          <cell r="A54" t="str">
            <v>C:\CARLOSJ\PRES9194\PAGOS.XLS</v>
          </cell>
        </row>
        <row r="57">
          <cell r="A57" t="str">
            <v>PAGOS POR NUMERALES CON RECURSOS DE LA NACION</v>
          </cell>
        </row>
        <row r="58">
          <cell r="A58" t="str">
            <v>Participación  porcentual en el PIB</v>
          </cell>
        </row>
        <row r="60">
          <cell r="AD60" t="str">
            <v>Provisional</v>
          </cell>
          <cell r="AE60" t="str">
            <v>Proyección</v>
          </cell>
          <cell r="AH60" t="str">
            <v>Proyección</v>
          </cell>
        </row>
        <row r="61">
          <cell r="A61" t="str">
            <v>CONCEPTOS</v>
          </cell>
          <cell r="D61">
            <v>1970</v>
          </cell>
          <cell r="E61">
            <v>1971</v>
          </cell>
          <cell r="F61">
            <v>1972</v>
          </cell>
          <cell r="G61">
            <v>1973</v>
          </cell>
          <cell r="H61">
            <v>1974</v>
          </cell>
          <cell r="I61">
            <v>1975</v>
          </cell>
          <cell r="J61">
            <v>1976</v>
          </cell>
          <cell r="K61">
            <v>1977</v>
          </cell>
          <cell r="L61">
            <v>1978</v>
          </cell>
          <cell r="M61">
            <v>1979</v>
          </cell>
          <cell r="N61">
            <v>1980</v>
          </cell>
          <cell r="O61">
            <v>1981</v>
          </cell>
          <cell r="P61">
            <v>1982</v>
          </cell>
          <cell r="Q61">
            <v>1983</v>
          </cell>
          <cell r="R61">
            <v>1984</v>
          </cell>
          <cell r="S61">
            <v>1985</v>
          </cell>
          <cell r="T61">
            <v>1986</v>
          </cell>
          <cell r="U61">
            <v>1987</v>
          </cell>
          <cell r="V61">
            <v>1988</v>
          </cell>
          <cell r="W61">
            <v>1989</v>
          </cell>
          <cell r="X61">
            <v>1990</v>
          </cell>
          <cell r="Y61">
            <v>1991</v>
          </cell>
          <cell r="Z61">
            <v>1992</v>
          </cell>
          <cell r="AA61">
            <v>1993</v>
          </cell>
          <cell r="AB61">
            <v>1994</v>
          </cell>
          <cell r="AC61">
            <v>1995</v>
          </cell>
          <cell r="AD61">
            <v>1996</v>
          </cell>
          <cell r="AE61">
            <v>1997</v>
          </cell>
          <cell r="AH61">
            <v>1998</v>
          </cell>
        </row>
        <row r="62">
          <cell r="AE62" t="str">
            <v>Dic-20-96</v>
          </cell>
          <cell r="AF62" t="str">
            <v>Mayo</v>
          </cell>
          <cell r="AG62" t="str">
            <v>Junio</v>
          </cell>
          <cell r="AH62" t="str">
            <v>Junio 19/97</v>
          </cell>
        </row>
        <row r="64">
          <cell r="A64" t="str">
            <v>FUNCIONAMIENTO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7.4717756753315559E-2</v>
          </cell>
          <cell r="X64">
            <v>7.6564750449893468</v>
          </cell>
          <cell r="Y64">
            <v>7.6111597483168465</v>
          </cell>
          <cell r="Z64">
            <v>8.7108115784324642</v>
          </cell>
          <cell r="AA64">
            <v>9.8711558603314202</v>
          </cell>
          <cell r="AB64">
            <v>10.971052220493998</v>
          </cell>
          <cell r="AC64">
            <v>11.305826926620673</v>
          </cell>
          <cell r="AD64">
            <v>11.854564493137852</v>
          </cell>
          <cell r="AE64">
            <v>11.227453632192901</v>
          </cell>
          <cell r="AF64">
            <v>11.699139483072669</v>
          </cell>
          <cell r="AG64">
            <v>11.736057167008886</v>
          </cell>
          <cell r="AH64">
            <v>14.350810631233587</v>
          </cell>
        </row>
        <row r="65">
          <cell r="A65" t="str">
            <v>1.</v>
          </cell>
          <cell r="B65" t="str">
            <v>SERVICIOS PERSONALES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1.9075557764744473E-2</v>
          </cell>
          <cell r="X65">
            <v>2.2280014476875309</v>
          </cell>
          <cell r="Y65">
            <v>2.1564038648102222</v>
          </cell>
          <cell r="Z65">
            <v>2.3803940430634931</v>
          </cell>
          <cell r="AA65">
            <v>2.6733395431802749</v>
          </cell>
          <cell r="AB65">
            <v>2.8612203326876591</v>
          </cell>
          <cell r="AC65">
            <v>2.8616240158446526</v>
          </cell>
          <cell r="AD65">
            <v>2.8676650568199444</v>
          </cell>
          <cell r="AE65">
            <v>2.5449225940506555</v>
          </cell>
          <cell r="AF65">
            <v>2.7420081483334879</v>
          </cell>
          <cell r="AG65">
            <v>3.4323097794304944</v>
          </cell>
          <cell r="AH65">
            <v>3.110039784013146</v>
          </cell>
        </row>
        <row r="66">
          <cell r="B66" t="str">
            <v>1.1.</v>
          </cell>
          <cell r="C66" t="str">
            <v>Vigencia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1.8941722850918486E-2</v>
          </cell>
          <cell r="X66">
            <v>2.2168927990448148</v>
          </cell>
          <cell r="Y66">
            <v>2.1413052230820502</v>
          </cell>
          <cell r="Z66">
            <v>2.3563885732943333</v>
          </cell>
          <cell r="AA66">
            <v>2.6510509360760666</v>
          </cell>
          <cell r="AB66">
            <v>2.8372353767274534</v>
          </cell>
          <cell r="AC66">
            <v>2.8424985675835219</v>
          </cell>
          <cell r="AD66">
            <v>2.8475771123963862</v>
          </cell>
          <cell r="AE66">
            <v>2.5220570082624341</v>
          </cell>
          <cell r="AF66">
            <v>2.7190896633391852</v>
          </cell>
          <cell r="AG66">
            <v>3.4131742264909302</v>
          </cell>
          <cell r="AH66">
            <v>3.030620645646759</v>
          </cell>
        </row>
        <row r="67">
          <cell r="B67" t="str">
            <v>1.2.</v>
          </cell>
          <cell r="C67" t="str">
            <v>Reservas de apropiación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4.2419409967964401E-3</v>
          </cell>
          <cell r="Y67">
            <v>3.7117811820392014E-3</v>
          </cell>
          <cell r="Z67">
            <v>1.3432619631962932E-3</v>
          </cell>
          <cell r="AA67">
            <v>9.4379308530271305E-3</v>
          </cell>
          <cell r="AB67">
            <v>7.9515734760171163E-3</v>
          </cell>
          <cell r="AC67">
            <v>1.1565271839548582E-2</v>
          </cell>
          <cell r="AD67">
            <v>5.1363682713265078E-3</v>
          </cell>
          <cell r="AE67">
            <v>5.6713854514091533E-3</v>
          </cell>
          <cell r="AF67">
            <v>5.6845061206340624E-3</v>
          </cell>
          <cell r="AG67">
            <v>5.9117819235819631E-3</v>
          </cell>
          <cell r="AH67">
            <v>7.3942830335510827E-3</v>
          </cell>
        </row>
        <row r="68">
          <cell r="B68" t="str">
            <v>1.3.</v>
          </cell>
          <cell r="C68" t="str">
            <v>Reservas de Tesorería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1.3383491382598658E-4</v>
          </cell>
          <cell r="X68">
            <v>6.8667076459198737E-3</v>
          </cell>
          <cell r="Y68">
            <v>1.1386860546132581E-2</v>
          </cell>
          <cell r="Z68">
            <v>2.2662207805963515E-2</v>
          </cell>
          <cell r="AA68">
            <v>1.2850676251180805E-2</v>
          </cell>
          <cell r="AB68">
            <v>1.6033382484188619E-2</v>
          </cell>
          <cell r="AC68">
            <v>7.5601764215825831E-3</v>
          </cell>
          <cell r="AD68">
            <v>1.4951576152231539E-2</v>
          </cell>
          <cell r="AE68">
            <v>1.719420033681188E-2</v>
          </cell>
          <cell r="AF68">
            <v>1.7233978873668346E-2</v>
          </cell>
          <cell r="AG68">
            <v>1.3223771015982044E-2</v>
          </cell>
          <cell r="AH68">
            <v>7.2024855332835813E-2</v>
          </cell>
        </row>
        <row r="69">
          <cell r="A69" t="str">
            <v>2.</v>
          </cell>
          <cell r="B69" t="str">
            <v>GASTOS GENERALES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4.6307447524307653E-3</v>
          </cell>
          <cell r="X69">
            <v>0.38863660205331962</v>
          </cell>
          <cell r="Y69">
            <v>0.54205724366864072</v>
          </cell>
          <cell r="Z69">
            <v>0.63689743443504254</v>
          </cell>
          <cell r="AA69">
            <v>0.74322553299691607</v>
          </cell>
          <cell r="AB69">
            <v>0.88780433561698868</v>
          </cell>
          <cell r="AC69">
            <v>0.82361073382200245</v>
          </cell>
          <cell r="AD69">
            <v>0.7889598244003444</v>
          </cell>
          <cell r="AE69">
            <v>0.70991342333035856</v>
          </cell>
          <cell r="AF69">
            <v>0.71315377572566097</v>
          </cell>
          <cell r="AG69">
            <v>0.79635532023887867</v>
          </cell>
          <cell r="AH69">
            <v>0.78880043003509959</v>
          </cell>
        </row>
        <row r="70">
          <cell r="B70" t="str">
            <v>2.1.</v>
          </cell>
          <cell r="C70" t="str">
            <v>Vigencia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3.273948783867062E-3</v>
          </cell>
          <cell r="X70">
            <v>0.2993972351956351</v>
          </cell>
          <cell r="Y70">
            <v>0.42874121343462052</v>
          </cell>
          <cell r="Z70">
            <v>0.53327817696088331</v>
          </cell>
          <cell r="AA70">
            <v>0.59333014357574598</v>
          </cell>
          <cell r="AB70">
            <v>0.70127861969283811</v>
          </cell>
          <cell r="AC70">
            <v>0.70265543197237768</v>
          </cell>
          <cell r="AD70">
            <v>0.63735869306619441</v>
          </cell>
          <cell r="AE70">
            <v>0.52707875901588241</v>
          </cell>
          <cell r="AF70">
            <v>0.5303472773065403</v>
          </cell>
          <cell r="AG70">
            <v>0.61951811949717095</v>
          </cell>
          <cell r="AH70">
            <v>0.58013859440429671</v>
          </cell>
        </row>
        <row r="71">
          <cell r="B71" t="str">
            <v>2.2.</v>
          </cell>
          <cell r="C71" t="str">
            <v>Reservas de apropiación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5.1536415491265079E-2</v>
          </cell>
          <cell r="Y71">
            <v>4.7609119411925818E-2</v>
          </cell>
          <cell r="Z71">
            <v>7.3033500902726159E-2</v>
          </cell>
          <cell r="AA71">
            <v>0.10265950162333781</v>
          </cell>
          <cell r="AB71">
            <v>0.13656417053740125</v>
          </cell>
          <cell r="AC71">
            <v>9.3306082673150978E-2</v>
          </cell>
          <cell r="AD71">
            <v>5.9067034645558618E-2</v>
          </cell>
          <cell r="AE71">
            <v>6.9581597949399859E-2</v>
          </cell>
          <cell r="AF71">
            <v>7.362788880059358E-2</v>
          </cell>
          <cell r="AG71">
            <v>6.0094641733916189E-2</v>
          </cell>
          <cell r="AH71">
            <v>7.0909617451419674E-2</v>
          </cell>
        </row>
        <row r="72">
          <cell r="B72" t="str">
            <v>2.3.</v>
          </cell>
          <cell r="C72" t="str">
            <v>Reservas de Tesorería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1.3567959685637032E-3</v>
          </cell>
          <cell r="X72">
            <v>3.7702951366419483E-2</v>
          </cell>
          <cell r="Y72">
            <v>6.5706910822094358E-2</v>
          </cell>
          <cell r="Z72">
            <v>3.0585756571433056E-2</v>
          </cell>
          <cell r="AA72">
            <v>4.7235887797832221E-2</v>
          </cell>
          <cell r="AB72">
            <v>4.996154538674942E-2</v>
          </cell>
          <cell r="AC72">
            <v>2.764921917647371E-2</v>
          </cell>
          <cell r="AD72">
            <v>9.253409668859125E-2</v>
          </cell>
          <cell r="AE72">
            <v>0.11325306636507618</v>
          </cell>
          <cell r="AF72">
            <v>0.10917860961852724</v>
          </cell>
          <cell r="AG72">
            <v>0.11674255900779155</v>
          </cell>
          <cell r="AH72">
            <v>0.13775221817938316</v>
          </cell>
        </row>
        <row r="73">
          <cell r="A73" t="str">
            <v>3.</v>
          </cell>
          <cell r="B73" t="str">
            <v>TRANSFERENCIAS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5.101145423614032E-2</v>
          </cell>
          <cell r="X73">
            <v>5.0398369952484954</v>
          </cell>
          <cell r="Y73">
            <v>4.9126986398379833</v>
          </cell>
          <cell r="Z73">
            <v>5.6935201009339291</v>
          </cell>
          <cell r="AA73">
            <v>6.4545907841542309</v>
          </cell>
          <cell r="AB73">
            <v>7.22202755218935</v>
          </cell>
          <cell r="AC73">
            <v>7.6205921769540179</v>
          </cell>
          <cell r="AD73">
            <v>8.1979396119175636</v>
          </cell>
          <cell r="AE73">
            <v>7.9726176148118872</v>
          </cell>
          <cell r="AF73">
            <v>8.2439775590135191</v>
          </cell>
          <cell r="AG73">
            <v>7.507392067339512</v>
          </cell>
          <cell r="AH73">
            <v>10.451970417185343</v>
          </cell>
        </row>
        <row r="74">
          <cell r="B74" t="str">
            <v>3.1.</v>
          </cell>
          <cell r="C74" t="str">
            <v>Vigencia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4.7329830568666645E-2</v>
          </cell>
          <cell r="X74">
            <v>4.5285122168039118</v>
          </cell>
          <cell r="Y74">
            <v>4.5410746505885822</v>
          </cell>
          <cell r="Z74">
            <v>5.3250128566432231</v>
          </cell>
          <cell r="AA74">
            <v>6.2599219988494106</v>
          </cell>
          <cell r="AB74">
            <v>7.0581665132607192</v>
          </cell>
          <cell r="AC74">
            <v>7.1861983149864459</v>
          </cell>
          <cell r="AD74">
            <v>7.6482947941045261</v>
          </cell>
          <cell r="AE74">
            <v>7.3343616965501264</v>
          </cell>
          <cell r="AF74">
            <v>7.5919737300023815</v>
          </cell>
          <cell r="AG74">
            <v>6.9371497080631315</v>
          </cell>
          <cell r="AH74">
            <v>9.0192630723144518</v>
          </cell>
        </row>
        <row r="75">
          <cell r="B75" t="str">
            <v>3.2.</v>
          </cell>
          <cell r="C75" t="str">
            <v>Reservas de apropiación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0.13811168431750609</v>
          </cell>
          <cell r="Y75">
            <v>0.25847944787902766</v>
          </cell>
          <cell r="Z75">
            <v>0.13305622974599643</v>
          </cell>
          <cell r="AA75">
            <v>0.14216858560861667</v>
          </cell>
          <cell r="AB75">
            <v>4.4668151182149292E-2</v>
          </cell>
          <cell r="AC75">
            <v>0.17729058050923077</v>
          </cell>
          <cell r="AD75">
            <v>0.1604367442073816</v>
          </cell>
          <cell r="AE75">
            <v>0.18825578863009287</v>
          </cell>
          <cell r="AF75">
            <v>0.20401060855164466</v>
          </cell>
          <cell r="AG75">
            <v>0.11353986483907955</v>
          </cell>
          <cell r="AH75">
            <v>0.64367262520571822</v>
          </cell>
        </row>
        <row r="76">
          <cell r="B76" t="str">
            <v>3.3.</v>
          </cell>
          <cell r="C76" t="str">
            <v>Reservas de Tesorería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3.6816236674736716E-3</v>
          </cell>
          <cell r="X76">
            <v>0.37321309412707715</v>
          </cell>
          <cell r="Y76">
            <v>0.11314454137037359</v>
          </cell>
          <cell r="Z76">
            <v>0.23545101454470946</v>
          </cell>
          <cell r="AA76">
            <v>5.2500199696203884E-2</v>
          </cell>
          <cell r="AB76">
            <v>0.11919288774648268</v>
          </cell>
          <cell r="AC76">
            <v>0.25710328145834044</v>
          </cell>
          <cell r="AD76">
            <v>0.38920807360565463</v>
          </cell>
          <cell r="AE76">
            <v>0.45000012963166741</v>
          </cell>
          <cell r="AF76">
            <v>0.44799322045949397</v>
          </cell>
          <cell r="AG76">
            <v>0.4567024944373021</v>
          </cell>
          <cell r="AH76">
            <v>0.78903471966517358</v>
          </cell>
        </row>
        <row r="78">
          <cell r="A78" t="str">
            <v>SERVICIO DE LA DEUDA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3.243247722341356E-2</v>
          </cell>
          <cell r="X78">
            <v>2.8002653929020198</v>
          </cell>
          <cell r="Y78">
            <v>3.9073623255963024</v>
          </cell>
          <cell r="Z78">
            <v>3.6726332988417405</v>
          </cell>
          <cell r="AA78">
            <v>3.3759206761124401</v>
          </cell>
          <cell r="AB78">
            <v>4.378022430561769</v>
          </cell>
          <cell r="AC78">
            <v>3.6226349407890233</v>
          </cell>
          <cell r="AD78">
            <v>5.5367601824783037</v>
          </cell>
          <cell r="AE78">
            <v>6.3780580830529923</v>
          </cell>
          <cell r="AF78">
            <v>6.5916811132825517</v>
          </cell>
          <cell r="AG78">
            <v>6.5824088486012204</v>
          </cell>
          <cell r="AH78">
            <v>11.215176321052873</v>
          </cell>
        </row>
        <row r="79">
          <cell r="A79" t="str">
            <v>1.</v>
          </cell>
          <cell r="B79" t="str">
            <v>INTERNA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5.8618079612510789E-3</v>
          </cell>
          <cell r="X79">
            <v>0.22500502023865587</v>
          </cell>
          <cell r="Y79">
            <v>1.2037298751625858</v>
          </cell>
          <cell r="Z79">
            <v>0.58062011538841063</v>
          </cell>
          <cell r="AA79">
            <v>0.76374710797025547</v>
          </cell>
          <cell r="AB79">
            <v>2.0054741113063992</v>
          </cell>
          <cell r="AC79">
            <v>1.9022614064212062</v>
          </cell>
          <cell r="AD79">
            <v>3.8609455490687581</v>
          </cell>
          <cell r="AE79">
            <v>4.4091871115010939</v>
          </cell>
          <cell r="AF79">
            <v>4.7619919844854488</v>
          </cell>
          <cell r="AG79">
            <v>4.7784989054518157</v>
          </cell>
          <cell r="AH79">
            <v>8.1067834281473292</v>
          </cell>
        </row>
        <row r="80">
          <cell r="B80" t="str">
            <v>1.1.</v>
          </cell>
          <cell r="C80" t="str">
            <v>Vigencia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5.8618079612510789E-3</v>
          </cell>
          <cell r="X80">
            <v>0.21694369848075859</v>
          </cell>
          <cell r="Y80">
            <v>1.158334867523519</v>
          </cell>
          <cell r="Z80">
            <v>0.54687645582133892</v>
          </cell>
          <cell r="AA80">
            <v>0.74075496615790093</v>
          </cell>
          <cell r="AB80">
            <v>1.9704061291355004</v>
          </cell>
          <cell r="AC80">
            <v>1.779676688316411</v>
          </cell>
          <cell r="AD80">
            <v>3.8295838941765794</v>
          </cell>
          <cell r="AE80">
            <v>4.4091871115010939</v>
          </cell>
          <cell r="AF80">
            <v>4.7619919844854488</v>
          </cell>
          <cell r="AG80">
            <v>4.7749510333022211</v>
          </cell>
          <cell r="AH80">
            <v>7.6779349395198437</v>
          </cell>
        </row>
        <row r="81">
          <cell r="B81" t="str">
            <v>1.2.</v>
          </cell>
          <cell r="C81" t="str">
            <v>Reservas de apropiación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8.7649863641582788E-3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1.8349200927163104E-4</v>
          </cell>
          <cell r="AH81">
            <v>0</v>
          </cell>
        </row>
        <row r="82">
          <cell r="B82" t="str">
            <v>1.3.</v>
          </cell>
          <cell r="C82" t="str">
            <v>Reservas de Tesorería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8.0613217578972482E-3</v>
          </cell>
          <cell r="Y82">
            <v>3.6630021274908428E-2</v>
          </cell>
          <cell r="Z82">
            <v>3.374365956707167E-2</v>
          </cell>
          <cell r="AA82">
            <v>2.2992141812354514E-2</v>
          </cell>
          <cell r="AB82">
            <v>3.5067982170898529E-2</v>
          </cell>
          <cell r="AC82">
            <v>0.12258471810479574</v>
          </cell>
          <cell r="AD82">
            <v>3.1361654892178382E-2</v>
          </cell>
          <cell r="AE82">
            <v>0</v>
          </cell>
          <cell r="AF82">
            <v>0</v>
          </cell>
          <cell r="AG82">
            <v>3.3643801403222115E-3</v>
          </cell>
          <cell r="AH82">
            <v>0.42884848862748448</v>
          </cell>
        </row>
        <row r="83">
          <cell r="A83" t="str">
            <v>2.</v>
          </cell>
          <cell r="B83" t="str">
            <v>EXTERNA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2.6570669262162484E-2</v>
          </cell>
          <cell r="X83">
            <v>2.5752603726633643</v>
          </cell>
          <cell r="Y83">
            <v>2.7036324504337164</v>
          </cell>
          <cell r="Z83">
            <v>3.0920131834533295</v>
          </cell>
          <cell r="AA83">
            <v>2.6121735681421847</v>
          </cell>
          <cell r="AB83">
            <v>2.3725483192553698</v>
          </cell>
          <cell r="AC83">
            <v>1.7203735343678166</v>
          </cell>
          <cell r="AD83">
            <v>1.6758146334095465</v>
          </cell>
          <cell r="AE83">
            <v>1.9688709715518984</v>
          </cell>
          <cell r="AF83">
            <v>1.8296891287971035</v>
          </cell>
          <cell r="AG83">
            <v>1.8039099431494048</v>
          </cell>
          <cell r="AH83">
            <v>3.1083928929055431</v>
          </cell>
        </row>
        <row r="84">
          <cell r="B84" t="str">
            <v>2.1.</v>
          </cell>
          <cell r="C84" t="str">
            <v>Vigencia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2.6570669262162484E-2</v>
          </cell>
          <cell r="X84">
            <v>2.4827687760633439</v>
          </cell>
          <cell r="Y84">
            <v>2.3717290928684984</v>
          </cell>
          <cell r="Z84">
            <v>2.9694648310983207</v>
          </cell>
          <cell r="AA84">
            <v>2.5868557263951413</v>
          </cell>
          <cell r="AB84">
            <v>2.2223976475814897</v>
          </cell>
          <cell r="AC84">
            <v>1.6947755357678469</v>
          </cell>
          <cell r="AD84">
            <v>1.662730071257261</v>
          </cell>
          <cell r="AE84">
            <v>1.9688709715518984</v>
          </cell>
          <cell r="AF84">
            <v>1.8296891287971035</v>
          </cell>
          <cell r="AG84">
            <v>1.7654823951279861</v>
          </cell>
          <cell r="AH84">
            <v>2.8025171306436141</v>
          </cell>
        </row>
        <row r="85">
          <cell r="B85" t="str">
            <v>2.2.</v>
          </cell>
          <cell r="C85" t="str">
            <v>Reservas de apropiación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3.0448800456358543E-3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2.3863135805775619E-4</v>
          </cell>
          <cell r="AH85">
            <v>0</v>
          </cell>
        </row>
        <row r="86">
          <cell r="B86" t="str">
            <v>2.3.</v>
          </cell>
          <cell r="C86" t="str">
            <v>Reservas de Tesorería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9.2491596600020501E-2</v>
          </cell>
          <cell r="Y86">
            <v>0.32885847751958203</v>
          </cell>
          <cell r="Z86">
            <v>0.12254835235500931</v>
          </cell>
          <cell r="AA86">
            <v>2.5317841747043459E-2</v>
          </cell>
          <cell r="AB86">
            <v>0.15015067167387955</v>
          </cell>
          <cell r="AC86">
            <v>2.5597998599969887E-2</v>
          </cell>
          <cell r="AD86">
            <v>1.308456215228531E-2</v>
          </cell>
          <cell r="AE86">
            <v>0</v>
          </cell>
          <cell r="AF86">
            <v>0</v>
          </cell>
          <cell r="AG86">
            <v>3.8188916663360752E-2</v>
          </cell>
          <cell r="AH86">
            <v>0.30587576226192892</v>
          </cell>
        </row>
        <row r="88">
          <cell r="A88" t="str">
            <v>INVERSION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2.1829278234710266E-2</v>
          </cell>
          <cell r="X88">
            <v>2.1678382649659711</v>
          </cell>
          <cell r="Y88">
            <v>2.6587976397492286</v>
          </cell>
          <cell r="Z88">
            <v>2.8689222086327955</v>
          </cell>
          <cell r="AA88">
            <v>2.4535477993924362</v>
          </cell>
          <cell r="AB88">
            <v>2.431688959856845</v>
          </cell>
          <cell r="AC88">
            <v>2.7307480798130963</v>
          </cell>
          <cell r="AD88">
            <v>3.1488231010274066</v>
          </cell>
          <cell r="AE88">
            <v>3.2185562546703403</v>
          </cell>
          <cell r="AF88">
            <v>3.1715934942902742</v>
          </cell>
          <cell r="AG88">
            <v>3.7055293812359529</v>
          </cell>
          <cell r="AH88">
            <v>1.9741328087696317</v>
          </cell>
        </row>
        <row r="89">
          <cell r="B89" t="str">
            <v>1.1.</v>
          </cell>
          <cell r="C89" t="str">
            <v>Vigencia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1.6463320067181791E-2</v>
          </cell>
          <cell r="X89">
            <v>1.4877514432629979</v>
          </cell>
          <cell r="Y89">
            <v>1.9429573925247852</v>
          </cell>
          <cell r="Z89">
            <v>2.235181409785775</v>
          </cell>
          <cell r="AA89">
            <v>1.601247810495245</v>
          </cell>
          <cell r="AB89">
            <v>1.6850029573378074</v>
          </cell>
          <cell r="AC89">
            <v>1.9121020194272891</v>
          </cell>
          <cell r="AD89">
            <v>1.8860506810747892</v>
          </cell>
          <cell r="AE89">
            <v>1.5054377603796076</v>
          </cell>
          <cell r="AF89">
            <v>1.4290667926762268</v>
          </cell>
          <cell r="AG89">
            <v>1.9695426112141126</v>
          </cell>
          <cell r="AH89">
            <v>0.33074146139510602</v>
          </cell>
        </row>
        <row r="90">
          <cell r="B90" t="str">
            <v>1.2.</v>
          </cell>
          <cell r="C90" t="str">
            <v>Reservas de apropiación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0.21829065496045555</v>
          </cell>
          <cell r="Y90">
            <v>0.50212701448444486</v>
          </cell>
          <cell r="Z90">
            <v>0.46193201203071588</v>
          </cell>
          <cell r="AA90">
            <v>0.60421456415993469</v>
          </cell>
          <cell r="AB90">
            <v>0.5300450826214157</v>
          </cell>
          <cell r="AC90">
            <v>0.58928348121633634</v>
          </cell>
          <cell r="AD90">
            <v>0.61169815377892489</v>
          </cell>
          <cell r="AE90">
            <v>0.84003120954411703</v>
          </cell>
          <cell r="AF90">
            <v>0.90771637418378837</v>
          </cell>
          <cell r="AG90">
            <v>0.87948543134738233</v>
          </cell>
          <cell r="AH90">
            <v>0.83257474825113809</v>
          </cell>
        </row>
        <row r="91">
          <cell r="B91" t="str">
            <v>1.3.</v>
          </cell>
          <cell r="C91" t="str">
            <v>Reservas de Tesorería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5.3659581675284743E-3</v>
          </cell>
          <cell r="X91">
            <v>0.46179616674251822</v>
          </cell>
          <cell r="Y91">
            <v>0.21371323273999837</v>
          </cell>
          <cell r="Z91">
            <v>0.17180878681630526</v>
          </cell>
          <cell r="AA91">
            <v>0.24808542473725662</v>
          </cell>
          <cell r="AB91">
            <v>0.21664091989762208</v>
          </cell>
          <cell r="AC91">
            <v>0.22936257916947103</v>
          </cell>
          <cell r="AD91">
            <v>0.65107426617369268</v>
          </cell>
          <cell r="AE91">
            <v>0.87308728474661623</v>
          </cell>
          <cell r="AF91">
            <v>0.83481032743025951</v>
          </cell>
          <cell r="AG91">
            <v>0.85650133867445843</v>
          </cell>
          <cell r="AH91">
            <v>0.81081659912338766</v>
          </cell>
        </row>
        <row r="93">
          <cell r="A93" t="str">
            <v>OTROS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6.0869119130798899E-3</v>
          </cell>
          <cell r="X93">
            <v>0.59659517576569887</v>
          </cell>
          <cell r="Y93">
            <v>0.45989883452738484</v>
          </cell>
          <cell r="Z93">
            <v>0.36417449064547558</v>
          </cell>
          <cell r="AA93">
            <v>0.27684833910994011</v>
          </cell>
          <cell r="AB93">
            <v>0.21210991852253427</v>
          </cell>
          <cell r="AC93">
            <v>0.16667584165257801</v>
          </cell>
          <cell r="AD93">
            <v>0.13565093520757607</v>
          </cell>
          <cell r="AE93">
            <v>0.10864484063082802</v>
          </cell>
          <cell r="AF93">
            <v>0.10889709122017202</v>
          </cell>
          <cell r="AG93">
            <v>0</v>
          </cell>
          <cell r="AH93">
            <v>0</v>
          </cell>
        </row>
        <row r="94">
          <cell r="B94" t="str">
            <v>DEVOLUCION DE IMPUESTOS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B95" t="str">
            <v>PREPAGO DEUDA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B97" t="str">
            <v>TESOROS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B98" t="str">
            <v>RECOMPRA TESOROS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B99" t="str">
            <v>ORO Y PLATINO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TOTAL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0.13506642412451927</v>
          </cell>
          <cell r="X101">
            <v>12.62457870285734</v>
          </cell>
          <cell r="Y101">
            <v>14.177319713662376</v>
          </cell>
          <cell r="Z101">
            <v>15.252367085907</v>
          </cell>
          <cell r="AA101">
            <v>15.700624335836299</v>
          </cell>
          <cell r="AB101">
            <v>17.780763610912611</v>
          </cell>
          <cell r="AC101">
            <v>17.659209947222791</v>
          </cell>
          <cell r="AD101">
            <v>20.540147776643565</v>
          </cell>
          <cell r="AE101">
            <v>20.824067969916236</v>
          </cell>
          <cell r="AF101">
            <v>21.462414090645495</v>
          </cell>
          <cell r="AG101">
            <v>22.023995396846058</v>
          </cell>
          <cell r="AH101">
            <v>27.540119761056093</v>
          </cell>
        </row>
        <row r="102">
          <cell r="C102" t="str">
            <v>Vigencia</v>
          </cell>
          <cell r="W102">
            <v>0.11844129949404754</v>
          </cell>
          <cell r="X102">
            <v>11.232266168851462</v>
          </cell>
          <cell r="Y102">
            <v>12.584142440022056</v>
          </cell>
          <cell r="Z102">
            <v>13.96620230360387</v>
          </cell>
          <cell r="AA102">
            <v>14.433161581549511</v>
          </cell>
          <cell r="AB102">
            <v>16.474487243735805</v>
          </cell>
          <cell r="AC102">
            <v>16.117906558053892</v>
          </cell>
          <cell r="AD102">
            <v>18.511595246075736</v>
          </cell>
          <cell r="AE102">
            <v>18.266993307261046</v>
          </cell>
          <cell r="AF102">
            <v>18.862158576606884</v>
          </cell>
          <cell r="AG102">
            <v>19.47981809369556</v>
          </cell>
          <cell r="AH102">
            <v>23.44121584392407</v>
          </cell>
        </row>
        <row r="103">
          <cell r="C103" t="str">
            <v>Reservas de apropiación</v>
          </cell>
          <cell r="W103">
            <v>0</v>
          </cell>
          <cell r="X103">
            <v>0.41218069576602312</v>
          </cell>
          <cell r="Y103">
            <v>0.8237372293672317</v>
          </cell>
          <cell r="Z103">
            <v>0.66936500464263482</v>
          </cell>
          <cell r="AA103">
            <v>0.8584805822449163</v>
          </cell>
          <cell r="AB103">
            <v>0.71922897781698336</v>
          </cell>
          <cell r="AC103">
            <v>0.87144541623826666</v>
          </cell>
          <cell r="AD103">
            <v>0.83633830090319161</v>
          </cell>
          <cell r="AE103">
            <v>1.1035399815750189</v>
          </cell>
          <cell r="AF103">
            <v>1.1910393776566606</v>
          </cell>
          <cell r="AG103">
            <v>1.0594538432112894</v>
          </cell>
          <cell r="AH103">
            <v>1.554551273941827</v>
          </cell>
        </row>
        <row r="104">
          <cell r="C104" t="str">
            <v>Reservas de Tesorería</v>
          </cell>
          <cell r="W104">
            <v>1.0538212717391835E-2</v>
          </cell>
          <cell r="X104">
            <v>0.98013183823985239</v>
          </cell>
          <cell r="Y104">
            <v>0.76944004427308943</v>
          </cell>
          <cell r="Z104">
            <v>0.61679977766049232</v>
          </cell>
          <cell r="AA104">
            <v>0.40898217204187148</v>
          </cell>
          <cell r="AB104">
            <v>0.58704738935982081</v>
          </cell>
          <cell r="AC104">
            <v>0.66985797293063343</v>
          </cell>
          <cell r="AD104">
            <v>1.1922142296646336</v>
          </cell>
          <cell r="AE104">
            <v>1.4535346810801717</v>
          </cell>
          <cell r="AF104">
            <v>1.4092161363819491</v>
          </cell>
          <cell r="AG104">
            <v>1.4847234599392169</v>
          </cell>
          <cell r="AH104">
            <v>2.5443526431901935</v>
          </cell>
        </row>
        <row r="105">
          <cell r="C105" t="str">
            <v>Otros</v>
          </cell>
          <cell r="W105">
            <v>6.0869119130798899E-3</v>
          </cell>
          <cell r="X105">
            <v>0.59659517576569887</v>
          </cell>
          <cell r="Y105">
            <v>0.45989883452738484</v>
          </cell>
          <cell r="Z105">
            <v>0.36417449064547558</v>
          </cell>
          <cell r="AA105">
            <v>0.27684833910994011</v>
          </cell>
          <cell r="AB105">
            <v>0.21210991852253427</v>
          </cell>
          <cell r="AC105">
            <v>0.16667584165257801</v>
          </cell>
          <cell r="AD105">
            <v>0.13565093520757607</v>
          </cell>
          <cell r="AE105">
            <v>0.10864484063082802</v>
          </cell>
          <cell r="AF105">
            <v>0.10889709122017202</v>
          </cell>
          <cell r="AG105">
            <v>0</v>
          </cell>
          <cell r="AH105">
            <v>0</v>
          </cell>
        </row>
        <row r="107">
          <cell r="C107" t="str">
            <v xml:space="preserve">PIB </v>
          </cell>
          <cell r="D107">
            <v>132768</v>
          </cell>
          <cell r="E107">
            <v>155886</v>
          </cell>
          <cell r="F107">
            <v>189614</v>
          </cell>
          <cell r="G107">
            <v>243160</v>
          </cell>
          <cell r="H107">
            <v>322384</v>
          </cell>
          <cell r="I107">
            <v>405108</v>
          </cell>
          <cell r="J107">
            <v>532270</v>
          </cell>
          <cell r="K107">
            <v>716029</v>
          </cell>
          <cell r="L107">
            <v>909487</v>
          </cell>
          <cell r="M107">
            <v>1188817</v>
          </cell>
          <cell r="N107">
            <v>1579130</v>
          </cell>
          <cell r="O107">
            <v>1982773</v>
          </cell>
          <cell r="P107">
            <v>2497298</v>
          </cell>
          <cell r="Q107">
            <v>3054137</v>
          </cell>
          <cell r="R107">
            <v>3856584</v>
          </cell>
          <cell r="S107">
            <v>4965883</v>
          </cell>
          <cell r="T107">
            <v>6787956</v>
          </cell>
          <cell r="U107">
            <v>8824408</v>
          </cell>
          <cell r="V107">
            <v>11731348</v>
          </cell>
          <cell r="W107">
            <v>15126718</v>
          </cell>
          <cell r="X107">
            <v>20228122</v>
          </cell>
          <cell r="Y107">
            <v>26240771</v>
          </cell>
          <cell r="Z107">
            <v>33138510</v>
          </cell>
          <cell r="AA107">
            <v>43591737.045630313</v>
          </cell>
          <cell r="AB107">
            <v>56896914.977212004</v>
          </cell>
          <cell r="AC107">
            <v>72407014</v>
          </cell>
          <cell r="AD107">
            <v>88968056</v>
          </cell>
          <cell r="AE107">
            <v>111083968</v>
          </cell>
          <cell r="AF107">
            <v>110827570</v>
          </cell>
          <cell r="AG107">
            <v>108996572</v>
          </cell>
          <cell r="AH107">
            <v>132837529</v>
          </cell>
        </row>
        <row r="108">
          <cell r="A108" t="str">
            <v>C:\CARLOSJ\PRES9194\PAGOS.XLS</v>
          </cell>
          <cell r="AD108" t="str">
            <v>Rango REZ 2</v>
          </cell>
        </row>
      </sheetData>
      <sheetData sheetId="2" refreshError="1">
        <row r="1">
          <cell r="A1" t="str">
            <v>PAGOS REZAGO POR NUMERALES CON RECURSOS DE LA NACION</v>
          </cell>
          <cell r="O1" t="str">
            <v>PAGOS REZAGO POR NUMERALES CON RECURSOS DE LA NACION</v>
          </cell>
          <cell r="AC1" t="str">
            <v>PAGOS REZAGO POR NUMERALES CON RECURSOS DE LA NACION</v>
          </cell>
          <cell r="AP1" t="str">
            <v>PAGOS REZAGO POR NUMERALES CON RECURSOS DE LA NACION</v>
          </cell>
        </row>
        <row r="2">
          <cell r="A2" t="str">
            <v>Clasificación anterior al Decreto 568 de 1996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Millones de pesos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>CONCEPTOS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>
            <v>1992</v>
          </cell>
          <cell r="AI6">
            <v>1993</v>
          </cell>
          <cell r="AJ6">
            <v>1994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  <cell r="AT6">
            <v>1991</v>
          </cell>
          <cell r="AU6">
            <v>1992</v>
          </cell>
          <cell r="AV6">
            <v>1993</v>
          </cell>
          <cell r="AW6">
            <v>1994</v>
          </cell>
          <cell r="AX6">
            <v>1995</v>
          </cell>
          <cell r="AY6">
            <v>1996</v>
          </cell>
          <cell r="AZ6">
            <v>1997</v>
          </cell>
          <cell r="BA6">
            <v>1998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  <cell r="AT9">
            <v>0.87484414025187296</v>
          </cell>
          <cell r="AU9">
            <v>0.4489911100554172</v>
          </cell>
          <cell r="AV9">
            <v>0.65242863363500658</v>
          </cell>
          <cell r="AW9">
            <v>0.73246606499248568</v>
          </cell>
          <cell r="AX9">
            <v>1.1357448862382318</v>
          </cell>
          <cell r="AY9">
            <v>1.159151348993994</v>
          </cell>
          <cell r="AZ9">
            <v>1.6929586732489867</v>
          </cell>
          <cell r="BA9">
            <v>1.6855656840066984</v>
          </cell>
        </row>
        <row r="10">
          <cell r="A10" t="str">
            <v>1.</v>
          </cell>
          <cell r="B10" t="str">
            <v>SERVICIOS PERSONALES</v>
          </cell>
          <cell r="D10">
            <v>2247.0709999999999</v>
          </cell>
          <cell r="E10">
            <v>3962</v>
          </cell>
          <cell r="F10">
            <v>7955.0549999999994</v>
          </cell>
          <cell r="G10">
            <v>9715.991</v>
          </cell>
          <cell r="H10">
            <v>13646.7</v>
          </cell>
          <cell r="I10">
            <v>13848.165999999999</v>
          </cell>
          <cell r="J10">
            <v>17871.853643999999</v>
          </cell>
          <cell r="K10">
            <v>20857.09673737</v>
          </cell>
          <cell r="L10">
            <v>105498.42095899931</v>
          </cell>
          <cell r="M10">
            <v>75200</v>
          </cell>
          <cell r="O10" t="str">
            <v>1.</v>
          </cell>
          <cell r="P10" t="str">
            <v>SERVICIOS PERSONALES</v>
          </cell>
          <cell r="Q10">
            <v>0</v>
          </cell>
          <cell r="R10">
            <v>1.4854998115914245E-2</v>
          </cell>
          <cell r="S10">
            <v>1.9586593357504962E-2</v>
          </cell>
          <cell r="T10">
            <v>3.0315629826577883E-2</v>
          </cell>
          <cell r="U10">
            <v>2.9319335721491403E-2</v>
          </cell>
          <cell r="V10">
            <v>3.1305703614689886E-2</v>
          </cell>
          <cell r="W10">
            <v>2.4339045457115523E-2</v>
          </cell>
          <cell r="X10">
            <v>2.4682489522354838E-2</v>
          </cell>
          <cell r="Y10">
            <v>2.3192309250835177E-2</v>
          </cell>
          <cell r="Z10">
            <v>9.6790586183755675E-2</v>
          </cell>
          <cell r="AA10">
            <v>5.661050801389117E-2</v>
          </cell>
          <cell r="AB10">
            <v>6242190.2539999997</v>
          </cell>
          <cell r="AC10" t="str">
            <v>1.</v>
          </cell>
          <cell r="AD10" t="str">
            <v>SERVICIOS PERSONALES</v>
          </cell>
          <cell r="AE10">
            <v>12471901</v>
          </cell>
          <cell r="AF10">
            <v>3846.0649999999996</v>
          </cell>
          <cell r="AG10">
            <v>8483.9179999999997</v>
          </cell>
          <cell r="AH10">
            <v>6046.9699999999993</v>
          </cell>
          <cell r="AI10">
            <v>13236.657999999999</v>
          </cell>
          <cell r="AJ10">
            <v>9998.2980000000007</v>
          </cell>
          <cell r="AK10">
            <v>21676.194643999999</v>
          </cell>
          <cell r="AL10">
            <v>18983.184096550001</v>
          </cell>
          <cell r="AM10">
            <v>102119.67773078381</v>
          </cell>
          <cell r="AN10">
            <v>78020.920808873154</v>
          </cell>
          <cell r="AP10" t="str">
            <v>1.</v>
          </cell>
          <cell r="AQ10" t="str">
            <v>SERVICIOS PERSONALES</v>
          </cell>
          <cell r="AR10">
            <v>21.287306313081245</v>
          </cell>
          <cell r="AS10">
            <v>2.5425671164232777E-2</v>
          </cell>
          <cell r="AT10">
            <v>4.1941204428171827E-2</v>
          </cell>
          <cell r="AU10">
            <v>2.3044178084553991E-2</v>
          </cell>
          <cell r="AV10">
            <v>3.9943431373347806E-2</v>
          </cell>
          <cell r="AW10">
            <v>2.2936222957883352E-2</v>
          </cell>
          <cell r="AX10">
            <v>3.8097310992488108E-2</v>
          </cell>
          <cell r="AY10">
            <v>2.6217327642526454E-2</v>
          </cell>
          <cell r="AZ10">
            <v>0.11355325126744409</v>
          </cell>
          <cell r="BA10">
            <v>7.1581077622214717E-2</v>
          </cell>
        </row>
        <row r="11">
          <cell r="A11" t="str">
            <v>1.</v>
          </cell>
          <cell r="B11" t="str">
            <v>1.1.</v>
          </cell>
          <cell r="C11" t="str">
            <v>Reservas de apropiación</v>
          </cell>
          <cell r="D11">
            <v>858.06499999999994</v>
          </cell>
          <cell r="E11">
            <v>974</v>
          </cell>
          <cell r="F11">
            <v>445.137</v>
          </cell>
          <cell r="G11">
            <v>4114.1580000000004</v>
          </cell>
          <cell r="H11">
            <v>4524.2</v>
          </cell>
          <cell r="I11">
            <v>8374.0679999999993</v>
          </cell>
          <cell r="J11">
            <v>4569.7269999999999</v>
          </cell>
          <cell r="K11">
            <v>6443.6396408199998</v>
          </cell>
          <cell r="L11">
            <v>9822.3828690355003</v>
          </cell>
          <cell r="M11">
            <v>7001.4620601623456</v>
          </cell>
          <cell r="O11">
            <v>0</v>
          </cell>
          <cell r="P11" t="str">
            <v>1.1.</v>
          </cell>
          <cell r="Q11" t="str">
            <v>Reservas de apropiación</v>
          </cell>
          <cell r="R11">
            <v>5.6725194523590729E-3</v>
          </cell>
          <cell r="S11">
            <v>4.8150787304921333E-3</v>
          </cell>
          <cell r="T11">
            <v>1.6963564066010104E-3</v>
          </cell>
          <cell r="U11">
            <v>1.2415036161855195E-2</v>
          </cell>
          <cell r="V11">
            <v>1.0378572423632085E-2</v>
          </cell>
          <cell r="W11">
            <v>1.4717964943009525E-2</v>
          </cell>
          <cell r="X11">
            <v>6.3111662082902635E-3</v>
          </cell>
          <cell r="Y11">
            <v>7.1650855884979759E-3</v>
          </cell>
          <cell r="Z11">
            <v>9.0116438423728604E-3</v>
          </cell>
          <cell r="AA11">
            <v>5.2706957987470136E-3</v>
          </cell>
          <cell r="AB11">
            <v>1627946.0999999999</v>
          </cell>
          <cell r="AC11">
            <v>2072016.50178</v>
          </cell>
          <cell r="AD11" t="str">
            <v>1.1.</v>
          </cell>
          <cell r="AE11" t="str">
            <v>Reservas de apropiación</v>
          </cell>
          <cell r="AF11">
            <v>858.06499999999994</v>
          </cell>
          <cell r="AG11">
            <v>974</v>
          </cell>
          <cell r="AH11">
            <v>445.137</v>
          </cell>
          <cell r="AI11">
            <v>4114.1580000000004</v>
          </cell>
          <cell r="AJ11">
            <v>4524.2</v>
          </cell>
          <cell r="AK11">
            <v>8374.0679999999993</v>
          </cell>
          <cell r="AL11">
            <v>4569.7269999999999</v>
          </cell>
          <cell r="AM11">
            <v>6443.6396408199998</v>
          </cell>
          <cell r="AN11">
            <v>9822.3828690355003</v>
          </cell>
          <cell r="AP11">
            <v>10.806040599257361</v>
          </cell>
          <cell r="AQ11" t="str">
            <v>1.1.</v>
          </cell>
          <cell r="AR11" t="str">
            <v>Reservas de apropiación</v>
          </cell>
          <cell r="AS11">
            <v>5.6725194523590729E-3</v>
          </cell>
          <cell r="AT11">
            <v>4.8150787304921333E-3</v>
          </cell>
          <cell r="AU11">
            <v>1.6963564066010104E-3</v>
          </cell>
          <cell r="AV11">
            <v>1.2415036161855195E-2</v>
          </cell>
          <cell r="AW11">
            <v>1.0378572423632085E-2</v>
          </cell>
          <cell r="AX11">
            <v>1.4717964943009525E-2</v>
          </cell>
          <cell r="AY11">
            <v>6.3111662082902635E-3</v>
          </cell>
          <cell r="AZ11">
            <v>7.1650855884979759E-3</v>
          </cell>
          <cell r="BA11">
            <v>9.0116438423728604E-3</v>
          </cell>
        </row>
        <row r="12">
          <cell r="B12" t="str">
            <v>1.2.</v>
          </cell>
          <cell r="C12" t="str">
            <v>Reservas de Tesorería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9.6210805141059962E-3</v>
          </cell>
          <cell r="X12">
            <v>1.8371323314064575E-2</v>
          </cell>
          <cell r="Y12">
            <v>1.6027223662337199E-2</v>
          </cell>
          <cell r="Z12">
            <v>8.7778942341382823E-2</v>
          </cell>
          <cell r="AA12">
            <v>5.1339812215144151E-2</v>
          </cell>
          <cell r="AB12">
            <v>1614299.4</v>
          </cell>
          <cell r="AC12">
            <v>2058168.3357800001</v>
          </cell>
          <cell r="AD12" t="str">
            <v>1.2.</v>
          </cell>
          <cell r="AE12" t="str">
            <v>Reservas de Tesorería</v>
          </cell>
          <cell r="AF12">
            <v>1389.0060000000001</v>
          </cell>
          <cell r="AG12">
            <v>2988</v>
          </cell>
          <cell r="AH12">
            <v>7509.9179999999997</v>
          </cell>
          <cell r="AI12">
            <v>5601.8329999999996</v>
          </cell>
          <cell r="AJ12">
            <v>9122.5</v>
          </cell>
          <cell r="AK12">
            <v>5474.098</v>
          </cell>
          <cell r="AL12">
            <v>13302.126644</v>
          </cell>
          <cell r="AM12">
            <v>14413.457096550001</v>
          </cell>
          <cell r="AN12">
            <v>95676.038089963811</v>
          </cell>
          <cell r="AP12">
            <v>10.585118854487629</v>
          </cell>
          <cell r="AQ12" t="str">
            <v>1.2.</v>
          </cell>
          <cell r="AR12" t="str">
            <v>Reservas de Tesorería</v>
          </cell>
          <cell r="AS12">
            <v>9.18247866355517E-3</v>
          </cell>
          <cell r="AT12">
            <v>1.4771514627012828E-2</v>
          </cell>
          <cell r="AU12">
            <v>2.8619273419976873E-2</v>
          </cell>
          <cell r="AV12">
            <v>1.6904299559636207E-2</v>
          </cell>
          <cell r="AW12">
            <v>2.09271311910578E-2</v>
          </cell>
          <cell r="AX12">
            <v>9.6210805141059962E-3</v>
          </cell>
          <cell r="AY12">
            <v>1.8371323314064575E-2</v>
          </cell>
          <cell r="AZ12">
            <v>1.6027223662337199E-2</v>
          </cell>
          <cell r="BA12">
            <v>8.7778942341382823E-2</v>
          </cell>
        </row>
        <row r="13">
          <cell r="A13" t="str">
            <v>2.</v>
          </cell>
          <cell r="B13" t="str">
            <v>GASTOS GENERALES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0.15392771713383238</v>
          </cell>
          <cell r="X13">
            <v>0.18627557189694358</v>
          </cell>
          <cell r="Y13">
            <v>0.21432686369747259</v>
          </cell>
          <cell r="Z13">
            <v>0.25430270083906864</v>
          </cell>
          <cell r="AA13">
            <v>0.22727011129512956</v>
          </cell>
          <cell r="AB13">
            <v>4524.2</v>
          </cell>
          <cell r="AC13">
            <v>8374.0679999999993</v>
          </cell>
          <cell r="AD13" t="str">
            <v>1.3.</v>
          </cell>
          <cell r="AE13" t="str">
            <v>Deuda Flotante</v>
          </cell>
          <cell r="AF13">
            <v>1598.9939999999999</v>
          </cell>
          <cell r="AG13">
            <v>4521.9179999999997</v>
          </cell>
          <cell r="AH13">
            <v>-1908.085</v>
          </cell>
          <cell r="AI13">
            <v>3520.6670000000004</v>
          </cell>
          <cell r="AJ13">
            <v>-3648.402</v>
          </cell>
          <cell r="AK13">
            <v>7828.028644</v>
          </cell>
          <cell r="AL13">
            <v>1111.3304525500007</v>
          </cell>
          <cell r="AM13">
            <v>81262.580993413809</v>
          </cell>
          <cell r="AN13">
            <v>-27477.500150126158</v>
          </cell>
          <cell r="AP13">
            <v>37.863815497074562</v>
          </cell>
          <cell r="AQ13" t="str">
            <v>1.3.</v>
          </cell>
          <cell r="AR13" t="str">
            <v>Deuda Flotante</v>
          </cell>
          <cell r="AS13">
            <v>1.0570673048318536E-2</v>
          </cell>
          <cell r="AT13">
            <v>2.2354611070666865E-2</v>
          </cell>
          <cell r="AU13">
            <v>-7.2714517420238902E-3</v>
          </cell>
          <cell r="AV13">
            <v>1.0624095651856406E-2</v>
          </cell>
          <cell r="AW13">
            <v>-8.36948065680654E-3</v>
          </cell>
          <cell r="AX13">
            <v>1.3758265535372582E-2</v>
          </cell>
          <cell r="AY13">
            <v>1.5348381201716185E-3</v>
          </cell>
          <cell r="AZ13">
            <v>9.0360942016608936E-2</v>
          </cell>
          <cell r="BA13">
            <v>-2.5209508561540958E-2</v>
          </cell>
        </row>
        <row r="14">
          <cell r="B14" t="str">
            <v>2.1.</v>
          </cell>
          <cell r="C14" t="str">
            <v>Reservas de apropiación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0.11874132080985193</v>
          </cell>
          <cell r="X14">
            <v>7.2576936346249551E-2</v>
          </cell>
          <cell r="Y14">
            <v>7.2834765727072079E-2</v>
          </cell>
          <cell r="Z14">
            <v>8.6419767078379922E-2</v>
          </cell>
          <cell r="AA14">
            <v>7.7233273642783026E-2</v>
          </cell>
          <cell r="AB14">
            <v>9122.5</v>
          </cell>
          <cell r="AC14" t="str">
            <v>2.</v>
          </cell>
          <cell r="AD14" t="str">
            <v>GASTOS GENERALES</v>
          </cell>
          <cell r="AE14">
            <v>19100</v>
          </cell>
          <cell r="AF14">
            <v>27666.849000000002</v>
          </cell>
          <cell r="AG14">
            <v>22628.664000000001</v>
          </cell>
          <cell r="AH14">
            <v>44793.157999999996</v>
          </cell>
          <cell r="AI14">
            <v>73177.638000000006</v>
          </cell>
          <cell r="AJ14">
            <v>97720.774000000005</v>
          </cell>
          <cell r="AK14">
            <v>149885.93530499999</v>
          </cell>
          <cell r="AL14">
            <v>179796.17984457</v>
          </cell>
          <cell r="AM14">
            <v>248487.74221783143</v>
          </cell>
          <cell r="AN14">
            <v>293499.8113729374</v>
          </cell>
          <cell r="AP14" t="str">
            <v>2.</v>
          </cell>
          <cell r="AQ14" t="str">
            <v>GASTOS GENERALES</v>
          </cell>
          <cell r="AR14">
            <v>8.3545321909205494</v>
          </cell>
          <cell r="AS14">
            <v>0.18290075826188132</v>
          </cell>
          <cell r="AT14">
            <v>0.11186734982120436</v>
          </cell>
          <cell r="AU14">
            <v>0.17070061699025535</v>
          </cell>
          <cell r="AV14">
            <v>0.2208235614697221</v>
          </cell>
          <cell r="AW14">
            <v>0.22417270020166735</v>
          </cell>
          <cell r="AX14">
            <v>0.26343420441166515</v>
          </cell>
          <cell r="AY14">
            <v>0.24831320877915225</v>
          </cell>
          <cell r="AZ14">
            <v>0.27630904891149538</v>
          </cell>
          <cell r="BA14">
            <v>0.26927435054832494</v>
          </cell>
        </row>
        <row r="15">
          <cell r="A15" t="str">
            <v>2.</v>
          </cell>
          <cell r="B15" t="str">
            <v>2.2.</v>
          </cell>
          <cell r="C15" t="str">
            <v>Reservas de Tesorería</v>
          </cell>
          <cell r="D15">
            <v>7626.5989999999993</v>
          </cell>
          <cell r="E15">
            <v>17242</v>
          </cell>
          <cell r="F15">
            <v>10135.664000000001</v>
          </cell>
          <cell r="G15">
            <v>20590.944</v>
          </cell>
          <cell r="H15">
            <v>28426.578000000001</v>
          </cell>
          <cell r="I15">
            <v>20019.974000000002</v>
          </cell>
          <cell r="J15">
            <v>82325.786961000005</v>
          </cell>
          <cell r="K15">
            <v>127245.38738357001</v>
          </cell>
          <cell r="L15">
            <v>182986.6427721814</v>
          </cell>
          <cell r="M15">
            <v>199305.22772711873</v>
          </cell>
          <cell r="O15">
            <v>0</v>
          </cell>
          <cell r="P15" t="str">
            <v>2.2.</v>
          </cell>
          <cell r="Q15" t="str">
            <v>Reservas de Tesorería</v>
          </cell>
          <cell r="R15">
            <v>5.0418128210382961E-2</v>
          </cell>
          <cell r="S15">
            <v>8.5237769477561981E-2</v>
          </cell>
          <cell r="T15">
            <v>3.8625633370299985E-2</v>
          </cell>
          <cell r="U15">
            <v>6.2135998269083316E-2</v>
          </cell>
          <cell r="V15">
            <v>6.5210931994391624E-2</v>
          </cell>
          <cell r="W15">
            <v>3.5186396323980441E-2</v>
          </cell>
          <cell r="X15">
            <v>0.11369863555069402</v>
          </cell>
          <cell r="Y15">
            <v>0.14149209797040049</v>
          </cell>
          <cell r="Z15">
            <v>0.16788293376068872</v>
          </cell>
          <cell r="AA15">
            <v>0.15003683765234652</v>
          </cell>
          <cell r="AB15">
            <v>505133.27799999999</v>
          </cell>
          <cell r="AC15">
            <v>596351.93934400007</v>
          </cell>
          <cell r="AD15" t="str">
            <v>2.1.</v>
          </cell>
          <cell r="AE15" t="str">
            <v>Reservas de apropiación</v>
          </cell>
          <cell r="AF15">
            <v>10424.849</v>
          </cell>
          <cell r="AG15">
            <v>12493</v>
          </cell>
          <cell r="AH15">
            <v>24202.214</v>
          </cell>
          <cell r="AI15">
            <v>44751.06</v>
          </cell>
          <cell r="AJ15">
            <v>77700.800000000003</v>
          </cell>
          <cell r="AK15">
            <v>67560.148344000001</v>
          </cell>
          <cell r="AL15">
            <v>52550.792460999997</v>
          </cell>
          <cell r="AM15">
            <v>65501.099445650005</v>
          </cell>
          <cell r="AN15">
            <v>94194.583645818668</v>
          </cell>
          <cell r="AP15">
            <v>12.348630566049446</v>
          </cell>
          <cell r="AQ15" t="str">
            <v>2.1.</v>
          </cell>
          <cell r="AR15" t="str">
            <v>Reservas de apropiación</v>
          </cell>
          <cell r="AS15">
            <v>6.891687545862614E-2</v>
          </cell>
          <cell r="AT15">
            <v>6.1760552956918097E-2</v>
          </cell>
          <cell r="AU15">
            <v>9.2231337257582854E-2</v>
          </cell>
          <cell r="AV15">
            <v>0.13504246268163533</v>
          </cell>
          <cell r="AW15">
            <v>0.17824662485614076</v>
          </cell>
          <cell r="AX15">
            <v>0.11874132080985193</v>
          </cell>
          <cell r="AY15">
            <v>7.2576936346249551E-2</v>
          </cell>
          <cell r="AZ15">
            <v>7.2834765727072079E-2</v>
          </cell>
          <cell r="BA15">
            <v>8.6419767078379922E-2</v>
          </cell>
        </row>
        <row r="16">
          <cell r="A16" t="str">
            <v>3.</v>
          </cell>
          <cell r="B16" t="str">
            <v>TRANSFERENCIAS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0.55280962873993122</v>
          </cell>
          <cell r="X16">
            <v>0.67536041372041666</v>
          </cell>
          <cell r="Y16">
            <v>0.69113430827074029</v>
          </cell>
          <cell r="Z16">
            <v>1.7460852206691426</v>
          </cell>
          <cell r="AA16">
            <v>0.8347038734814165</v>
          </cell>
          <cell r="AB16">
            <v>399005.9</v>
          </cell>
          <cell r="AC16">
            <v>508771.81699999998</v>
          </cell>
          <cell r="AD16" t="str">
            <v>2.2.</v>
          </cell>
          <cell r="AE16" t="str">
            <v>Reservas de Tesorería</v>
          </cell>
          <cell r="AF16">
            <v>7626.5989999999993</v>
          </cell>
          <cell r="AG16">
            <v>17242</v>
          </cell>
          <cell r="AH16">
            <v>10135.664000000001</v>
          </cell>
          <cell r="AI16">
            <v>20590.944</v>
          </cell>
          <cell r="AJ16">
            <v>28426.578000000001</v>
          </cell>
          <cell r="AK16">
            <v>20019.974000000002</v>
          </cell>
          <cell r="AL16">
            <v>82325.786961000005</v>
          </cell>
          <cell r="AM16">
            <v>127245.38738357001</v>
          </cell>
          <cell r="AN16">
            <v>182986.6427721814</v>
          </cell>
          <cell r="AP16">
            <v>3.2544754361547135</v>
          </cell>
          <cell r="AQ16" t="str">
            <v>2.2.</v>
          </cell>
          <cell r="AR16" t="str">
            <v>Reservas de Tesorería</v>
          </cell>
          <cell r="AS16">
            <v>5.0418128210382961E-2</v>
          </cell>
          <cell r="AT16">
            <v>8.5237769477561981E-2</v>
          </cell>
          <cell r="AU16">
            <v>3.8625633370299985E-2</v>
          </cell>
          <cell r="AV16">
            <v>6.2135998269083316E-2</v>
          </cell>
          <cell r="AW16">
            <v>6.5210931994391624E-2</v>
          </cell>
          <cell r="AX16">
            <v>3.5186396323980441E-2</v>
          </cell>
          <cell r="AY16">
            <v>0.11369863555069402</v>
          </cell>
          <cell r="AZ16">
            <v>0.14149209797040049</v>
          </cell>
          <cell r="BA16">
            <v>0.16788293376068872</v>
          </cell>
        </row>
        <row r="17">
          <cell r="B17" t="str">
            <v>3.1.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0.22561999275604708</v>
          </cell>
          <cell r="X17">
            <v>0.19713207953997386</v>
          </cell>
          <cell r="Y17">
            <v>0.13761042944317223</v>
          </cell>
          <cell r="Z17">
            <v>0.7844639464190738</v>
          </cell>
          <cell r="AA17">
            <v>0.37500752364857987</v>
          </cell>
          <cell r="AB17">
            <v>77700.800000000003</v>
          </cell>
          <cell r="AC17">
            <v>67560.148344000001</v>
          </cell>
          <cell r="AD17" t="str">
            <v>2.3.</v>
          </cell>
          <cell r="AE17" t="str">
            <v>Deuda Flotante</v>
          </cell>
          <cell r="AF17">
            <v>9615.4010000000017</v>
          </cell>
          <cell r="AG17">
            <v>-7106.3359999999993</v>
          </cell>
          <cell r="AH17">
            <v>10455.279999999999</v>
          </cell>
          <cell r="AI17">
            <v>7835.6340000000018</v>
          </cell>
          <cell r="AJ17">
            <v>-8406.6039999999994</v>
          </cell>
          <cell r="AK17">
            <v>62305.812961000003</v>
          </cell>
          <cell r="AL17">
            <v>44919.600422570002</v>
          </cell>
          <cell r="AM17">
            <v>55741.255388611389</v>
          </cell>
          <cell r="AN17">
            <v>16318.584954937338</v>
          </cell>
          <cell r="AP17">
            <v>47.084366153684364</v>
          </cell>
          <cell r="AQ17" t="str">
            <v>2.3.</v>
          </cell>
          <cell r="AR17" t="str">
            <v>Deuda Flotante</v>
          </cell>
          <cell r="AS17">
            <v>6.3565754592872212E-2</v>
          </cell>
          <cell r="AT17">
            <v>-3.5130972613275711E-2</v>
          </cell>
          <cell r="AU17">
            <v>3.9843646362372503E-2</v>
          </cell>
          <cell r="AV17">
            <v>2.3645100519003422E-2</v>
          </cell>
          <cell r="AW17">
            <v>-1.9284856648865034E-2</v>
          </cell>
          <cell r="AX17">
            <v>0.10950648727783278</v>
          </cell>
          <cell r="AY17">
            <v>6.2037636882208674E-2</v>
          </cell>
          <cell r="AZ17">
            <v>6.1982185214022795E-2</v>
          </cell>
          <cell r="BA17">
            <v>1.4971649709256303E-2</v>
          </cell>
        </row>
        <row r="18">
          <cell r="B18" t="str">
            <v>3.2.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0.32718963598388406</v>
          </cell>
          <cell r="X18">
            <v>0.47822833418044275</v>
          </cell>
          <cell r="Y18">
            <v>0.55352387882756815</v>
          </cell>
          <cell r="Z18">
            <v>0.96162127425006882</v>
          </cell>
          <cell r="AA18">
            <v>0.45969634983283664</v>
          </cell>
          <cell r="AB18">
            <v>28426.578000000001</v>
          </cell>
          <cell r="AC18" t="str">
            <v>3.</v>
          </cell>
          <cell r="AD18" t="str">
            <v>TRANSFERENCIAS</v>
          </cell>
          <cell r="AE18">
            <v>125806</v>
          </cell>
          <cell r="AF18">
            <v>57627.399999999994</v>
          </cell>
          <cell r="AG18">
            <v>145851.95799999998</v>
          </cell>
          <cell r="AH18">
            <v>66978.600999999995</v>
          </cell>
          <cell r="AI18">
            <v>129790.83200000001</v>
          </cell>
          <cell r="AJ18">
            <v>211575.609</v>
          </cell>
          <cell r="AK18">
            <v>474641.67233199999</v>
          </cell>
          <cell r="AL18">
            <v>640527.51560615003</v>
          </cell>
          <cell r="AM18">
            <v>1171888.7850833237</v>
          </cell>
          <cell r="AN18">
            <v>1465688.0821938431</v>
          </cell>
          <cell r="AP18" t="str">
            <v>3.</v>
          </cell>
          <cell r="AQ18" t="str">
            <v>TRANSFERENCIAS</v>
          </cell>
          <cell r="AR18">
            <v>54.563220202012339</v>
          </cell>
          <cell r="AS18">
            <v>0.38096478412343732</v>
          </cell>
          <cell r="AT18">
            <v>0.72103558600249684</v>
          </cell>
          <cell r="AU18">
            <v>0.25524631498060779</v>
          </cell>
          <cell r="AV18">
            <v>0.3916616407919366</v>
          </cell>
          <cell r="AW18">
            <v>0.48535714183293505</v>
          </cell>
          <cell r="AX18">
            <v>0.83421337083407854</v>
          </cell>
          <cell r="AY18">
            <v>0.88462081257231517</v>
          </cell>
          <cell r="AZ18">
            <v>1.3030963730700473</v>
          </cell>
          <cell r="BA18">
            <v>1.3447102558361588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 t="str">
            <v>3.1.</v>
          </cell>
          <cell r="AE19" t="str">
            <v>Reservas de apropiación</v>
          </cell>
          <cell r="AF19">
            <v>27937.4</v>
          </cell>
          <cell r="AG19">
            <v>67827</v>
          </cell>
          <cell r="AH19">
            <v>44092.851999999999</v>
          </cell>
          <cell r="AI19">
            <v>61973.756000000001</v>
          </cell>
          <cell r="AJ19">
            <v>25414.799999999999</v>
          </cell>
          <cell r="AK19">
            <v>128370.81544999999</v>
          </cell>
          <cell r="AL19">
            <v>142737.45243100001</v>
          </cell>
          <cell r="AM19">
            <v>123754.56052803001</v>
          </cell>
          <cell r="AN19">
            <v>855038.81017270719</v>
          </cell>
          <cell r="AP19">
            <v>21.426507391628768</v>
          </cell>
          <cell r="AQ19" t="str">
            <v>3.1.</v>
          </cell>
          <cell r="AR19" t="str">
            <v>Reservas de apropiación</v>
          </cell>
          <cell r="AS19">
            <v>0.18468932417513403</v>
          </cell>
          <cell r="AT19">
            <v>0.3353104158655954</v>
          </cell>
          <cell r="AU19">
            <v>0.16803184632036916</v>
          </cell>
          <cell r="AV19">
            <v>0.18701431054081794</v>
          </cell>
          <cell r="AW19">
            <v>5.8301874902109703E-2</v>
          </cell>
          <cell r="AX19">
            <v>0.22561999275604708</v>
          </cell>
          <cell r="AY19">
            <v>0.19713207953997386</v>
          </cell>
          <cell r="AZ19">
            <v>0.13761042944317223</v>
          </cell>
          <cell r="BA19">
            <v>0.7844639464190738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0.18857732527848475</v>
          </cell>
          <cell r="X20">
            <v>5.4612023180516736E-2</v>
          </cell>
          <cell r="Y20">
            <v>5.0874251118559206E-2</v>
          </cell>
          <cell r="Z20">
            <v>0.89543140847150438</v>
          </cell>
          <cell r="AA20">
            <v>1.5303657146467999</v>
          </cell>
          <cell r="AB20">
            <v>4015879</v>
          </cell>
          <cell r="AC20">
            <v>5203311.62</v>
          </cell>
          <cell r="AD20" t="str">
            <v>1.3.</v>
          </cell>
          <cell r="AE20" t="str">
            <v>Reservas de Tesorería</v>
          </cell>
          <cell r="AF20">
            <v>75494</v>
          </cell>
          <cell r="AG20">
            <v>29690</v>
          </cell>
          <cell r="AH20">
            <v>78024.957999999999</v>
          </cell>
          <cell r="AI20">
            <v>22885.749</v>
          </cell>
          <cell r="AJ20">
            <v>67817.076000000001</v>
          </cell>
          <cell r="AK20">
            <v>186160.80899999998</v>
          </cell>
          <cell r="AL20">
            <v>346270.85688199999</v>
          </cell>
          <cell r="AM20">
            <v>497790.06317515002</v>
          </cell>
          <cell r="AN20">
            <v>1048134.2245552937</v>
          </cell>
          <cell r="AP20">
            <v>19.733309868081928</v>
          </cell>
          <cell r="AQ20" t="str">
            <v>1.3.</v>
          </cell>
          <cell r="AR20" t="str">
            <v>Reservas de Tesorería</v>
          </cell>
          <cell r="AS20">
            <v>0.4990777896038131</v>
          </cell>
          <cell r="AT20">
            <v>0.14677585986479616</v>
          </cell>
          <cell r="AU20">
            <v>0.29734247518870538</v>
          </cell>
          <cell r="AV20">
            <v>6.906088716722629E-2</v>
          </cell>
          <cell r="AW20">
            <v>0.1555732361135585</v>
          </cell>
          <cell r="AX20">
            <v>0.32718963598388406</v>
          </cell>
          <cell r="AY20">
            <v>0.47822833418044275</v>
          </cell>
          <cell r="AZ20">
            <v>0.55352387882756815</v>
          </cell>
          <cell r="BA20">
            <v>0.96162127425006882</v>
          </cell>
        </row>
        <row r="21">
          <cell r="A21" t="str">
            <v>1.</v>
          </cell>
          <cell r="B21" t="str">
            <v>INTERNA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0.15600131226016306</v>
          </cell>
          <cell r="X21">
            <v>3.8534740138572762E-2</v>
          </cell>
          <cell r="Y21">
            <v>4.300024584378722E-3</v>
          </cell>
          <cell r="Z21">
            <v>0.52265105681176505</v>
          </cell>
          <cell r="AA21">
            <v>1.3925281612246794</v>
          </cell>
          <cell r="AB21">
            <v>25414.799999999999</v>
          </cell>
          <cell r="AC21">
            <v>128370.81544999999</v>
          </cell>
          <cell r="AD21" t="str">
            <v>3.3.</v>
          </cell>
          <cell r="AE21" t="str">
            <v>Deuda Flotante</v>
          </cell>
          <cell r="AF21">
            <v>-45804</v>
          </cell>
          <cell r="AG21">
            <v>48334.957999999999</v>
          </cell>
          <cell r="AH21">
            <v>-55139.209000000003</v>
          </cell>
          <cell r="AI21">
            <v>44931.327000000005</v>
          </cell>
          <cell r="AJ21">
            <v>118343.73299999998</v>
          </cell>
          <cell r="AK21">
            <v>160110.04788200001</v>
          </cell>
          <cell r="AL21">
            <v>151519.20629315003</v>
          </cell>
          <cell r="AM21">
            <v>550344.1613801436</v>
          </cell>
          <cell r="AN21">
            <v>-437484.9525341579</v>
          </cell>
          <cell r="AP21">
            <v>46.508149359811938</v>
          </cell>
          <cell r="AQ21" t="str">
            <v>3.3.</v>
          </cell>
          <cell r="AR21" t="str">
            <v>Deuda Flotante</v>
          </cell>
          <cell r="AS21">
            <v>-0.30280232965550979</v>
          </cell>
          <cell r="AT21">
            <v>0.23894931027210534</v>
          </cell>
          <cell r="AU21">
            <v>-0.21012800652846669</v>
          </cell>
          <cell r="AV21">
            <v>0.13558644308389245</v>
          </cell>
          <cell r="AW21">
            <v>0.27148203081726674</v>
          </cell>
          <cell r="AX21">
            <v>0.28140374209414742</v>
          </cell>
          <cell r="AY21">
            <v>0.20926039885189857</v>
          </cell>
          <cell r="AZ21">
            <v>0.61196206479930682</v>
          </cell>
          <cell r="BA21">
            <v>-0.40137496483298385</v>
          </cell>
        </row>
        <row r="22">
          <cell r="B22" t="str">
            <v>1.1.</v>
          </cell>
          <cell r="C22" t="str">
            <v>Reservas de apropiación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2.2239249827403964E-4</v>
          </cell>
          <cell r="Z22">
            <v>0</v>
          </cell>
          <cell r="AA22">
            <v>0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  <cell r="AT23">
            <v>0.27136401490954032</v>
          </cell>
          <cell r="AU23">
            <v>8.0253590872006009E-2</v>
          </cell>
          <cell r="AV23">
            <v>0.31800977171272937</v>
          </cell>
          <cell r="AW23">
            <v>0.24613536349259876</v>
          </cell>
          <cell r="AX23">
            <v>6.9499260699525611E-2</v>
          </cell>
          <cell r="AY23">
            <v>6.2551494070726354E-2</v>
          </cell>
          <cell r="AZ23">
            <v>1.085775374219865</v>
          </cell>
          <cell r="BA23">
            <v>1.8651045282414938</v>
          </cell>
        </row>
        <row r="24">
          <cell r="A24" t="str">
            <v>2.</v>
          </cell>
          <cell r="B24" t="str">
            <v>EXTERNA</v>
          </cell>
          <cell r="D24">
            <v>18709.312999999998</v>
          </cell>
          <cell r="E24">
            <v>87094</v>
          </cell>
          <cell r="F24">
            <v>40610.697999999997</v>
          </cell>
          <cell r="G24">
            <v>11036.486999999999</v>
          </cell>
          <cell r="H24">
            <v>85431.099999999991</v>
          </cell>
          <cell r="I24">
            <v>18534.746429999999</v>
          </cell>
          <cell r="J24">
            <v>11641.080583000001</v>
          </cell>
          <cell r="K24">
            <v>41884.710047</v>
          </cell>
          <cell r="L24">
            <v>406317.8043986609</v>
          </cell>
          <cell r="M24">
            <v>183100</v>
          </cell>
          <cell r="O24" t="str">
            <v>2.</v>
          </cell>
          <cell r="P24" t="str">
            <v>EXTERNA</v>
          </cell>
          <cell r="Q24">
            <v>0</v>
          </cell>
          <cell r="R24">
            <v>0.12368403551336377</v>
          </cell>
          <cell r="S24">
            <v>0.43055900097893418</v>
          </cell>
          <cell r="T24">
            <v>0.15476183226476081</v>
          </cell>
          <cell r="U24">
            <v>3.3304113552480176E-2</v>
          </cell>
          <cell r="V24">
            <v>0.19598003151508667</v>
          </cell>
          <cell r="W24">
            <v>3.2576013018321678E-2</v>
          </cell>
          <cell r="X24">
            <v>1.6077283041943974E-2</v>
          </cell>
          <cell r="Y24">
            <v>4.6574226534180488E-2</v>
          </cell>
          <cell r="Z24">
            <v>0.37278035165973927</v>
          </cell>
          <cell r="AA24">
            <v>0.13783755342212065</v>
          </cell>
          <cell r="AB24">
            <v>2490959.7000000002</v>
          </cell>
          <cell r="AC24" t="str">
            <v>1.</v>
          </cell>
          <cell r="AD24" t="str">
            <v>INTERNA</v>
          </cell>
          <cell r="AE24">
            <v>7085000</v>
          </cell>
          <cell r="AF24">
            <v>9612</v>
          </cell>
          <cell r="AG24">
            <v>13482.146000000001</v>
          </cell>
          <cell r="AH24">
            <v>10022.674000000001</v>
          </cell>
          <cell r="AI24">
            <v>19952.599999999999</v>
          </cell>
          <cell r="AJ24">
            <v>88759.934000000008</v>
          </cell>
          <cell r="AK24">
            <v>27901.854686999999</v>
          </cell>
          <cell r="AL24">
            <v>3667.0590220000013</v>
          </cell>
          <cell r="AM24">
            <v>569871.7354465964</v>
          </cell>
          <cell r="AN24">
            <v>1849800</v>
          </cell>
          <cell r="AP24" t="str">
            <v>1.</v>
          </cell>
          <cell r="AQ24" t="str">
            <v>INTERNA</v>
          </cell>
          <cell r="AR24">
            <v>45.649124717475885</v>
          </cell>
          <cell r="AS24">
            <v>6.3543271169521437E-2</v>
          </cell>
          <cell r="AT24">
            <v>6.6650507644753193E-2</v>
          </cell>
          <cell r="AU24">
            <v>3.8195043888001622E-2</v>
          </cell>
          <cell r="AV24">
            <v>6.0209707678468345E-2</v>
          </cell>
          <cell r="AW24">
            <v>0.20361641910963355</v>
          </cell>
          <cell r="AX24">
            <v>4.9039310300347694E-2</v>
          </cell>
          <cell r="AY24">
            <v>5.0645080074701067E-3</v>
          </cell>
          <cell r="AZ24">
            <v>0.63367599470865577</v>
          </cell>
          <cell r="BA24">
            <v>1.6971175937533154</v>
          </cell>
        </row>
        <row r="25">
          <cell r="A25" t="str">
            <v>1.</v>
          </cell>
          <cell r="B25" t="str">
            <v>2.1.</v>
          </cell>
          <cell r="C25" t="str">
            <v>Reservas de apropiación</v>
          </cell>
          <cell r="D25">
            <v>0</v>
          </cell>
          <cell r="E25">
            <v>799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260.10000000000002</v>
          </cell>
          <cell r="L25">
            <v>0</v>
          </cell>
          <cell r="M25">
            <v>0</v>
          </cell>
          <cell r="O25">
            <v>0</v>
          </cell>
          <cell r="P25" t="str">
            <v>2.1.</v>
          </cell>
          <cell r="Q25" t="str">
            <v>Reservas de apropiación</v>
          </cell>
          <cell r="R25">
            <v>0</v>
          </cell>
          <cell r="S25">
            <v>3.9499465150546354E-3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2.8922144400538854E-4</v>
          </cell>
          <cell r="Z25">
            <v>0</v>
          </cell>
          <cell r="AA25">
            <v>0</v>
          </cell>
          <cell r="AB25">
            <v>1141052.8999999999</v>
          </cell>
          <cell r="AC25">
            <v>1377370.6828639999</v>
          </cell>
          <cell r="AD25" t="str">
            <v>1.1.</v>
          </cell>
          <cell r="AE25" t="str">
            <v>Reservas de apropiación</v>
          </cell>
          <cell r="AF25">
            <v>0</v>
          </cell>
          <cell r="AG25">
            <v>2300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200</v>
          </cell>
          <cell r="AN25">
            <v>0</v>
          </cell>
          <cell r="AP25">
            <v>42.587723736174254</v>
          </cell>
          <cell r="AQ25" t="str">
            <v>1.1.</v>
          </cell>
          <cell r="AR25" t="str">
            <v>Reservas de apropiación</v>
          </cell>
          <cell r="AS25">
            <v>0</v>
          </cell>
          <cell r="AT25">
            <v>1.137030911717855E-2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2.2239249827403964E-4</v>
          </cell>
          <cell r="BA25">
            <v>0</v>
          </cell>
        </row>
        <row r="26">
          <cell r="B26" t="str">
            <v>2.2.</v>
          </cell>
          <cell r="C26" t="str">
            <v>Reservas de Tesorería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3.2576013018321678E-2</v>
          </cell>
          <cell r="X26">
            <v>1.6077283041943974E-2</v>
          </cell>
          <cell r="Y26">
            <v>4.6285005090175101E-2</v>
          </cell>
          <cell r="Z26">
            <v>0.37278035165973927</v>
          </cell>
          <cell r="AA26">
            <v>0.13783755342212065</v>
          </cell>
          <cell r="AB26">
            <v>1121100.2999999998</v>
          </cell>
          <cell r="AC26">
            <v>1288610.748864</v>
          </cell>
          <cell r="AD26" t="str">
            <v>1.2.</v>
          </cell>
          <cell r="AE26" t="str">
            <v>Reservas de Tesorería</v>
          </cell>
          <cell r="AF26">
            <v>1630.654</v>
          </cell>
          <cell r="AG26">
            <v>9612</v>
          </cell>
          <cell r="AH26">
            <v>11182.146000000001</v>
          </cell>
          <cell r="AI26">
            <v>10022.674000000001</v>
          </cell>
          <cell r="AJ26">
            <v>19952.599999999999</v>
          </cell>
          <cell r="AK26">
            <v>88759.933999999994</v>
          </cell>
          <cell r="AL26">
            <v>27901.854686999999</v>
          </cell>
          <cell r="AM26">
            <v>3667.0590219999999</v>
          </cell>
          <cell r="AN26">
            <v>569671.7354465964</v>
          </cell>
          <cell r="AP26">
            <v>43.755419002094719</v>
          </cell>
          <cell r="AQ26" t="str">
            <v>1.2.</v>
          </cell>
          <cell r="AR26" t="str">
            <v>Reservas de Tesorería</v>
          </cell>
          <cell r="AS26">
            <v>1.0779971837876073E-2</v>
          </cell>
          <cell r="AT26">
            <v>4.7518004884487056E-2</v>
          </cell>
          <cell r="AU26">
            <v>4.2613633570446542E-2</v>
          </cell>
          <cell r="AV26">
            <v>3.024479374600729E-2</v>
          </cell>
          <cell r="AW26">
            <v>4.5771518531400372E-2</v>
          </cell>
          <cell r="AX26">
            <v>0.15600131226016306</v>
          </cell>
          <cell r="AY26">
            <v>3.8534740138572762E-2</v>
          </cell>
          <cell r="AZ26">
            <v>4.0776320861046818E-3</v>
          </cell>
          <cell r="BA26">
            <v>0.52265105681176505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1.3.</v>
          </cell>
          <cell r="AE27" t="str">
            <v>Deuda Flotante</v>
          </cell>
          <cell r="AF27">
            <v>7981.3459999999995</v>
          </cell>
          <cell r="AG27">
            <v>1570.1460000000006</v>
          </cell>
          <cell r="AH27">
            <v>-1159.4719999999998</v>
          </cell>
          <cell r="AI27">
            <v>9929.9259999999977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  <cell r="AT27">
            <v>7.762193643087582E-3</v>
          </cell>
          <cell r="AU27">
            <v>-4.418589682444924E-3</v>
          </cell>
          <cell r="AV27">
            <v>2.9964913932461049E-2</v>
          </cell>
          <cell r="AW27">
            <v>0.15784490057823317</v>
          </cell>
          <cell r="AX27">
            <v>-0.10696200195981539</v>
          </cell>
          <cell r="AY27">
            <v>-3.3470232131102652E-2</v>
          </cell>
          <cell r="AZ27">
            <v>0.62937597012427704</v>
          </cell>
          <cell r="BA27">
            <v>1.1744665369415503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1.0418089764469785</v>
          </cell>
          <cell r="X28">
            <v>1.551595642013355</v>
          </cell>
          <cell r="Y28">
            <v>2.1040176969467987</v>
          </cell>
          <cell r="Z28">
            <v>2.0028523994792482</v>
          </cell>
          <cell r="AA28">
            <v>1.1304034419369544</v>
          </cell>
          <cell r="AB28">
            <v>19952.599999999999</v>
          </cell>
          <cell r="AC28" t="str">
            <v>2.</v>
          </cell>
          <cell r="AD28" t="str">
            <v>EXTERNA</v>
          </cell>
          <cell r="AE28">
            <v>0</v>
          </cell>
          <cell r="AF28">
            <v>86295</v>
          </cell>
          <cell r="AG28">
            <v>41409.697999999997</v>
          </cell>
          <cell r="AH28">
            <v>11036.487000000001</v>
          </cell>
          <cell r="AI28">
            <v>85431.099999999991</v>
          </cell>
          <cell r="AJ28">
            <v>18534.746429999999</v>
          </cell>
          <cell r="AK28">
            <v>11641.080583000001</v>
          </cell>
          <cell r="AL28">
            <v>41624.610047000002</v>
          </cell>
          <cell r="AM28">
            <v>406577.90439866087</v>
          </cell>
          <cell r="AN28">
            <v>183100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  <cell r="AT28">
            <v>0.2047135072647871</v>
          </cell>
          <cell r="AU28">
            <v>4.2058546984004401E-2</v>
          </cell>
          <cell r="AV28">
            <v>0.25780006403426103</v>
          </cell>
          <cell r="AW28">
            <v>4.2518944382965218E-2</v>
          </cell>
          <cell r="AX28">
            <v>2.0459950399177904E-2</v>
          </cell>
          <cell r="AY28">
            <v>5.7486986063256251E-2</v>
          </cell>
          <cell r="AZ28">
            <v>0.45209937951120915</v>
          </cell>
          <cell r="BA28">
            <v>0.1679869344881782</v>
          </cell>
        </row>
        <row r="29">
          <cell r="A29" t="str">
            <v>2.</v>
          </cell>
          <cell r="B29" t="str">
            <v>1.1.</v>
          </cell>
          <cell r="C29" t="str">
            <v>Reservas de apropiación</v>
          </cell>
          <cell r="D29">
            <v>44156.1</v>
          </cell>
          <cell r="E29">
            <v>131762</v>
          </cell>
          <cell r="F29">
            <v>153077.386</v>
          </cell>
          <cell r="G29">
            <v>263387.62400000001</v>
          </cell>
          <cell r="H29">
            <v>301579.3</v>
          </cell>
          <cell r="I29">
            <v>426682.572744</v>
          </cell>
          <cell r="J29">
            <v>544215.95600500004</v>
          </cell>
          <cell r="K29">
            <v>958608.97140806005</v>
          </cell>
          <cell r="L29">
            <v>1105971.7226547827</v>
          </cell>
          <cell r="M29">
            <v>760740.43104292452</v>
          </cell>
          <cell r="O29">
            <v>0</v>
          </cell>
          <cell r="P29" t="str">
            <v>1.1.</v>
          </cell>
          <cell r="Q29" t="str">
            <v>Reservas de apropiación</v>
          </cell>
          <cell r="R29">
            <v>0.29190834749152161</v>
          </cell>
          <cell r="S29">
            <v>0.65138029125986086</v>
          </cell>
          <cell r="T29">
            <v>0.58335704389173626</v>
          </cell>
          <cell r="U29">
            <v>0.79480828800087888</v>
          </cell>
          <cell r="V29">
            <v>0.69182675534199811</v>
          </cell>
          <cell r="W29">
            <v>0.74992215819590957</v>
          </cell>
          <cell r="X29">
            <v>0.75160668275175668</v>
          </cell>
          <cell r="Y29">
            <v>1.0659372200967294</v>
          </cell>
          <cell r="Z29">
            <v>1.0146848679376657</v>
          </cell>
          <cell r="AA29">
            <v>0.5726848705857247</v>
          </cell>
          <cell r="AB29">
            <v>1349906.8</v>
          </cell>
          <cell r="AC29">
            <v>1245671.1058819999</v>
          </cell>
          <cell r="AD29" t="str">
            <v>2.1.</v>
          </cell>
          <cell r="AE29" t="str">
            <v>Reservas de apropiación</v>
          </cell>
          <cell r="AF29">
            <v>0</v>
          </cell>
          <cell r="AG29">
            <v>799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260.10000000000002</v>
          </cell>
          <cell r="AN29">
            <v>0</v>
          </cell>
          <cell r="AP29">
            <v>46.692719885846067</v>
          </cell>
          <cell r="AQ29" t="str">
            <v>2.1.</v>
          </cell>
          <cell r="AR29" t="str">
            <v>Reservas de apropiación</v>
          </cell>
          <cell r="AS29">
            <v>0</v>
          </cell>
          <cell r="AT29">
            <v>3.9499465150546354E-3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2.8922144400538854E-4</v>
          </cell>
          <cell r="BA29">
            <v>0</v>
          </cell>
        </row>
        <row r="30">
          <cell r="B30" t="str">
            <v>1.2.</v>
          </cell>
          <cell r="C30" t="str">
            <v>Reservas de Tesorería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0.29188681825106888</v>
          </cell>
          <cell r="X30">
            <v>0.79998895926159852</v>
          </cell>
          <cell r="Y30">
            <v>1.0380804768500695</v>
          </cell>
          <cell r="Z30">
            <v>0.98816753154158254</v>
          </cell>
          <cell r="AA30">
            <v>0.55771857135122971</v>
          </cell>
          <cell r="AB30">
            <v>1264475.7</v>
          </cell>
          <cell r="AC30">
            <v>1227136.3594519999</v>
          </cell>
          <cell r="AD30" t="str">
            <v>2.2.</v>
          </cell>
          <cell r="AE30" t="str">
            <v>Reservas de Tesorería</v>
          </cell>
          <cell r="AF30">
            <v>18709.312999999998</v>
          </cell>
          <cell r="AG30">
            <v>86295</v>
          </cell>
          <cell r="AH30">
            <v>40610.697999999997</v>
          </cell>
          <cell r="AI30">
            <v>11036.486999999999</v>
          </cell>
          <cell r="AJ30">
            <v>85431.099999999991</v>
          </cell>
          <cell r="AK30">
            <v>18534.746429999999</v>
          </cell>
          <cell r="AL30">
            <v>11641.080583000001</v>
          </cell>
          <cell r="AM30">
            <v>41624.610047000002</v>
          </cell>
          <cell r="AN30">
            <v>406317.8043986609</v>
          </cell>
          <cell r="AP30">
            <v>47.847092470918049</v>
          </cell>
          <cell r="AQ30" t="str">
            <v>2.2.</v>
          </cell>
          <cell r="AR30" t="str">
            <v>Reservas de Tesorería</v>
          </cell>
          <cell r="AS30">
            <v>0.12368403551336377</v>
          </cell>
          <cell r="AT30">
            <v>0.42660905446387953</v>
          </cell>
          <cell r="AU30">
            <v>0.15476183226476081</v>
          </cell>
          <cell r="AV30">
            <v>3.3304113552480176E-2</v>
          </cell>
          <cell r="AW30">
            <v>0.19598003151508667</v>
          </cell>
          <cell r="AX30">
            <v>3.2576013018321678E-2</v>
          </cell>
          <cell r="AY30">
            <v>1.6077283041943974E-2</v>
          </cell>
          <cell r="AZ30">
            <v>4.6285005090175101E-2</v>
          </cell>
          <cell r="BA30">
            <v>0.37278035165973927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2.3.</v>
          </cell>
          <cell r="AE31" t="str">
            <v>Deuda Flotante</v>
          </cell>
          <cell r="AF31">
            <v>67585.687000000005</v>
          </cell>
          <cell r="AG31">
            <v>-45684.302000000003</v>
          </cell>
          <cell r="AH31">
            <v>-29574.210999999996</v>
          </cell>
          <cell r="AI31">
            <v>74394.612999999998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  <cell r="AT31">
            <v>-0.22584549371414708</v>
          </cell>
          <cell r="AU31">
            <v>-0.11270328528075639</v>
          </cell>
          <cell r="AV31">
            <v>0.22449595048178086</v>
          </cell>
          <cell r="AW31">
            <v>-0.15346108713212142</v>
          </cell>
          <cell r="AX31">
            <v>-1.2116062619143773E-2</v>
          </cell>
          <cell r="AY31">
            <v>4.140970302131227E-2</v>
          </cell>
          <cell r="AZ31">
            <v>0.40552515297702868</v>
          </cell>
          <cell r="BA31">
            <v>-0.20479341717156105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2.1735743691434131</v>
          </cell>
          <cell r="X32">
            <v>2.6592033630678373</v>
          </cell>
          <cell r="Y32">
            <v>3.217744846480401</v>
          </cell>
          <cell r="Z32">
            <v>5.106188733717592</v>
          </cell>
          <cell r="AA32">
            <v>3.7793536493741917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  <cell r="AT33">
            <v>0.93284424525420606</v>
          </cell>
          <cell r="AU33">
            <v>0.99548192391145829</v>
          </cell>
          <cell r="AV33">
            <v>1.1667682825812022</v>
          </cell>
          <cell r="AW33">
            <v>1.0728039910877518</v>
          </cell>
          <cell r="AX33">
            <v>1.7679881077522199</v>
          </cell>
          <cell r="AY33">
            <v>2.0409252814848435</v>
          </cell>
          <cell r="AZ33">
            <v>2.2635972540413234</v>
          </cell>
          <cell r="BA33">
            <v>1.694393922417907</v>
          </cell>
        </row>
        <row r="34">
          <cell r="A34" t="str">
            <v>INVERSION</v>
          </cell>
          <cell r="C34" t="str">
            <v>Reservas de Tesorería</v>
          </cell>
          <cell r="D34">
            <v>198262.264</v>
          </cell>
          <cell r="E34">
            <v>201907</v>
          </cell>
          <cell r="F34">
            <v>204398.25600000002</v>
          </cell>
          <cell r="G34">
            <v>178282.43299999999</v>
          </cell>
          <cell r="H34">
            <v>334011.85399999999</v>
          </cell>
          <cell r="I34">
            <v>485024.15623999998</v>
          </cell>
          <cell r="J34">
            <v>1060689.8234879998</v>
          </cell>
          <cell r="K34">
            <v>1618297.6750135398</v>
          </cell>
          <cell r="L34">
            <v>3379855.1802600399</v>
          </cell>
          <cell r="M34">
            <v>3651912.6066451678</v>
          </cell>
          <cell r="O34">
            <v>0</v>
          </cell>
          <cell r="P34">
            <v>0</v>
          </cell>
          <cell r="Q34" t="str">
            <v>Reservas de Tesorería</v>
          </cell>
          <cell r="R34">
            <v>1.3106775701243496</v>
          </cell>
          <cell r="S34">
            <v>0.99815000127050846</v>
          </cell>
          <cell r="T34">
            <v>0.7789338811729275</v>
          </cell>
          <cell r="U34">
            <v>0.53799169908363409</v>
          </cell>
          <cell r="V34">
            <v>0.7662274473035291</v>
          </cell>
          <cell r="W34">
            <v>0.85246125635152425</v>
          </cell>
          <cell r="X34">
            <v>1.4648992754873165</v>
          </cell>
          <cell r="Y34">
            <v>1.7994863144866549</v>
          </cell>
          <cell r="Z34">
            <v>3.1008820903652272</v>
          </cell>
          <cell r="AA34">
            <v>2.7491572856983568</v>
          </cell>
          <cell r="AB34">
            <v>1383556</v>
          </cell>
          <cell r="AC34">
            <v>1977253.1444549998</v>
          </cell>
          <cell r="AD34" t="str">
            <v>1.1.</v>
          </cell>
          <cell r="AE34" t="str">
            <v>Reservas de apropiación</v>
          </cell>
          <cell r="AF34">
            <v>44156.1</v>
          </cell>
          <cell r="AG34">
            <v>131762</v>
          </cell>
          <cell r="AH34">
            <v>153077.386</v>
          </cell>
          <cell r="AI34">
            <v>263387.62400000001</v>
          </cell>
          <cell r="AJ34">
            <v>301579.3</v>
          </cell>
          <cell r="AK34">
            <v>426682.572744</v>
          </cell>
          <cell r="AL34">
            <v>544215.95600500004</v>
          </cell>
          <cell r="AM34">
            <v>958608.97140806005</v>
          </cell>
          <cell r="AN34">
            <v>1105971.7226547827</v>
          </cell>
          <cell r="AP34">
            <v>27.623345472710369</v>
          </cell>
          <cell r="AQ34" t="str">
            <v>1.1.</v>
          </cell>
          <cell r="AR34" t="str">
            <v>Reservas de apropiación</v>
          </cell>
          <cell r="AS34">
            <v>0.29190834749152161</v>
          </cell>
          <cell r="AT34">
            <v>0.65138029125986086</v>
          </cell>
          <cell r="AU34">
            <v>0.58335704389173626</v>
          </cell>
          <cell r="AV34">
            <v>0.79480828800087888</v>
          </cell>
          <cell r="AW34">
            <v>0.69182675534199811</v>
          </cell>
          <cell r="AX34">
            <v>0.74992215819590957</v>
          </cell>
          <cell r="AY34">
            <v>0.75160668275175668</v>
          </cell>
          <cell r="AZ34">
            <v>1.0659372200967294</v>
          </cell>
          <cell r="BA34">
            <v>1.0146848679376657</v>
          </cell>
        </row>
        <row r="35">
          <cell r="B35" t="str">
            <v>1.1.</v>
          </cell>
          <cell r="C35" t="str">
            <v>Otros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0.21211167608707082</v>
          </cell>
          <cell r="X35">
            <v>0.16667722273425059</v>
          </cell>
          <cell r="Y35">
            <v>0.1341994171959951</v>
          </cell>
          <cell r="Z35">
            <v>0.11072641807487305</v>
          </cell>
          <cell r="AA35">
            <v>0</v>
          </cell>
          <cell r="AB35">
            <v>958714.70000000007</v>
          </cell>
          <cell r="AC35">
            <v>1384495.9769009999</v>
          </cell>
          <cell r="AD35" t="str">
            <v>1.2.</v>
          </cell>
          <cell r="AE35" t="str">
            <v>Reservas de Tesorería</v>
          </cell>
          <cell r="AF35">
            <v>93412.69200000001</v>
          </cell>
          <cell r="AG35">
            <v>56080</v>
          </cell>
          <cell r="AH35">
            <v>56934.872000000003</v>
          </cell>
          <cell r="AI35">
            <v>108144.746</v>
          </cell>
          <cell r="AJ35">
            <v>123262</v>
          </cell>
          <cell r="AK35">
            <v>166074.59480999998</v>
          </cell>
          <cell r="AL35">
            <v>579248.11773099995</v>
          </cell>
          <cell r="AM35">
            <v>933557.09828926995</v>
          </cell>
          <cell r="AN35">
            <v>1077068.7349973437</v>
          </cell>
          <cell r="AP35">
            <v>-0.33865822199340423</v>
          </cell>
          <cell r="AQ35" t="str">
            <v>1.2.</v>
          </cell>
          <cell r="AR35" t="str">
            <v>Reservas de Tesorería</v>
          </cell>
          <cell r="AS35">
            <v>0.61753516629535865</v>
          </cell>
          <cell r="AT35">
            <v>0.27723779795277087</v>
          </cell>
          <cell r="AU35">
            <v>0.21697103335873782</v>
          </cell>
          <cell r="AV35">
            <v>0.32634160678920082</v>
          </cell>
          <cell r="AW35">
            <v>0.28276459795803421</v>
          </cell>
          <cell r="AX35">
            <v>0.29188681825106888</v>
          </cell>
          <cell r="AY35">
            <v>0.79998895926159852</v>
          </cell>
          <cell r="AZ35">
            <v>1.0380804768500695</v>
          </cell>
          <cell r="BA35">
            <v>0.98816753154158254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 t="str">
            <v>1.3.</v>
          </cell>
          <cell r="AE36" t="str">
            <v>Deuda Flotante</v>
          </cell>
          <cell r="AF36">
            <v>-37332.69200000001</v>
          </cell>
          <cell r="AG36">
            <v>854.87200000000303</v>
          </cell>
          <cell r="AH36">
            <v>51209.873999999996</v>
          </cell>
          <cell r="AI36">
            <v>15117.254000000001</v>
          </cell>
          <cell r="AJ36">
            <v>42812.59480999998</v>
          </cell>
          <cell r="AK36">
            <v>413173.52292099997</v>
          </cell>
          <cell r="AL36">
            <v>354308.98055827001</v>
          </cell>
          <cell r="AM36">
            <v>143511.63670807378</v>
          </cell>
          <cell r="AN36">
            <v>-336209.16604026826</v>
          </cell>
          <cell r="AP36">
            <v>71.465020402934812</v>
          </cell>
          <cell r="AQ36" t="str">
            <v>1.3.</v>
          </cell>
          <cell r="AR36" t="str">
            <v>Deuda Flotante</v>
          </cell>
          <cell r="AS36">
            <v>-0.24679997620102212</v>
          </cell>
          <cell r="AT36">
            <v>4.2261560415742154E-3</v>
          </cell>
          <cell r="AU36">
            <v>0.19515384666098415</v>
          </cell>
          <cell r="AV36">
            <v>4.5618387791122782E-2</v>
          </cell>
          <cell r="AW36">
            <v>9.8212637787719381E-2</v>
          </cell>
          <cell r="AX36">
            <v>0.72617913130524148</v>
          </cell>
          <cell r="AY36">
            <v>0.48932963947148822</v>
          </cell>
          <cell r="AZ36">
            <v>0.15957955709452451</v>
          </cell>
          <cell r="BA36">
            <v>-0.30845847706134122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56896914.977212004</v>
          </cell>
          <cell r="X37">
            <v>72407014</v>
          </cell>
          <cell r="Y37">
            <v>89931091</v>
          </cell>
          <cell r="Z37">
            <v>108996572</v>
          </cell>
          <cell r="AA37">
            <v>132837529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400100.022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str">
            <v>TOTAL</v>
          </cell>
          <cell r="AQ38" t="e">
            <v>#DIV/0!</v>
          </cell>
          <cell r="AR38" t="e">
            <v>#DIV/0!</v>
          </cell>
          <cell r="AS38">
            <v>1.8859593566342951</v>
          </cell>
          <cell r="AT38">
            <v>2.0790524004156192</v>
          </cell>
          <cell r="AU38">
            <v>1.5247266248388813</v>
          </cell>
          <cell r="AV38">
            <v>2.1372066879289382</v>
          </cell>
          <cell r="AW38">
            <v>2.051405419572836</v>
          </cell>
          <cell r="AX38">
            <v>2.973232254689977</v>
          </cell>
          <cell r="AY38">
            <v>3.2626281245495639</v>
          </cell>
          <cell r="AZ38">
            <v>5.0423313015101741</v>
          </cell>
          <cell r="BA38">
            <v>5.2450641346660989</v>
          </cell>
        </row>
        <row r="39"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 t="str">
            <v>Reservas de apropiación</v>
          </cell>
          <cell r="AF39">
            <v>83376.41399999999</v>
          </cell>
          <cell r="AG39">
            <v>216155</v>
          </cell>
          <cell r="AH39">
            <v>221817.58899999998</v>
          </cell>
          <cell r="AI39">
            <v>374226.598</v>
          </cell>
          <cell r="AJ39">
            <v>409219.1</v>
          </cell>
          <cell r="AK39">
            <v>630987.60453799996</v>
          </cell>
          <cell r="AL39">
            <v>744073.92789699999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 t="str">
            <v>Reservas de apropiación</v>
          </cell>
          <cell r="AS39">
            <v>0.55118706657764083</v>
          </cell>
          <cell r="AT39">
            <v>1.0685865944450998</v>
          </cell>
          <cell r="AU39">
            <v>0.84531658387628927</v>
          </cell>
          <cell r="AV39">
            <v>1.1292800973851873</v>
          </cell>
          <cell r="AW39">
            <v>0.9387538275238807</v>
          </cell>
          <cell r="AX39">
            <v>1.109001436704818</v>
          </cell>
          <cell r="AY39">
            <v>1.0276268648462701</v>
          </cell>
          <cell r="AZ39">
            <v>1.2840591147977511</v>
          </cell>
          <cell r="BA39">
            <v>1.8945802252774924</v>
          </cell>
        </row>
        <row r="40"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204398.25600000002</v>
          </cell>
          <cell r="AI40">
            <v>178282.43299999999</v>
          </cell>
          <cell r="AJ40">
            <v>334011.85399999999</v>
          </cell>
          <cell r="AK40">
            <v>485024.15623999998</v>
          </cell>
          <cell r="AL40">
            <v>1060689.8234879998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str">
            <v>Reservas de Tesorería</v>
          </cell>
          <cell r="AS40">
            <v>1.3106775701243496</v>
          </cell>
          <cell r="AT40">
            <v>0.99815000127050846</v>
          </cell>
          <cell r="AU40">
            <v>0.7789338811729275</v>
          </cell>
          <cell r="AV40">
            <v>0.53799169908363409</v>
          </cell>
          <cell r="AW40">
            <v>0.7662274473035291</v>
          </cell>
          <cell r="AX40">
            <v>0.85246125635152425</v>
          </cell>
          <cell r="AY40">
            <v>1.4648992754873165</v>
          </cell>
          <cell r="AZ40">
            <v>1.7994863144866549</v>
          </cell>
          <cell r="BA40">
            <v>3.1008820903652272</v>
          </cell>
        </row>
        <row r="41"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-26115.823000000004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str">
            <v>Deuda Flotante</v>
          </cell>
          <cell r="AS41">
            <v>2.4094719932305109E-2</v>
          </cell>
          <cell r="AT41">
            <v>1.2315804700011208E-2</v>
          </cell>
          <cell r="AU41">
            <v>-9.9523840210335307E-2</v>
          </cell>
          <cell r="AV41">
            <v>0.46993489146011708</v>
          </cell>
          <cell r="AW41">
            <v>0.34642414474542632</v>
          </cell>
          <cell r="AX41">
            <v>1.0117695616336349</v>
          </cell>
          <cell r="AY41">
            <v>0.77010198421597664</v>
          </cell>
          <cell r="AZ41">
            <v>1.9587858722257692</v>
          </cell>
          <cell r="BA41">
            <v>0.24960181902337952</v>
          </cell>
        </row>
        <row r="42"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str">
            <v xml:space="preserve"> PIB DEL AÑO ANTERIOR</v>
          </cell>
          <cell r="AQ43" t="e">
            <v>#DIV/0!</v>
          </cell>
          <cell r="AR43" t="e">
            <v>#DIV/0!</v>
          </cell>
          <cell r="AS43">
            <v>15126700</v>
          </cell>
          <cell r="AT43">
            <v>20228122</v>
          </cell>
          <cell r="AU43">
            <v>26240771</v>
          </cell>
          <cell r="AV43">
            <v>33138510</v>
          </cell>
          <cell r="AW43">
            <v>43591737.045630313</v>
          </cell>
          <cell r="AX43">
            <v>56896914.977212004</v>
          </cell>
          <cell r="AY43">
            <v>72407014</v>
          </cell>
          <cell r="AZ43">
            <v>89931091</v>
          </cell>
          <cell r="BA43">
            <v>108996572</v>
          </cell>
        </row>
        <row r="44">
          <cell r="AP44" t="e">
            <v>#DIV/0!</v>
          </cell>
          <cell r="AQ44" t="e">
            <v>#DIV/0!</v>
          </cell>
          <cell r="AR44" t="str">
            <v>C:\CARLOSJ\PRES9194\PAGOS.XLS</v>
          </cell>
          <cell r="AS44" t="e">
            <v>#DIV/0!</v>
          </cell>
          <cell r="AX44" t="str">
            <v>Rango FMI 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  <sheetName val="Gráfico1"/>
      <sheetName val="PROYECCION 2003"/>
      <sheetName val="RECLASIF"/>
      <sheetName val="DOSX100099"/>
      <sheetName val="CUADRES"/>
      <sheetName val="Gráfico3"/>
      <sheetName val="Gráfico2"/>
      <sheetName val="Dint. 00-02"/>
      <sheetName val="Transf Regio 2001-2"/>
      <sheetName val="Alicuotas"/>
      <sheetName val="Fondos"/>
      <sheetName val="gestion"/>
      <sheetName val="rendimientos financieros 01"/>
      <sheetName val="otros pagos FOPEP"/>
      <sheetName val="CRSF"/>
      <sheetName val="Dint. 01-02"/>
      <sheetName val="Crecimiento pensiones Agosto05"/>
      <sheetName val="FONDOS CSF - SSF"/>
      <sheetName val="INVERSION"/>
    </sheetNames>
    <sheetDataSet>
      <sheetData sheetId="0" refreshError="1">
        <row r="18">
          <cell r="N18">
            <v>1953.1762100000001</v>
          </cell>
        </row>
        <row r="47">
          <cell r="J47">
            <v>73510862</v>
          </cell>
          <cell r="K47">
            <v>89523824</v>
          </cell>
        </row>
      </sheetData>
      <sheetData sheetId="1"/>
      <sheetData sheetId="2"/>
      <sheetData sheetId="3">
        <row r="349">
          <cell r="F349" t="str">
            <v xml:space="preserve">PROYECCION DE INGRESOS DE OPERACIONES EFECTIVAS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21">
          <cell r="I21">
            <v>5810300.2317499993</v>
          </cell>
        </row>
      </sheetData>
      <sheetData sheetId="14" refreshError="1"/>
      <sheetData sheetId="15"/>
      <sheetData sheetId="16"/>
      <sheetData sheetId="17"/>
      <sheetData sheetId="18">
        <row r="15">
          <cell r="I15">
            <v>108827.5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Pob"/>
    </sheetNames>
    <sheetDataSet>
      <sheetData sheetId="0" refreshError="1">
        <row r="47">
          <cell r="L47">
            <v>108640206</v>
          </cell>
          <cell r="O47">
            <v>186403084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>
        <row r="47">
          <cell r="L47">
            <v>121707501</v>
          </cell>
          <cell r="M47">
            <v>140953206</v>
          </cell>
          <cell r="N47">
            <v>149042204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MODCARBO"/>
      <sheetName val="DATOS"/>
      <sheetName val="RUBRO LEY"/>
      <sheetName val="Desplegables"/>
      <sheetName val="LIBRO_CODIGOS_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  <sheetName val="DATOS"/>
      <sheetName val="RUBRO 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  <sheetName val="ANU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">
          <cell r="B3" t="str">
            <v>ANTIOQUIA</v>
          </cell>
          <cell r="C3">
            <v>146577967662</v>
          </cell>
          <cell r="D3">
            <v>28829002685</v>
          </cell>
          <cell r="E3">
            <v>16810213799</v>
          </cell>
          <cell r="F3">
            <v>6660856530</v>
          </cell>
          <cell r="G3">
            <v>1161400885</v>
          </cell>
          <cell r="H3">
            <v>0</v>
          </cell>
          <cell r="I3">
            <v>0</v>
          </cell>
          <cell r="J3">
            <v>0</v>
          </cell>
          <cell r="K3">
            <v>15542331209.41</v>
          </cell>
          <cell r="L3">
            <v>2653568743.0700002</v>
          </cell>
          <cell r="M3">
            <v>1137243747.03</v>
          </cell>
          <cell r="N3">
            <v>18574981201.489998</v>
          </cell>
          <cell r="O3" t="str">
            <v>MEDELLIN</v>
          </cell>
        </row>
        <row r="4">
          <cell r="B4" t="str">
            <v>ATLANTICO</v>
          </cell>
          <cell r="C4">
            <v>84159041136</v>
          </cell>
          <cell r="D4">
            <v>22399705766</v>
          </cell>
          <cell r="E4">
            <v>24988004961</v>
          </cell>
          <cell r="F4">
            <v>4633276047</v>
          </cell>
          <cell r="G4">
            <v>842195327</v>
          </cell>
          <cell r="H4">
            <v>0</v>
          </cell>
          <cell r="I4">
            <v>46977757</v>
          </cell>
          <cell r="J4">
            <v>0</v>
          </cell>
          <cell r="K4">
            <v>11270594749.67</v>
          </cell>
          <cell r="L4">
            <v>1924247884.0900002</v>
          </cell>
          <cell r="M4">
            <v>824677664.61000001</v>
          </cell>
          <cell r="N4">
            <v>13469735188.629999</v>
          </cell>
          <cell r="O4" t="str">
            <v>BARRANQUILLA</v>
          </cell>
        </row>
        <row r="5">
          <cell r="B5" t="str">
            <v>BOGOTA</v>
          </cell>
          <cell r="C5">
            <v>456123269824</v>
          </cell>
          <cell r="D5">
            <v>141918774311</v>
          </cell>
          <cell r="E5">
            <v>91841604376</v>
          </cell>
          <cell r="F5">
            <v>28222097403</v>
          </cell>
          <cell r="G5">
            <v>3782173445</v>
          </cell>
          <cell r="H5">
            <v>0</v>
          </cell>
          <cell r="I5">
            <v>0</v>
          </cell>
        </row>
        <row r="6">
          <cell r="B6" t="str">
            <v>BOLIVAR</v>
          </cell>
          <cell r="C6">
            <v>83180589543</v>
          </cell>
          <cell r="D6">
            <v>20774253678</v>
          </cell>
          <cell r="E6">
            <v>23322758044</v>
          </cell>
          <cell r="F6">
            <v>3671571903</v>
          </cell>
          <cell r="G6">
            <v>615781803</v>
          </cell>
          <cell r="H6">
            <v>0</v>
          </cell>
          <cell r="I6">
            <v>0</v>
          </cell>
          <cell r="J6">
            <v>0</v>
          </cell>
          <cell r="K6">
            <v>8240638397.6299992</v>
          </cell>
          <cell r="L6">
            <v>1406938263.0100002</v>
          </cell>
          <cell r="M6">
            <v>602973541.28999996</v>
          </cell>
          <cell r="N6">
            <v>9848567841.0699997</v>
          </cell>
          <cell r="O6" t="str">
            <v>CARTAGENA</v>
          </cell>
        </row>
        <row r="7">
          <cell r="B7" t="str">
            <v>BOYACA</v>
          </cell>
          <cell r="C7">
            <v>21568281852</v>
          </cell>
          <cell r="D7">
            <v>2468125434</v>
          </cell>
          <cell r="E7">
            <v>0</v>
          </cell>
          <cell r="F7">
            <v>357128066</v>
          </cell>
          <cell r="G7">
            <v>83770818</v>
          </cell>
          <cell r="H7">
            <v>0</v>
          </cell>
          <cell r="I7">
            <v>0</v>
          </cell>
          <cell r="J7">
            <v>0</v>
          </cell>
          <cell r="K7">
            <v>1121054594.1799998</v>
          </cell>
          <cell r="L7">
            <v>191399564.86000001</v>
          </cell>
          <cell r="M7">
            <v>82028384.939999998</v>
          </cell>
          <cell r="N7">
            <v>1339796954.02</v>
          </cell>
          <cell r="O7" t="str">
            <v>TUNJA</v>
          </cell>
        </row>
        <row r="8">
          <cell r="B8" t="str">
            <v>CALDAS</v>
          </cell>
          <cell r="C8">
            <v>56985285191</v>
          </cell>
          <cell r="D8">
            <v>6412715881</v>
          </cell>
          <cell r="E8">
            <v>3107794932</v>
          </cell>
          <cell r="F8">
            <v>910741585</v>
          </cell>
          <cell r="G8">
            <v>242227470</v>
          </cell>
          <cell r="H8">
            <v>0</v>
          </cell>
          <cell r="I8">
            <v>0</v>
          </cell>
          <cell r="J8">
            <v>0</v>
          </cell>
          <cell r="K8">
            <v>3241584898.71</v>
          </cell>
          <cell r="L8">
            <v>553441324.17000008</v>
          </cell>
          <cell r="M8">
            <v>237189138.92999998</v>
          </cell>
          <cell r="N8">
            <v>3874089269.1900001</v>
          </cell>
          <cell r="O8" t="str">
            <v>MANIZALES</v>
          </cell>
        </row>
        <row r="9">
          <cell r="B9" t="str">
            <v>CAQUETA</v>
          </cell>
          <cell r="C9">
            <v>24416070990</v>
          </cell>
          <cell r="D9">
            <v>3238340247</v>
          </cell>
          <cell r="E9">
            <v>0</v>
          </cell>
          <cell r="F9">
            <v>553914866</v>
          </cell>
          <cell r="G9">
            <v>103791298</v>
          </cell>
          <cell r="H9">
            <v>10680584</v>
          </cell>
          <cell r="I9">
            <v>0</v>
          </cell>
          <cell r="J9">
            <v>948569428.80000007</v>
          </cell>
          <cell r="K9">
            <v>1000063197.7919998</v>
          </cell>
          <cell r="L9">
            <v>170742497.18400002</v>
          </cell>
          <cell r="M9">
            <v>73175355.93599999</v>
          </cell>
          <cell r="N9">
            <v>1195197480.2879999</v>
          </cell>
          <cell r="O9" t="str">
            <v>FLORENCIA</v>
          </cell>
        </row>
        <row r="10">
          <cell r="B10" t="str">
            <v>CAUCA</v>
          </cell>
          <cell r="C10">
            <v>32141440277</v>
          </cell>
          <cell r="D10">
            <v>5548611078</v>
          </cell>
          <cell r="E10">
            <v>0</v>
          </cell>
          <cell r="F10">
            <v>579419703</v>
          </cell>
          <cell r="G10">
            <v>152856060</v>
          </cell>
          <cell r="H10">
            <v>207149486</v>
          </cell>
          <cell r="I10">
            <v>0</v>
          </cell>
          <cell r="J10">
            <v>0</v>
          </cell>
          <cell r="K10">
            <v>2045580933.8999999</v>
          </cell>
          <cell r="L10">
            <v>349245525.30000001</v>
          </cell>
          <cell r="M10">
            <v>149676653.69999999</v>
          </cell>
          <cell r="N10">
            <v>2444718677.0999999</v>
          </cell>
          <cell r="O10" t="str">
            <v>POPAYAN</v>
          </cell>
        </row>
        <row r="11">
          <cell r="B11" t="str">
            <v>CESAR</v>
          </cell>
          <cell r="C11">
            <v>37623034593</v>
          </cell>
          <cell r="D11">
            <v>10438394164</v>
          </cell>
          <cell r="E11">
            <v>3382984100</v>
          </cell>
          <cell r="F11">
            <v>1533569096</v>
          </cell>
          <cell r="G11">
            <v>254199217</v>
          </cell>
          <cell r="H11">
            <v>1283554935</v>
          </cell>
          <cell r="I11">
            <v>0</v>
          </cell>
          <cell r="J11">
            <v>0</v>
          </cell>
          <cell r="K11">
            <v>3401795607.7799997</v>
          </cell>
          <cell r="L11">
            <v>580794372.06000006</v>
          </cell>
          <cell r="M11">
            <v>248911873.73999998</v>
          </cell>
          <cell r="N11">
            <v>4065560604.4200001</v>
          </cell>
          <cell r="O11" t="str">
            <v>VALLEDUPAR</v>
          </cell>
        </row>
        <row r="12">
          <cell r="B12" t="str">
            <v>CORDOBA</v>
          </cell>
          <cell r="C12">
            <v>38527833968</v>
          </cell>
          <cell r="D12">
            <v>9212158916</v>
          </cell>
          <cell r="E12">
            <v>0</v>
          </cell>
          <cell r="F12">
            <v>714809906</v>
          </cell>
          <cell r="G12">
            <v>251827739</v>
          </cell>
          <cell r="H12">
            <v>0</v>
          </cell>
          <cell r="I12">
            <v>0</v>
          </cell>
          <cell r="J12">
            <v>0</v>
          </cell>
          <cell r="K12">
            <v>3370059529.0799999</v>
          </cell>
          <cell r="L12">
            <v>575376017.16000009</v>
          </cell>
          <cell r="M12">
            <v>246589721.63999999</v>
          </cell>
          <cell r="N12">
            <v>4027632120.1199999</v>
          </cell>
          <cell r="O12" t="str">
            <v>MONTERIA</v>
          </cell>
        </row>
        <row r="13">
          <cell r="B13" t="str">
            <v>CHOCO</v>
          </cell>
          <cell r="C13">
            <v>1271888919</v>
          </cell>
          <cell r="D13">
            <v>4142068068</v>
          </cell>
          <cell r="E13">
            <v>1417187743</v>
          </cell>
          <cell r="F13">
            <v>685780949</v>
          </cell>
          <cell r="G13">
            <v>115025206</v>
          </cell>
          <cell r="H13">
            <v>218368586</v>
          </cell>
          <cell r="I13">
            <v>0</v>
          </cell>
          <cell r="J13">
            <v>1051238360.4800001</v>
          </cell>
          <cell r="K13">
            <v>1108305585.7632</v>
          </cell>
          <cell r="L13">
            <v>189222904.88640001</v>
          </cell>
          <cell r="M13">
            <v>81095530.665600002</v>
          </cell>
          <cell r="N13">
            <v>1324560334.2047999</v>
          </cell>
          <cell r="O13" t="str">
            <v>QUIBDO</v>
          </cell>
        </row>
        <row r="14">
          <cell r="B14" t="str">
            <v>HUILA</v>
          </cell>
          <cell r="C14">
            <v>45268639338</v>
          </cell>
          <cell r="D14">
            <v>7018308140</v>
          </cell>
          <cell r="E14">
            <v>3223694943</v>
          </cell>
          <cell r="F14">
            <v>1305479443</v>
          </cell>
          <cell r="G14">
            <v>231705710</v>
          </cell>
          <cell r="H14">
            <v>11308854</v>
          </cell>
          <cell r="I14">
            <v>93955522</v>
          </cell>
          <cell r="J14">
            <v>0</v>
          </cell>
          <cell r="K14">
            <v>3100778493.3399997</v>
          </cell>
          <cell r="L14">
            <v>529401206.18000007</v>
          </cell>
          <cell r="M14">
            <v>226886231.22</v>
          </cell>
          <cell r="N14">
            <v>3705808443.2599998</v>
          </cell>
          <cell r="O14" t="str">
            <v>NEIVA</v>
          </cell>
        </row>
        <row r="15">
          <cell r="B15" t="str">
            <v>GUAJIRA</v>
          </cell>
          <cell r="C15">
            <v>720612358</v>
          </cell>
          <cell r="D15">
            <v>4605216074</v>
          </cell>
          <cell r="E15">
            <v>0</v>
          </cell>
          <cell r="F15">
            <v>481245890</v>
          </cell>
          <cell r="G15">
            <v>109351448</v>
          </cell>
          <cell r="H15">
            <v>383424004</v>
          </cell>
          <cell r="I15">
            <v>0</v>
          </cell>
          <cell r="J15">
            <v>999384752.80000007</v>
          </cell>
          <cell r="K15">
            <v>1053637067.9519999</v>
          </cell>
          <cell r="L15">
            <v>179889255.50400001</v>
          </cell>
          <cell r="M15">
            <v>77095395.215999991</v>
          </cell>
          <cell r="N15">
            <v>1259224788.5279999</v>
          </cell>
          <cell r="O15" t="str">
            <v>RIOHACHA</v>
          </cell>
        </row>
        <row r="16">
          <cell r="B16" t="str">
            <v>MAGDALENA</v>
          </cell>
          <cell r="C16">
            <v>39959453680</v>
          </cell>
          <cell r="D16">
            <v>9157438775</v>
          </cell>
          <cell r="E16">
            <v>9609051890</v>
          </cell>
          <cell r="F16">
            <v>1566931203</v>
          </cell>
          <cell r="G16">
            <v>269740455</v>
          </cell>
          <cell r="H16">
            <v>171876631</v>
          </cell>
          <cell r="I16">
            <v>0</v>
          </cell>
          <cell r="J16">
            <v>0</v>
          </cell>
          <cell r="K16">
            <v>3609774663.6799998</v>
          </cell>
          <cell r="L16">
            <v>616302991.36000001</v>
          </cell>
          <cell r="M16">
            <v>264129853.44</v>
          </cell>
          <cell r="N16">
            <v>4314120939.5199995</v>
          </cell>
          <cell r="O16" t="str">
            <v>SANTA MARTA</v>
          </cell>
        </row>
        <row r="17">
          <cell r="B17" t="str">
            <v>META</v>
          </cell>
          <cell r="C17">
            <v>37002230743</v>
          </cell>
          <cell r="D17">
            <v>6367872065</v>
          </cell>
          <cell r="E17">
            <v>2562426658</v>
          </cell>
          <cell r="F17">
            <v>1257779595</v>
          </cell>
          <cell r="G17">
            <v>228649576</v>
          </cell>
          <cell r="H17">
            <v>0</v>
          </cell>
          <cell r="I17">
            <v>0</v>
          </cell>
          <cell r="J17">
            <v>0</v>
          </cell>
          <cell r="K17">
            <v>3059880082.3199997</v>
          </cell>
          <cell r="L17">
            <v>522418550.64000005</v>
          </cell>
          <cell r="M17">
            <v>223893664.56</v>
          </cell>
          <cell r="N17">
            <v>3656929854.48</v>
          </cell>
          <cell r="O17" t="str">
            <v>VILLAVICENCIO</v>
          </cell>
        </row>
        <row r="18">
          <cell r="B18" t="str">
            <v>NARIÑO</v>
          </cell>
          <cell r="C18">
            <v>56647800998</v>
          </cell>
          <cell r="D18">
            <v>12938003305</v>
          </cell>
          <cell r="E18">
            <v>3843211975</v>
          </cell>
          <cell r="F18">
            <v>1092760074</v>
          </cell>
          <cell r="G18">
            <v>259738296</v>
          </cell>
          <cell r="H18">
            <v>0</v>
          </cell>
          <cell r="I18">
            <v>0</v>
          </cell>
          <cell r="J18">
            <v>0</v>
          </cell>
          <cell r="K18">
            <v>3475921778.77</v>
          </cell>
          <cell r="L18">
            <v>593450059.79000008</v>
          </cell>
          <cell r="M18">
            <v>254335739.91</v>
          </cell>
          <cell r="N18">
            <v>4154150418.5299997</v>
          </cell>
          <cell r="O18" t="str">
            <v>PASTO</v>
          </cell>
        </row>
        <row r="19">
          <cell r="B19" t="str">
            <v>NORTE DE SANTANDER</v>
          </cell>
          <cell r="C19">
            <v>44920884217</v>
          </cell>
          <cell r="D19">
            <v>12586094807</v>
          </cell>
          <cell r="E19">
            <v>7828107741</v>
          </cell>
          <cell r="F19">
            <v>2463430722</v>
          </cell>
          <cell r="G19">
            <v>452308649</v>
          </cell>
          <cell r="H19">
            <v>0</v>
          </cell>
          <cell r="I19">
            <v>0</v>
          </cell>
          <cell r="J19">
            <v>0</v>
          </cell>
          <cell r="K19">
            <v>6052975265.8699999</v>
          </cell>
          <cell r="L19">
            <v>1033434801.4900001</v>
          </cell>
          <cell r="M19">
            <v>442900629.20999998</v>
          </cell>
          <cell r="N19">
            <v>7234043610.4300003</v>
          </cell>
          <cell r="O19" t="str">
            <v>CUCUTA</v>
          </cell>
        </row>
        <row r="20">
          <cell r="B20" t="str">
            <v>QUINDIO</v>
          </cell>
          <cell r="C20">
            <v>33106726383</v>
          </cell>
          <cell r="D20">
            <v>9788472691</v>
          </cell>
          <cell r="E20">
            <v>2489625709</v>
          </cell>
          <cell r="F20">
            <v>1010717377</v>
          </cell>
          <cell r="G20">
            <v>195296756</v>
          </cell>
          <cell r="H20">
            <v>0</v>
          </cell>
          <cell r="I20">
            <v>0</v>
          </cell>
          <cell r="J20">
            <v>0</v>
          </cell>
          <cell r="K20">
            <v>2613539305.9200001</v>
          </cell>
          <cell r="L20">
            <v>446214027.84000003</v>
          </cell>
          <cell r="M20">
            <v>191234583.35999998</v>
          </cell>
          <cell r="N20">
            <v>3123498194.8800001</v>
          </cell>
          <cell r="O20" t="str">
            <v>ARMENIA</v>
          </cell>
        </row>
        <row r="21">
          <cell r="B21" t="str">
            <v>RISARALDA</v>
          </cell>
          <cell r="C21">
            <v>48108898913</v>
          </cell>
          <cell r="D21">
            <v>10264466392</v>
          </cell>
          <cell r="E21">
            <v>4444824925</v>
          </cell>
          <cell r="F21">
            <v>1822600514</v>
          </cell>
          <cell r="G21">
            <v>315239262</v>
          </cell>
          <cell r="H21">
            <v>0</v>
          </cell>
          <cell r="I21">
            <v>0</v>
          </cell>
          <cell r="J21">
            <v>0</v>
          </cell>
          <cell r="K21">
            <v>4218657898.6899996</v>
          </cell>
          <cell r="L21">
            <v>720258665.63000011</v>
          </cell>
          <cell r="M21">
            <v>308682285.26999998</v>
          </cell>
          <cell r="N21">
            <v>5041810659.4099998</v>
          </cell>
          <cell r="O21" t="str">
            <v>PEREIRA</v>
          </cell>
        </row>
        <row r="22">
          <cell r="B22" t="str">
            <v>SANTANDER</v>
          </cell>
          <cell r="C22">
            <v>55218734398</v>
          </cell>
          <cell r="D22">
            <v>8268578464</v>
          </cell>
          <cell r="E22">
            <v>3476445438</v>
          </cell>
          <cell r="F22">
            <v>1813723242</v>
          </cell>
          <cell r="G22">
            <v>333041719</v>
          </cell>
          <cell r="H22">
            <v>0</v>
          </cell>
          <cell r="I22">
            <v>0</v>
          </cell>
          <cell r="J22">
            <v>0</v>
          </cell>
          <cell r="K22">
            <v>4456897494.9499998</v>
          </cell>
          <cell r="L22">
            <v>760933718.6500001</v>
          </cell>
          <cell r="M22">
            <v>326114450.84999996</v>
          </cell>
          <cell r="N22">
            <v>5326536030.5500002</v>
          </cell>
          <cell r="O22" t="str">
            <v>BUCARAMANGA</v>
          </cell>
        </row>
        <row r="23">
          <cell r="B23" t="str">
            <v>SUCRE</v>
          </cell>
          <cell r="C23">
            <v>18715775681</v>
          </cell>
          <cell r="D23">
            <v>6506420000</v>
          </cell>
          <cell r="E23">
            <v>2942263193</v>
          </cell>
          <cell r="F23">
            <v>908755396</v>
          </cell>
          <cell r="G23">
            <v>184310989</v>
          </cell>
          <cell r="H23">
            <v>130231327</v>
          </cell>
          <cell r="I23">
            <v>0</v>
          </cell>
          <cell r="J23">
            <v>1684454990.1200001</v>
          </cell>
          <cell r="K23">
            <v>1775896832.4408</v>
          </cell>
          <cell r="L23">
            <v>303201898.22160006</v>
          </cell>
          <cell r="M23">
            <v>129943670.6664</v>
          </cell>
          <cell r="N23">
            <v>2122413287.5511999</v>
          </cell>
          <cell r="O23" t="str">
            <v>SINCELEJO</v>
          </cell>
        </row>
        <row r="24">
          <cell r="B24" t="str">
            <v xml:space="preserve">TOLIMA </v>
          </cell>
          <cell r="C24">
            <v>45219146584</v>
          </cell>
          <cell r="D24">
            <v>7652503621</v>
          </cell>
          <cell r="E24">
            <v>4128912157</v>
          </cell>
          <cell r="F24">
            <v>1640903484</v>
          </cell>
          <cell r="G24">
            <v>295485342</v>
          </cell>
          <cell r="H24">
            <v>0</v>
          </cell>
          <cell r="I24">
            <v>0</v>
          </cell>
          <cell r="J24">
            <v>0</v>
          </cell>
          <cell r="K24">
            <v>3954303039.1899996</v>
          </cell>
          <cell r="L24">
            <v>675124909.13000011</v>
          </cell>
          <cell r="M24">
            <v>289339246.76999998</v>
          </cell>
          <cell r="N24">
            <v>4725874363.9099998</v>
          </cell>
          <cell r="O24" t="str">
            <v>IBAGUE</v>
          </cell>
        </row>
        <row r="25">
          <cell r="B25" t="str">
            <v>VALLE DEL CAUCA</v>
          </cell>
          <cell r="C25">
            <v>84907273388</v>
          </cell>
          <cell r="D25">
            <v>34045225298</v>
          </cell>
          <cell r="E25">
            <v>23072323610</v>
          </cell>
          <cell r="F25">
            <v>8256567383</v>
          </cell>
          <cell r="G25">
            <v>1347943880</v>
          </cell>
          <cell r="H25">
            <v>0</v>
          </cell>
          <cell r="I25">
            <v>0</v>
          </cell>
          <cell r="J25">
            <v>0</v>
          </cell>
          <cell r="K25">
            <v>18038724179.629997</v>
          </cell>
          <cell r="L25">
            <v>3079782177.0100002</v>
          </cell>
          <cell r="M25">
            <v>1319906647.29</v>
          </cell>
          <cell r="N25">
            <v>21558475239.07</v>
          </cell>
          <cell r="O25" t="str">
            <v>CALI</v>
          </cell>
        </row>
        <row r="26">
          <cell r="B26" t="str">
            <v>ARAUCA</v>
          </cell>
          <cell r="C26">
            <v>542605477</v>
          </cell>
          <cell r="D26">
            <v>2542550015</v>
          </cell>
          <cell r="E26">
            <v>0</v>
          </cell>
          <cell r="F26">
            <v>411971319</v>
          </cell>
          <cell r="G26">
            <v>71998918</v>
          </cell>
          <cell r="H26">
            <v>40478517</v>
          </cell>
          <cell r="I26">
            <v>0</v>
          </cell>
          <cell r="J26">
            <v>658012514.04000008</v>
          </cell>
          <cell r="K26">
            <v>693733193.37360001</v>
          </cell>
          <cell r="L26">
            <v>118442252.52720001</v>
          </cell>
          <cell r="M26">
            <v>50760965.368799999</v>
          </cell>
          <cell r="N26">
            <v>829095767.6904</v>
          </cell>
          <cell r="O26" t="str">
            <v>ARAUCA</v>
          </cell>
        </row>
        <row r="27">
          <cell r="B27" t="str">
            <v>CASANARE</v>
          </cell>
          <cell r="C27">
            <v>513807529</v>
          </cell>
          <cell r="D27">
            <v>3171860934</v>
          </cell>
          <cell r="E27">
            <v>0</v>
          </cell>
          <cell r="F27">
            <v>387887825</v>
          </cell>
          <cell r="G27">
            <v>104426596</v>
          </cell>
          <cell r="H27">
            <v>0</v>
          </cell>
          <cell r="I27">
            <v>0</v>
          </cell>
          <cell r="J27">
            <v>954375544.08000004</v>
          </cell>
          <cell r="K27">
            <v>1006184502.1872</v>
          </cell>
          <cell r="L27">
            <v>171787597.93440002</v>
          </cell>
          <cell r="M27">
            <v>73623256.257599995</v>
          </cell>
          <cell r="N27">
            <v>1202513185.5408001</v>
          </cell>
          <cell r="O27" t="str">
            <v>YOPAL</v>
          </cell>
        </row>
        <row r="28">
          <cell r="B28" t="str">
            <v>PUTUMAYO</v>
          </cell>
          <cell r="C28">
            <v>220058799</v>
          </cell>
          <cell r="D28">
            <v>1811283769</v>
          </cell>
          <cell r="E28">
            <v>0</v>
          </cell>
          <cell r="F28">
            <v>182641981</v>
          </cell>
          <cell r="G28">
            <v>57732922</v>
          </cell>
          <cell r="H28">
            <v>262706475</v>
          </cell>
          <cell r="I28">
            <v>0</v>
          </cell>
          <cell r="J28">
            <v>527632719.32000005</v>
          </cell>
          <cell r="K28">
            <v>556275638.36879992</v>
          </cell>
          <cell r="L28">
            <v>94973889.477599993</v>
          </cell>
          <cell r="M28">
            <v>40703095.490399994</v>
          </cell>
          <cell r="N28">
            <v>664817226.34319985</v>
          </cell>
          <cell r="O28" t="str">
            <v>MOCOA</v>
          </cell>
        </row>
        <row r="29">
          <cell r="B29" t="str">
            <v>SAN ANDRES</v>
          </cell>
        </row>
        <row r="30">
          <cell r="B30" t="str">
            <v>AMAZONAS</v>
          </cell>
          <cell r="C30">
            <v>415923815</v>
          </cell>
          <cell r="D30">
            <v>1739709510</v>
          </cell>
          <cell r="E30">
            <v>0</v>
          </cell>
          <cell r="F30">
            <v>349955695</v>
          </cell>
          <cell r="G30">
            <v>64483737</v>
          </cell>
          <cell r="H30">
            <v>319430251</v>
          </cell>
          <cell r="I30">
            <v>0</v>
          </cell>
          <cell r="J30">
            <v>589329767.32000005</v>
          </cell>
          <cell r="K30">
            <v>621321954.68879986</v>
          </cell>
          <cell r="L30">
            <v>106079358.11759999</v>
          </cell>
          <cell r="M30">
            <v>45462582.050399996</v>
          </cell>
          <cell r="N30">
            <v>742555506.82319987</v>
          </cell>
          <cell r="O30" t="str">
            <v>LETICIA</v>
          </cell>
        </row>
        <row r="31">
          <cell r="B31" t="str">
            <v>GUAINIA</v>
          </cell>
          <cell r="C31">
            <v>471931032</v>
          </cell>
          <cell r="D31">
            <v>1497785961</v>
          </cell>
          <cell r="E31">
            <v>0</v>
          </cell>
          <cell r="F31">
            <v>441149817</v>
          </cell>
          <cell r="G31">
            <v>63883324</v>
          </cell>
          <cell r="H31">
            <v>552697804</v>
          </cell>
          <cell r="I31">
            <v>0</v>
          </cell>
          <cell r="J31">
            <v>583842474.88000011</v>
          </cell>
          <cell r="K31">
            <v>615536780.65919995</v>
          </cell>
          <cell r="L31">
            <v>105091645.47840001</v>
          </cell>
          <cell r="M31">
            <v>45039276.633599997</v>
          </cell>
          <cell r="N31">
            <v>735641518.34879994</v>
          </cell>
          <cell r="O31" t="str">
            <v>INIRIDA</v>
          </cell>
        </row>
        <row r="32">
          <cell r="B32" t="str">
            <v>GUAVIARE</v>
          </cell>
          <cell r="C32">
            <v>805021474</v>
          </cell>
          <cell r="D32">
            <v>2744380167</v>
          </cell>
          <cell r="E32">
            <v>0</v>
          </cell>
          <cell r="F32">
            <v>621143966</v>
          </cell>
          <cell r="G32">
            <v>80677825</v>
          </cell>
          <cell r="H32">
            <v>239011734</v>
          </cell>
          <cell r="I32">
            <v>0</v>
          </cell>
          <cell r="J32">
            <v>737330782.44000006</v>
          </cell>
          <cell r="K32">
            <v>777357310.62959993</v>
          </cell>
          <cell r="L32">
            <v>132719540.8392</v>
          </cell>
          <cell r="M32">
            <v>56879803.216799997</v>
          </cell>
          <cell r="N32">
            <v>929036785.8743999</v>
          </cell>
          <cell r="O32" t="str">
            <v>SAN JOSE DEL GUAVIAR</v>
          </cell>
        </row>
        <row r="33">
          <cell r="B33" t="str">
            <v>VAUPES</v>
          </cell>
          <cell r="C33">
            <v>490133031</v>
          </cell>
          <cell r="D33">
            <v>1643201917</v>
          </cell>
          <cell r="E33">
            <v>0</v>
          </cell>
          <cell r="F33">
            <v>402271830</v>
          </cell>
          <cell r="G33">
            <v>53162041</v>
          </cell>
          <cell r="H33">
            <v>1216509587</v>
          </cell>
          <cell r="I33">
            <v>0</v>
          </cell>
          <cell r="J33">
            <v>485858524.76000005</v>
          </cell>
          <cell r="K33">
            <v>512233701.81839997</v>
          </cell>
          <cell r="L33">
            <v>87454534.456800014</v>
          </cell>
          <cell r="M33">
            <v>37480514.767200001</v>
          </cell>
          <cell r="N33">
            <v>612181741.19760001</v>
          </cell>
          <cell r="O33" t="str">
            <v>MITU</v>
          </cell>
        </row>
        <row r="34">
          <cell r="B34" t="str">
            <v>VICHADA</v>
          </cell>
          <cell r="C34">
            <v>221097330</v>
          </cell>
          <cell r="D34">
            <v>868530330</v>
          </cell>
          <cell r="E34">
            <v>0</v>
          </cell>
          <cell r="F34">
            <v>328184345</v>
          </cell>
          <cell r="G34">
            <v>36262509</v>
          </cell>
          <cell r="H34">
            <v>129782564</v>
          </cell>
          <cell r="I34">
            <v>0</v>
          </cell>
          <cell r="J34">
            <v>331410326.52000004</v>
          </cell>
          <cell r="K34">
            <v>349401172.8168</v>
          </cell>
          <cell r="L34">
            <v>59653858.773600005</v>
          </cell>
          <cell r="M34">
            <v>25565939.474399999</v>
          </cell>
          <cell r="N34">
            <v>417577011.4152</v>
          </cell>
          <cell r="O34" t="str">
            <v>PUERTO CARRENO</v>
          </cell>
        </row>
        <row r="39">
          <cell r="B39" t="str">
            <v>ANTIOQUIA</v>
          </cell>
          <cell r="C39">
            <v>79267064547</v>
          </cell>
          <cell r="D39">
            <v>109933322400</v>
          </cell>
          <cell r="E39">
            <v>49468571276</v>
          </cell>
          <cell r="F39">
            <v>14433086854</v>
          </cell>
          <cell r="G39">
            <v>5530701195</v>
          </cell>
          <cell r="H39">
            <v>1136360329</v>
          </cell>
          <cell r="I39">
            <v>704666417</v>
          </cell>
          <cell r="J39">
            <v>44764597399.200005</v>
          </cell>
          <cell r="K39">
            <v>55660570785.937988</v>
          </cell>
          <cell r="L39">
            <v>9503024280.5259972</v>
          </cell>
          <cell r="M39">
            <v>4072724691.6540027</v>
          </cell>
          <cell r="N39">
            <v>66521169963.682014</v>
          </cell>
        </row>
        <row r="40">
          <cell r="B40" t="str">
            <v>ATLANTICO</v>
          </cell>
          <cell r="C40">
            <v>24074055744</v>
          </cell>
          <cell r="D40">
            <v>29665613381</v>
          </cell>
          <cell r="E40">
            <v>13080280414</v>
          </cell>
          <cell r="F40">
            <v>3147953348</v>
          </cell>
          <cell r="G40">
            <v>1119371540</v>
          </cell>
          <cell r="H40">
            <v>0</v>
          </cell>
          <cell r="I40">
            <v>298644340</v>
          </cell>
          <cell r="J40">
            <v>8052953883.5200005</v>
          </cell>
          <cell r="K40">
            <v>11678166629.4168</v>
          </cell>
          <cell r="L40">
            <v>1993833326.9736001</v>
          </cell>
          <cell r="M40">
            <v>854499997.2744</v>
          </cell>
          <cell r="N40">
            <v>13956833288.815199</v>
          </cell>
        </row>
        <row r="41">
          <cell r="B41" t="str">
            <v>BOGOTA</v>
          </cell>
        </row>
        <row r="42">
          <cell r="B42" t="str">
            <v>BOLIVAR</v>
          </cell>
          <cell r="C42">
            <v>18875285124</v>
          </cell>
          <cell r="D42">
            <v>46786759448</v>
          </cell>
          <cell r="E42">
            <v>16211934856</v>
          </cell>
          <cell r="F42">
            <v>5139235603</v>
          </cell>
          <cell r="G42">
            <v>2411604855</v>
          </cell>
          <cell r="H42">
            <v>0</v>
          </cell>
          <cell r="I42">
            <v>2385799155</v>
          </cell>
          <cell r="J42">
            <v>21455919877</v>
          </cell>
          <cell r="K42">
            <v>23476133634.430004</v>
          </cell>
          <cell r="L42">
            <v>4008120376.6100011</v>
          </cell>
          <cell r="M42">
            <v>1717765875.6899998</v>
          </cell>
          <cell r="N42">
            <v>28056842636.27</v>
          </cell>
        </row>
        <row r="43">
          <cell r="B43" t="str">
            <v>BOYACA</v>
          </cell>
          <cell r="C43">
            <v>35220532388</v>
          </cell>
          <cell r="D43">
            <v>56869781879</v>
          </cell>
          <cell r="E43">
            <v>465189624</v>
          </cell>
          <cell r="F43">
            <v>4150725212</v>
          </cell>
          <cell r="G43">
            <v>4288681770</v>
          </cell>
          <cell r="H43">
            <v>246012452</v>
          </cell>
          <cell r="I43">
            <v>201333262</v>
          </cell>
          <cell r="J43">
            <v>39195120446.439995</v>
          </cell>
          <cell r="K43">
            <v>41322855556.38961</v>
          </cell>
          <cell r="L43">
            <v>7055121680.3592024</v>
          </cell>
          <cell r="M43">
            <v>3023623577.2967987</v>
          </cell>
          <cell r="N43">
            <v>49385851762.514412</v>
          </cell>
        </row>
        <row r="44">
          <cell r="B44" t="str">
            <v>CALDAS</v>
          </cell>
          <cell r="C44">
            <v>5567690446</v>
          </cell>
          <cell r="D44">
            <v>23953958958</v>
          </cell>
          <cell r="E44">
            <v>8496511796</v>
          </cell>
          <cell r="F44">
            <v>2253276503</v>
          </cell>
          <cell r="G44">
            <v>1045092395</v>
          </cell>
          <cell r="H44">
            <v>3940686875</v>
          </cell>
          <cell r="I44">
            <v>201333262</v>
          </cell>
          <cell r="J44">
            <v>8864205778.9600029</v>
          </cell>
          <cell r="K44">
            <v>10351520088.5364</v>
          </cell>
          <cell r="L44">
            <v>1767332698.0428002</v>
          </cell>
          <cell r="M44">
            <v>757428299.16120005</v>
          </cell>
          <cell r="N44">
            <v>12371328886.299601</v>
          </cell>
        </row>
        <row r="45">
          <cell r="B45" t="str">
            <v>CAQUETA</v>
          </cell>
          <cell r="C45">
            <v>3454554370</v>
          </cell>
          <cell r="D45">
            <v>13454578154</v>
          </cell>
          <cell r="E45">
            <v>0</v>
          </cell>
          <cell r="F45">
            <v>3133505665</v>
          </cell>
          <cell r="G45">
            <v>745678360</v>
          </cell>
          <cell r="H45">
            <v>440865802</v>
          </cell>
          <cell r="I45">
            <v>0</v>
          </cell>
          <cell r="J45">
            <v>6814903676.000001</v>
          </cell>
          <cell r="K45">
            <v>7184855589.8399992</v>
          </cell>
          <cell r="L45">
            <v>1226682661.6800001</v>
          </cell>
          <cell r="M45">
            <v>525721140.71999997</v>
          </cell>
          <cell r="N45">
            <v>8586778631.7600002</v>
          </cell>
        </row>
        <row r="46">
          <cell r="B46" t="str">
            <v>CAUCA</v>
          </cell>
          <cell r="C46">
            <v>8369643656</v>
          </cell>
          <cell r="D46">
            <v>48152045296</v>
          </cell>
          <cell r="E46">
            <v>802597440</v>
          </cell>
          <cell r="F46">
            <v>4461448748</v>
          </cell>
          <cell r="G46">
            <v>2022944117</v>
          </cell>
          <cell r="H46">
            <v>14985218912</v>
          </cell>
          <cell r="I46">
            <v>0</v>
          </cell>
          <cell r="J46">
            <v>18488090879.16</v>
          </cell>
          <cell r="K46">
            <v>19491730098.314396</v>
          </cell>
          <cell r="L46">
            <v>3327856358.2488008</v>
          </cell>
          <cell r="M46">
            <v>1426224153.5351996</v>
          </cell>
          <cell r="N46">
            <v>23294994507.7416</v>
          </cell>
        </row>
        <row r="47">
          <cell r="B47" t="str">
            <v>CESAR</v>
          </cell>
          <cell r="C47">
            <v>5204912650</v>
          </cell>
          <cell r="D47">
            <v>34694958116</v>
          </cell>
          <cell r="E47">
            <v>8823303196</v>
          </cell>
          <cell r="F47">
            <v>2968647934</v>
          </cell>
          <cell r="G47">
            <v>1133167374</v>
          </cell>
          <cell r="H47">
            <v>221689441</v>
          </cell>
          <cell r="I47">
            <v>322133219</v>
          </cell>
          <cell r="J47">
            <v>10356243272.199999</v>
          </cell>
          <cell r="K47">
            <v>10918439335.547998</v>
          </cell>
          <cell r="L47">
            <v>1864123788.9960001</v>
          </cell>
          <cell r="M47">
            <v>798910195.28400004</v>
          </cell>
          <cell r="N47">
            <v>13048866522.972</v>
          </cell>
        </row>
        <row r="48">
          <cell r="B48" t="str">
            <v>CORDOBA</v>
          </cell>
          <cell r="C48">
            <v>33404167404</v>
          </cell>
          <cell r="D48">
            <v>42081468165</v>
          </cell>
          <cell r="E48">
            <v>14015598752</v>
          </cell>
          <cell r="F48">
            <v>5224546134</v>
          </cell>
          <cell r="G48">
            <v>1705907008</v>
          </cell>
          <cell r="H48">
            <v>2042145686</v>
          </cell>
          <cell r="I48">
            <v>0</v>
          </cell>
          <cell r="J48">
            <v>14846805980.160006</v>
          </cell>
          <cell r="K48">
            <v>16741939450.534397</v>
          </cell>
          <cell r="L48">
            <v>2858379906.1888008</v>
          </cell>
          <cell r="M48">
            <v>1225019959.7951999</v>
          </cell>
          <cell r="N48">
            <v>20008659343.321594</v>
          </cell>
        </row>
        <row r="49">
          <cell r="B49" t="str">
            <v>CUNDINAMARCA</v>
          </cell>
          <cell r="C49">
            <v>52260568648</v>
          </cell>
          <cell r="D49">
            <v>80883693004</v>
          </cell>
          <cell r="E49">
            <v>2247967807</v>
          </cell>
          <cell r="F49">
            <v>7587352128</v>
          </cell>
          <cell r="G49">
            <v>4661637059</v>
          </cell>
          <cell r="H49">
            <v>0</v>
          </cell>
          <cell r="I49">
            <v>687888645</v>
          </cell>
          <cell r="J49">
            <v>39278797044.199989</v>
          </cell>
          <cell r="K49">
            <v>46279584989.928001</v>
          </cell>
          <cell r="L49">
            <v>7901392559.2560005</v>
          </cell>
          <cell r="M49">
            <v>3386311096.8240008</v>
          </cell>
          <cell r="N49">
            <v>55309747914.792007</v>
          </cell>
        </row>
        <row r="50">
          <cell r="B50" t="str">
            <v>CHOCO</v>
          </cell>
          <cell r="C50">
            <v>4096598577</v>
          </cell>
          <cell r="D50">
            <v>17550792899</v>
          </cell>
          <cell r="E50">
            <v>0</v>
          </cell>
          <cell r="F50">
            <v>2206932737</v>
          </cell>
          <cell r="G50">
            <v>1313295369</v>
          </cell>
          <cell r="H50">
            <v>2890938011</v>
          </cell>
          <cell r="I50">
            <v>0</v>
          </cell>
          <cell r="J50">
            <v>12002469023.440001</v>
          </cell>
          <cell r="K50">
            <v>12654031627.569601</v>
          </cell>
          <cell r="L50">
            <v>2160444424.2192001</v>
          </cell>
          <cell r="M50">
            <v>925904753.23679996</v>
          </cell>
          <cell r="N50">
            <v>15123110969.534399</v>
          </cell>
        </row>
        <row r="51">
          <cell r="B51" t="str">
            <v>HUILA</v>
          </cell>
          <cell r="C51">
            <v>7102830019</v>
          </cell>
          <cell r="D51">
            <v>28373779150</v>
          </cell>
          <cell r="E51">
            <v>9065398800</v>
          </cell>
          <cell r="F51">
            <v>2620701357</v>
          </cell>
          <cell r="G51">
            <v>1393862615</v>
          </cell>
          <cell r="H51">
            <v>138129576</v>
          </cell>
          <cell r="I51">
            <v>1573754998</v>
          </cell>
          <cell r="J51">
            <v>12738789205.24</v>
          </cell>
          <cell r="K51">
            <v>13430323476.381599</v>
          </cell>
          <cell r="L51">
            <v>2292982056.9431996</v>
          </cell>
          <cell r="M51">
            <v>982706595.83279955</v>
          </cell>
          <cell r="N51">
            <v>16050874398.602404</v>
          </cell>
        </row>
        <row r="52">
          <cell r="B52" t="str">
            <v>GUAJIRA</v>
          </cell>
          <cell r="C52">
            <v>9548639348</v>
          </cell>
          <cell r="D52">
            <v>18170425440</v>
          </cell>
          <cell r="E52">
            <v>635784639</v>
          </cell>
          <cell r="F52">
            <v>1896911951</v>
          </cell>
          <cell r="G52">
            <v>669357384</v>
          </cell>
          <cell r="H52">
            <v>12168326967</v>
          </cell>
          <cell r="I52">
            <v>0</v>
          </cell>
          <cell r="J52">
            <v>6117391002.5200005</v>
          </cell>
          <cell r="K52">
            <v>6449477942.6567993</v>
          </cell>
          <cell r="L52">
            <v>1101130380.4536002</v>
          </cell>
          <cell r="M52">
            <v>471913020.19440001</v>
          </cell>
          <cell r="N52">
            <v>7707912663.1751995</v>
          </cell>
        </row>
        <row r="53">
          <cell r="B53" t="str">
            <v>MAGDALENA</v>
          </cell>
          <cell r="C53">
            <v>21740144344</v>
          </cell>
          <cell r="D53">
            <v>35532848958</v>
          </cell>
          <cell r="E53">
            <v>2607551237</v>
          </cell>
          <cell r="F53">
            <v>3763761431</v>
          </cell>
          <cell r="G53">
            <v>1699262939</v>
          </cell>
          <cell r="H53">
            <v>410529353</v>
          </cell>
          <cell r="I53">
            <v>1154310702</v>
          </cell>
          <cell r="J53">
            <v>14531961534.719999</v>
          </cell>
          <cell r="K53">
            <v>16782112116.224794</v>
          </cell>
          <cell r="L53">
            <v>2865238653.9896002</v>
          </cell>
          <cell r="M53">
            <v>1227959423.1383998</v>
          </cell>
          <cell r="N53">
            <v>20056670577.9272</v>
          </cell>
        </row>
        <row r="54">
          <cell r="B54" t="str">
            <v>META</v>
          </cell>
          <cell r="C54">
            <v>4499651470</v>
          </cell>
          <cell r="D54">
            <v>15066509081</v>
          </cell>
          <cell r="E54">
            <v>5066044089</v>
          </cell>
          <cell r="F54">
            <v>3225834332</v>
          </cell>
          <cell r="G54">
            <v>1107371746</v>
          </cell>
          <cell r="H54">
            <v>695315020</v>
          </cell>
          <cell r="I54">
            <v>0</v>
          </cell>
          <cell r="J54">
            <v>10120491855.040001</v>
          </cell>
          <cell r="K54">
            <v>10669889984.313599</v>
          </cell>
          <cell r="L54">
            <v>1821688533.9071999</v>
          </cell>
          <cell r="M54">
            <v>780723657.38880014</v>
          </cell>
          <cell r="N54">
            <v>12751819737.350397</v>
          </cell>
        </row>
        <row r="55">
          <cell r="B55" t="str">
            <v>NARIÑO</v>
          </cell>
          <cell r="C55">
            <v>21171242331</v>
          </cell>
          <cell r="D55">
            <v>70120786499</v>
          </cell>
          <cell r="E55">
            <v>15105479835</v>
          </cell>
          <cell r="F55">
            <v>4960611626</v>
          </cell>
          <cell r="G55">
            <v>2770635222</v>
          </cell>
          <cell r="H55">
            <v>7069828845</v>
          </cell>
          <cell r="I55">
            <v>0</v>
          </cell>
          <cell r="J55">
            <v>24025260871.639996</v>
          </cell>
          <cell r="K55">
            <v>27227391843.227592</v>
          </cell>
          <cell r="L55">
            <v>4648579095.1852007</v>
          </cell>
          <cell r="M55">
            <v>1992248183.6507995</v>
          </cell>
          <cell r="N55">
            <v>32540053666.296398</v>
          </cell>
        </row>
        <row r="56">
          <cell r="B56" t="str">
            <v>NORTE DE SANTANDER</v>
          </cell>
          <cell r="C56">
            <v>5308228073</v>
          </cell>
          <cell r="D56">
            <v>27435564174</v>
          </cell>
          <cell r="E56">
            <v>2427602737</v>
          </cell>
          <cell r="F56">
            <v>3038494295</v>
          </cell>
          <cell r="G56">
            <v>1530017341</v>
          </cell>
          <cell r="H56">
            <v>351202746</v>
          </cell>
          <cell r="I56">
            <v>0</v>
          </cell>
          <cell r="J56">
            <v>13451607413.720007</v>
          </cell>
          <cell r="K56">
            <v>14960145016.684797</v>
          </cell>
          <cell r="L56">
            <v>2554171100.4095998</v>
          </cell>
          <cell r="M56">
            <v>1094644757.3184001</v>
          </cell>
          <cell r="N56">
            <v>17879197702.867199</v>
          </cell>
        </row>
        <row r="57">
          <cell r="B57" t="str">
            <v>QUINDIO</v>
          </cell>
          <cell r="C57">
            <v>1988865464</v>
          </cell>
          <cell r="D57">
            <v>14209389630</v>
          </cell>
          <cell r="E57">
            <v>753544757</v>
          </cell>
          <cell r="F57">
            <v>993481996</v>
          </cell>
          <cell r="G57">
            <v>409425684</v>
          </cell>
          <cell r="H57">
            <v>0</v>
          </cell>
          <cell r="I57">
            <v>0</v>
          </cell>
          <cell r="J57">
            <v>3741823208.2000003</v>
          </cell>
          <cell r="K57">
            <v>3944950753.7880001</v>
          </cell>
          <cell r="L57">
            <v>673528177.47600019</v>
          </cell>
          <cell r="M57">
            <v>288654933.204</v>
          </cell>
          <cell r="N57">
            <v>4714697242.3320007</v>
          </cell>
        </row>
        <row r="58">
          <cell r="B58" t="str">
            <v>RISARALDA</v>
          </cell>
          <cell r="C58">
            <v>16446068847</v>
          </cell>
          <cell r="D58">
            <v>15396102997</v>
          </cell>
          <cell r="E58">
            <v>5370801532</v>
          </cell>
          <cell r="F58">
            <v>1893724453</v>
          </cell>
          <cell r="G58">
            <v>580468178</v>
          </cell>
          <cell r="H58">
            <v>839458031</v>
          </cell>
          <cell r="I58">
            <v>0</v>
          </cell>
          <cell r="J58">
            <v>4044925017.8400002</v>
          </cell>
          <cell r="K58">
            <v>6109638110.5355988</v>
          </cell>
          <cell r="L58">
            <v>1043108945.7012001</v>
          </cell>
          <cell r="M58">
            <v>447046691.01479995</v>
          </cell>
          <cell r="N58">
            <v>7301762619.9084005</v>
          </cell>
        </row>
        <row r="59">
          <cell r="B59" t="str">
            <v>SANTANDER</v>
          </cell>
          <cell r="C59">
            <v>55160068495</v>
          </cell>
          <cell r="D59">
            <v>56230936971</v>
          </cell>
          <cell r="E59">
            <v>8928539346</v>
          </cell>
          <cell r="F59">
            <v>5546532962</v>
          </cell>
          <cell r="G59">
            <v>3292517565</v>
          </cell>
          <cell r="H59">
            <v>65788809</v>
          </cell>
          <cell r="I59">
            <v>828821929</v>
          </cell>
          <cell r="J59">
            <v>27333133928.240005</v>
          </cell>
          <cell r="K59">
            <v>32855202143.651596</v>
          </cell>
          <cell r="L59">
            <v>5609424756.2332001</v>
          </cell>
          <cell r="M59">
            <v>2404039181.2427979</v>
          </cell>
          <cell r="N59">
            <v>39265973293.632401</v>
          </cell>
        </row>
        <row r="60">
          <cell r="B60" t="str">
            <v>SUCRE</v>
          </cell>
          <cell r="C60">
            <v>5997717130</v>
          </cell>
          <cell r="D60">
            <v>24995355844</v>
          </cell>
          <cell r="E60">
            <v>5707980338</v>
          </cell>
          <cell r="F60">
            <v>2327183912</v>
          </cell>
          <cell r="G60">
            <v>1229509482</v>
          </cell>
          <cell r="H60">
            <v>943750797</v>
          </cell>
          <cell r="I60">
            <v>0</v>
          </cell>
          <cell r="J60">
            <v>11236733054.960005</v>
          </cell>
          <cell r="K60">
            <v>11846727135.086397</v>
          </cell>
          <cell r="L60">
            <v>2022611949.8928006</v>
          </cell>
          <cell r="M60">
            <v>866833692.8111999</v>
          </cell>
          <cell r="N60">
            <v>14158283649.249599</v>
          </cell>
        </row>
        <row r="61">
          <cell r="B61" t="str">
            <v xml:space="preserve">TOLIMA </v>
          </cell>
          <cell r="C61">
            <v>6638063153</v>
          </cell>
          <cell r="D61">
            <v>32083643905</v>
          </cell>
          <cell r="E61">
            <v>14739655142</v>
          </cell>
          <cell r="F61">
            <v>3597854172</v>
          </cell>
          <cell r="G61">
            <v>2044950050</v>
          </cell>
          <cell r="H61">
            <v>1476254219</v>
          </cell>
          <cell r="I61">
            <v>1020088528</v>
          </cell>
          <cell r="J61">
            <v>18051437223.120003</v>
          </cell>
          <cell r="K61">
            <v>19965250269.600788</v>
          </cell>
          <cell r="L61">
            <v>3408701265.5415998</v>
          </cell>
          <cell r="M61">
            <v>1460871970.9463997</v>
          </cell>
          <cell r="N61">
            <v>23860908858.791206</v>
          </cell>
        </row>
        <row r="62">
          <cell r="B62" t="str">
            <v>VALLE DEL CAUCA</v>
          </cell>
          <cell r="C62">
            <v>77990059039</v>
          </cell>
          <cell r="D62">
            <v>54314266755</v>
          </cell>
          <cell r="E62">
            <v>11400666470</v>
          </cell>
          <cell r="F62">
            <v>8376421115</v>
          </cell>
          <cell r="G62">
            <v>2165620831</v>
          </cell>
          <cell r="H62">
            <v>602420860</v>
          </cell>
          <cell r="I62">
            <v>0</v>
          </cell>
          <cell r="J62">
            <v>11250757444.08</v>
          </cell>
          <cell r="K62">
            <v>24368393664.967197</v>
          </cell>
          <cell r="L62">
            <v>4160457454.9944015</v>
          </cell>
          <cell r="M62">
            <v>1783053194.9976006</v>
          </cell>
          <cell r="N62">
            <v>29123202184.960804</v>
          </cell>
        </row>
        <row r="63">
          <cell r="B63" t="str">
            <v>ARAUCA</v>
          </cell>
          <cell r="C63">
            <v>1777391873</v>
          </cell>
          <cell r="D63">
            <v>6620540177</v>
          </cell>
          <cell r="E63">
            <v>0</v>
          </cell>
          <cell r="F63">
            <v>1105791246</v>
          </cell>
          <cell r="G63">
            <v>290997895</v>
          </cell>
          <cell r="H63">
            <v>212893666</v>
          </cell>
          <cell r="I63">
            <v>0</v>
          </cell>
          <cell r="J63">
            <v>2659487956.1599998</v>
          </cell>
          <cell r="K63">
            <v>2803860159.4944</v>
          </cell>
          <cell r="L63">
            <v>478707832.10880005</v>
          </cell>
          <cell r="M63">
            <v>205160499.47519997</v>
          </cell>
          <cell r="N63">
            <v>3350954824.7616005</v>
          </cell>
        </row>
        <row r="64">
          <cell r="B64" t="str">
            <v>CASANARE</v>
          </cell>
          <cell r="C64">
            <v>2638716523</v>
          </cell>
          <cell r="D64">
            <v>13206145161</v>
          </cell>
          <cell r="E64">
            <v>0</v>
          </cell>
          <cell r="F64">
            <v>1665011730</v>
          </cell>
          <cell r="G64">
            <v>639749370</v>
          </cell>
          <cell r="H64">
            <v>494896994</v>
          </cell>
          <cell r="I64">
            <v>0</v>
          </cell>
          <cell r="J64">
            <v>5846797435.0800009</v>
          </cell>
          <cell r="K64">
            <v>6164195010.1271992</v>
          </cell>
          <cell r="L64">
            <v>1052423538.3144</v>
          </cell>
          <cell r="M64">
            <v>451038659.27759999</v>
          </cell>
          <cell r="N64">
            <v>7366964768.2007999</v>
          </cell>
        </row>
        <row r="65">
          <cell r="B65" t="str">
            <v>PUTUMAYO</v>
          </cell>
          <cell r="C65">
            <v>3406930358</v>
          </cell>
          <cell r="D65">
            <v>15769410905</v>
          </cell>
          <cell r="E65">
            <v>1032518642</v>
          </cell>
          <cell r="F65">
            <v>2026421760</v>
          </cell>
          <cell r="G65">
            <v>734774005</v>
          </cell>
          <cell r="H65">
            <v>977677359</v>
          </cell>
          <cell r="I65">
            <v>0</v>
          </cell>
          <cell r="J65">
            <v>6715246572.1599998</v>
          </cell>
          <cell r="K65">
            <v>7079788528.9343996</v>
          </cell>
          <cell r="L65">
            <v>1208744382.9888</v>
          </cell>
          <cell r="M65">
            <v>518033306.99519998</v>
          </cell>
          <cell r="N65">
            <v>8461210680.9215994</v>
          </cell>
        </row>
        <row r="66">
          <cell r="B66" t="str">
            <v>SAN ANDRES</v>
          </cell>
          <cell r="C66">
            <v>88458800</v>
          </cell>
          <cell r="D66">
            <v>164466235</v>
          </cell>
          <cell r="E66">
            <v>0</v>
          </cell>
          <cell r="F66">
            <v>15237956</v>
          </cell>
          <cell r="G66">
            <v>33086466</v>
          </cell>
          <cell r="H66">
            <v>0</v>
          </cell>
          <cell r="I66">
            <v>0</v>
          </cell>
          <cell r="J66">
            <v>302383834.20000005</v>
          </cell>
          <cell r="K66">
            <v>318798956.62799996</v>
          </cell>
          <cell r="L66">
            <v>54429090.156000003</v>
          </cell>
          <cell r="M66">
            <v>23326752.923999999</v>
          </cell>
          <cell r="N66">
            <v>381003631.09199995</v>
          </cell>
        </row>
        <row r="67">
          <cell r="B67" t="str">
            <v>AMAZONAS</v>
          </cell>
          <cell r="C67">
            <v>157026349</v>
          </cell>
          <cell r="D67">
            <v>553119092</v>
          </cell>
          <cell r="E67">
            <v>0</v>
          </cell>
          <cell r="F67">
            <v>67905757</v>
          </cell>
          <cell r="G67">
            <v>39607231</v>
          </cell>
          <cell r="H67">
            <v>308929172</v>
          </cell>
          <cell r="I67">
            <v>0</v>
          </cell>
          <cell r="J67">
            <v>361978409.52000004</v>
          </cell>
          <cell r="K67">
            <v>381628666.03679997</v>
          </cell>
          <cell r="L67">
            <v>65156113.71360001</v>
          </cell>
          <cell r="M67">
            <v>27924048.7344</v>
          </cell>
          <cell r="N67">
            <v>456092795.99519998</v>
          </cell>
        </row>
        <row r="68">
          <cell r="B68" t="str">
            <v>GUAINIA</v>
          </cell>
        </row>
        <row r="69">
          <cell r="B69" t="str">
            <v>GUAVIARE</v>
          </cell>
          <cell r="C69">
            <v>913187092</v>
          </cell>
          <cell r="D69">
            <v>3358100375</v>
          </cell>
          <cell r="E69">
            <v>0</v>
          </cell>
          <cell r="F69">
            <v>1092017064</v>
          </cell>
          <cell r="G69">
            <v>170402251</v>
          </cell>
          <cell r="H69">
            <v>168107013</v>
          </cell>
          <cell r="I69">
            <v>0</v>
          </cell>
          <cell r="J69">
            <v>1557340248.8000002</v>
          </cell>
          <cell r="K69">
            <v>1641881576.592</v>
          </cell>
          <cell r="L69">
            <v>280321244.78400004</v>
          </cell>
          <cell r="M69">
            <v>120137676.336</v>
          </cell>
          <cell r="N69">
            <v>1962248713.4879999</v>
          </cell>
        </row>
        <row r="70">
          <cell r="B70" t="str">
            <v>VAUPES</v>
          </cell>
          <cell r="C70">
            <v>124222080</v>
          </cell>
          <cell r="D70">
            <v>350828194</v>
          </cell>
          <cell r="E70">
            <v>0</v>
          </cell>
          <cell r="F70">
            <v>271977711</v>
          </cell>
          <cell r="G70">
            <v>119110749</v>
          </cell>
          <cell r="H70">
            <v>221958698</v>
          </cell>
          <cell r="I70">
            <v>0</v>
          </cell>
          <cell r="J70">
            <v>1088576959.96</v>
          </cell>
          <cell r="K70">
            <v>1147671137.7863998</v>
          </cell>
          <cell r="L70">
            <v>195943852.79280004</v>
          </cell>
          <cell r="M70">
            <v>83975936.911200002</v>
          </cell>
          <cell r="N70">
            <v>1371606969.5496001</v>
          </cell>
        </row>
        <row r="71">
          <cell r="B71" t="str">
            <v>VICHADA</v>
          </cell>
          <cell r="C71">
            <v>1035472937</v>
          </cell>
          <cell r="D71">
            <v>3029334143</v>
          </cell>
          <cell r="E71">
            <v>0</v>
          </cell>
          <cell r="F71">
            <v>2026293813</v>
          </cell>
          <cell r="G71">
            <v>175659049</v>
          </cell>
          <cell r="H71">
            <v>1597061494</v>
          </cell>
          <cell r="I71">
            <v>0</v>
          </cell>
          <cell r="J71">
            <v>1605383183.0400002</v>
          </cell>
          <cell r="K71">
            <v>1692532555.8335996</v>
          </cell>
          <cell r="L71">
            <v>288968972.9472</v>
          </cell>
          <cell r="M71">
            <v>123843845.54879998</v>
          </cell>
          <cell r="N71">
            <v>2022782810.6303997</v>
          </cell>
        </row>
        <row r="76">
          <cell r="B76" t="str">
            <v>ANTIOQUIA</v>
          </cell>
          <cell r="C76">
            <v>243273060254</v>
          </cell>
          <cell r="D76">
            <v>0</v>
          </cell>
          <cell r="E76">
            <v>50679915627</v>
          </cell>
          <cell r="F76">
            <v>17258680947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ATLANTICO</v>
          </cell>
          <cell r="C77">
            <v>62631807780</v>
          </cell>
          <cell r="D77">
            <v>0</v>
          </cell>
          <cell r="E77">
            <v>15184804151</v>
          </cell>
          <cell r="F77">
            <v>6366460414</v>
          </cell>
          <cell r="G77">
            <v>0</v>
          </cell>
          <cell r="H77">
            <v>0</v>
          </cell>
          <cell r="I77">
            <v>0</v>
          </cell>
        </row>
        <row r="79">
          <cell r="B79" t="str">
            <v>BOLIVAR</v>
          </cell>
          <cell r="C79">
            <v>95405173931</v>
          </cell>
          <cell r="D79">
            <v>0</v>
          </cell>
          <cell r="E79">
            <v>23588622914</v>
          </cell>
          <cell r="F79">
            <v>7208842505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BOYACA</v>
          </cell>
          <cell r="C80">
            <v>185153177092</v>
          </cell>
          <cell r="D80">
            <v>0</v>
          </cell>
          <cell r="E80">
            <v>33814551824</v>
          </cell>
          <cell r="F80">
            <v>3688243595</v>
          </cell>
          <cell r="G80">
            <v>0</v>
          </cell>
          <cell r="H80">
            <v>0</v>
          </cell>
          <cell r="I80">
            <v>0</v>
          </cell>
        </row>
        <row r="81">
          <cell r="B81" t="str">
            <v>CALDAS</v>
          </cell>
          <cell r="C81">
            <v>71745065786</v>
          </cell>
          <cell r="D81">
            <v>0</v>
          </cell>
          <cell r="E81">
            <v>17763042705</v>
          </cell>
          <cell r="F81">
            <v>2588742072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CAQUETA</v>
          </cell>
          <cell r="C82">
            <v>29820919546</v>
          </cell>
          <cell r="D82">
            <v>0</v>
          </cell>
          <cell r="E82">
            <v>24575236218</v>
          </cell>
          <cell r="F82">
            <v>3016980435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CAUCA</v>
          </cell>
          <cell r="C83">
            <v>113696618184</v>
          </cell>
          <cell r="D83">
            <v>0</v>
          </cell>
          <cell r="E83">
            <v>40510093201</v>
          </cell>
          <cell r="F83">
            <v>4124346913</v>
          </cell>
          <cell r="G83">
            <v>0</v>
          </cell>
          <cell r="H83">
            <v>0</v>
          </cell>
          <cell r="I83">
            <v>0</v>
          </cell>
        </row>
        <row r="84">
          <cell r="B84" t="str">
            <v>CESAR</v>
          </cell>
          <cell r="C84">
            <v>62461592594</v>
          </cell>
          <cell r="D84">
            <v>0</v>
          </cell>
          <cell r="E84">
            <v>13994525029</v>
          </cell>
          <cell r="F84">
            <v>3683632115</v>
          </cell>
          <cell r="G84">
            <v>0</v>
          </cell>
          <cell r="H84">
            <v>0</v>
          </cell>
          <cell r="I84">
            <v>0</v>
          </cell>
        </row>
        <row r="85">
          <cell r="B85" t="str">
            <v>CORDOBA</v>
          </cell>
          <cell r="C85">
            <v>99926898938</v>
          </cell>
          <cell r="D85">
            <v>0</v>
          </cell>
          <cell r="E85">
            <v>24724120598</v>
          </cell>
          <cell r="F85">
            <v>4859473123</v>
          </cell>
          <cell r="G85">
            <v>0</v>
          </cell>
          <cell r="H85">
            <v>0</v>
          </cell>
          <cell r="I85">
            <v>0</v>
          </cell>
        </row>
        <row r="86">
          <cell r="B86" t="str">
            <v>CUNDINAMARCA</v>
          </cell>
          <cell r="C86">
            <v>224072478543</v>
          </cell>
          <cell r="D86">
            <v>0</v>
          </cell>
          <cell r="E86">
            <v>50946480954</v>
          </cell>
          <cell r="F86">
            <v>6207833561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CHOCO</v>
          </cell>
          <cell r="C87">
            <v>79587045105</v>
          </cell>
          <cell r="D87">
            <v>0</v>
          </cell>
          <cell r="E87">
            <v>24586044155</v>
          </cell>
          <cell r="F87">
            <v>2366765740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HUILA</v>
          </cell>
          <cell r="C88">
            <v>73850537209</v>
          </cell>
          <cell r="D88">
            <v>0</v>
          </cell>
          <cell r="E88">
            <v>12492600012</v>
          </cell>
          <cell r="F88">
            <v>3212329746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GUAJIRA</v>
          </cell>
          <cell r="C89">
            <v>49389838419</v>
          </cell>
          <cell r="D89">
            <v>0</v>
          </cell>
          <cell r="E89">
            <v>17822172535</v>
          </cell>
          <cell r="F89">
            <v>1945765506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MAGDALENA</v>
          </cell>
          <cell r="C90">
            <v>70459820100</v>
          </cell>
          <cell r="D90">
            <v>0</v>
          </cell>
          <cell r="E90">
            <v>28544323727</v>
          </cell>
          <cell r="F90">
            <v>4361475790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META</v>
          </cell>
          <cell r="C91">
            <v>43659167737</v>
          </cell>
          <cell r="D91">
            <v>0</v>
          </cell>
          <cell r="E91">
            <v>27443592519</v>
          </cell>
          <cell r="F91">
            <v>3668411394</v>
          </cell>
          <cell r="G91">
            <v>0</v>
          </cell>
          <cell r="H91">
            <v>0</v>
          </cell>
          <cell r="I91">
            <v>0</v>
          </cell>
        </row>
        <row r="92">
          <cell r="B92" t="str">
            <v>NARIÑO</v>
          </cell>
          <cell r="C92">
            <v>125340273117</v>
          </cell>
          <cell r="D92">
            <v>0</v>
          </cell>
          <cell r="E92">
            <v>29638795425</v>
          </cell>
          <cell r="F92">
            <v>4952758661</v>
          </cell>
          <cell r="G92">
            <v>0</v>
          </cell>
          <cell r="H92">
            <v>0</v>
          </cell>
          <cell r="I92">
            <v>0</v>
          </cell>
        </row>
        <row r="93">
          <cell r="B93" t="str">
            <v>NORTE DE SANTANDER</v>
          </cell>
          <cell r="C93">
            <v>109114556317</v>
          </cell>
          <cell r="D93">
            <v>0</v>
          </cell>
          <cell r="E93">
            <v>33247043053</v>
          </cell>
          <cell r="F93">
            <v>4501575011</v>
          </cell>
          <cell r="G93">
            <v>0</v>
          </cell>
          <cell r="H93">
            <v>0</v>
          </cell>
          <cell r="I93">
            <v>0</v>
          </cell>
        </row>
        <row r="94">
          <cell r="B94" t="str">
            <v>QUINDIO</v>
          </cell>
          <cell r="C94">
            <v>33542760471</v>
          </cell>
          <cell r="D94">
            <v>0</v>
          </cell>
          <cell r="E94">
            <v>8567627990</v>
          </cell>
          <cell r="F94">
            <v>1639799485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RISARALDA</v>
          </cell>
          <cell r="C95">
            <v>34219349321</v>
          </cell>
          <cell r="D95">
            <v>0</v>
          </cell>
          <cell r="E95">
            <v>11819467798</v>
          </cell>
          <cell r="F95">
            <v>3040629518</v>
          </cell>
          <cell r="G95">
            <v>0</v>
          </cell>
          <cell r="H95">
            <v>0</v>
          </cell>
          <cell r="I95">
            <v>0</v>
          </cell>
        </row>
        <row r="96">
          <cell r="B96" t="str">
            <v>SANTANDER</v>
          </cell>
          <cell r="C96">
            <v>139760709524</v>
          </cell>
          <cell r="D96">
            <v>0</v>
          </cell>
          <cell r="E96">
            <v>34076376496</v>
          </cell>
          <cell r="F96">
            <v>6022027800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SUCRE</v>
          </cell>
          <cell r="C97">
            <v>72534021352</v>
          </cell>
          <cell r="D97">
            <v>0</v>
          </cell>
          <cell r="E97">
            <v>15853630056</v>
          </cell>
          <cell r="F97">
            <v>2647586707</v>
          </cell>
          <cell r="G97">
            <v>0</v>
          </cell>
          <cell r="H97">
            <v>0</v>
          </cell>
          <cell r="I97">
            <v>0</v>
          </cell>
        </row>
        <row r="98">
          <cell r="B98" t="str">
            <v xml:space="preserve">TOLIMA </v>
          </cell>
          <cell r="C98">
            <v>122935303434</v>
          </cell>
          <cell r="D98">
            <v>0</v>
          </cell>
          <cell r="E98">
            <v>18832321314</v>
          </cell>
          <cell r="F98">
            <v>4286256262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VALLE DEL CAUCA</v>
          </cell>
          <cell r="C99">
            <v>159139211491</v>
          </cell>
          <cell r="D99">
            <v>0</v>
          </cell>
          <cell r="E99">
            <v>62416178138</v>
          </cell>
          <cell r="F99">
            <v>13608808772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ARAUCA</v>
          </cell>
          <cell r="C100">
            <v>43160023818</v>
          </cell>
          <cell r="D100">
            <v>0</v>
          </cell>
          <cell r="E100">
            <v>14102218367</v>
          </cell>
          <cell r="F100">
            <v>1241805735</v>
          </cell>
          <cell r="G100">
            <v>0</v>
          </cell>
          <cell r="H100">
            <v>0</v>
          </cell>
          <cell r="I100">
            <v>0</v>
          </cell>
        </row>
        <row r="101">
          <cell r="B101" t="str">
            <v>CASANARE</v>
          </cell>
          <cell r="C101">
            <v>45560909427</v>
          </cell>
          <cell r="D101">
            <v>0</v>
          </cell>
          <cell r="E101">
            <v>14016766687</v>
          </cell>
          <cell r="F101">
            <v>1679645090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PUTUMAYO</v>
          </cell>
          <cell r="C102">
            <v>45438783867</v>
          </cell>
          <cell r="D102">
            <v>0</v>
          </cell>
          <cell r="E102">
            <v>16792561462</v>
          </cell>
          <cell r="F102">
            <v>1807415787</v>
          </cell>
          <cell r="G102">
            <v>0</v>
          </cell>
          <cell r="H102">
            <v>0</v>
          </cell>
          <cell r="I102">
            <v>0</v>
          </cell>
        </row>
        <row r="103">
          <cell r="B103" t="str">
            <v>SAN ANDRES</v>
          </cell>
          <cell r="C103">
            <v>10150949503</v>
          </cell>
          <cell r="D103">
            <v>1933414086</v>
          </cell>
          <cell r="E103">
            <v>4143249896</v>
          </cell>
          <cell r="F103">
            <v>430615124</v>
          </cell>
          <cell r="G103">
            <v>63017033</v>
          </cell>
          <cell r="H103">
            <v>0</v>
          </cell>
          <cell r="I103">
            <v>0</v>
          </cell>
        </row>
        <row r="104">
          <cell r="B104" t="str">
            <v>AMAZONAS</v>
          </cell>
          <cell r="C104">
            <v>13413941973</v>
          </cell>
          <cell r="D104">
            <v>1245329865</v>
          </cell>
          <cell r="E104">
            <v>8909489863</v>
          </cell>
          <cell r="F104">
            <v>3284003878</v>
          </cell>
          <cell r="G104">
            <v>0</v>
          </cell>
          <cell r="H104">
            <v>1228715967</v>
          </cell>
          <cell r="I104">
            <v>0</v>
          </cell>
        </row>
        <row r="105">
          <cell r="B105" t="str">
            <v>GUAINIA</v>
          </cell>
          <cell r="C105">
            <v>11220135856</v>
          </cell>
          <cell r="D105">
            <v>682637961</v>
          </cell>
          <cell r="E105">
            <v>4595061410</v>
          </cell>
          <cell r="F105">
            <v>2237367136</v>
          </cell>
          <cell r="G105">
            <v>0</v>
          </cell>
          <cell r="H105">
            <v>670902254</v>
          </cell>
          <cell r="I105">
            <v>0</v>
          </cell>
        </row>
        <row r="106">
          <cell r="B106" t="str">
            <v>GUAVIARE</v>
          </cell>
          <cell r="C106">
            <v>14417175626</v>
          </cell>
          <cell r="D106">
            <v>0</v>
          </cell>
          <cell r="E106">
            <v>16064886134</v>
          </cell>
          <cell r="F106">
            <v>1401677206</v>
          </cell>
          <cell r="G106">
            <v>0</v>
          </cell>
          <cell r="H106">
            <v>0</v>
          </cell>
          <cell r="I106">
            <v>0</v>
          </cell>
        </row>
        <row r="107">
          <cell r="B107" t="str">
            <v>VAUPES</v>
          </cell>
          <cell r="C107">
            <v>10953467457</v>
          </cell>
          <cell r="D107">
            <v>309123758</v>
          </cell>
          <cell r="E107">
            <v>1874889910</v>
          </cell>
          <cell r="F107">
            <v>1451924070</v>
          </cell>
          <cell r="G107">
            <v>0</v>
          </cell>
          <cell r="H107">
            <v>154823597</v>
          </cell>
          <cell r="I107">
            <v>0</v>
          </cell>
        </row>
        <row r="108">
          <cell r="B108" t="str">
            <v>VICHADA</v>
          </cell>
          <cell r="C108">
            <v>13990831917</v>
          </cell>
          <cell r="D108">
            <v>0</v>
          </cell>
          <cell r="E108">
            <v>13242921795</v>
          </cell>
          <cell r="F108">
            <v>1926391225</v>
          </cell>
          <cell r="G108">
            <v>0</v>
          </cell>
          <cell r="H108">
            <v>0</v>
          </cell>
          <cell r="I108">
            <v>0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>
        <row r="1">
          <cell r="A1" t="str">
            <v>DETALLE DE LA COMPOSICION DEL PRESUPUESTO DE RENTAS DE LA NACION</v>
          </cell>
          <cell r="L1" t="str">
            <v>DETALLE DE LA COMPOSICION DEL PRESUPUESTO DE RENTAS DE LA NACION</v>
          </cell>
        </row>
        <row r="3">
          <cell r="A3" t="str">
            <v>Millones de pesos</v>
          </cell>
          <cell r="L3" t="str">
            <v>Millones de pesos</v>
          </cell>
        </row>
        <row r="4">
          <cell r="P4" t="str">
            <v>1998</v>
          </cell>
          <cell r="R4" t="str">
            <v>1999</v>
          </cell>
        </row>
        <row r="5">
          <cell r="E5" t="str">
            <v>1998</v>
          </cell>
          <cell r="F5" t="str">
            <v>1999</v>
          </cell>
          <cell r="H5">
            <v>1998</v>
          </cell>
          <cell r="I5">
            <v>1999</v>
          </cell>
          <cell r="P5" t="str">
            <v>APROPIACION</v>
          </cell>
          <cell r="Q5" t="str">
            <v>REESTIMACION</v>
          </cell>
          <cell r="R5" t="str">
            <v>PROYECTO</v>
          </cell>
          <cell r="S5" t="str">
            <v>Variación</v>
          </cell>
          <cell r="T5" t="str">
            <v>Variación</v>
          </cell>
        </row>
        <row r="6">
          <cell r="E6" t="str">
            <v>APROPIACION</v>
          </cell>
          <cell r="F6" t="str">
            <v>PROYECTO</v>
          </cell>
          <cell r="G6" t="str">
            <v>Variación</v>
          </cell>
          <cell r="H6" t="str">
            <v>PARTICIPACION %</v>
          </cell>
          <cell r="O6" t="str">
            <v xml:space="preserve"> </v>
          </cell>
          <cell r="P6" t="str">
            <v>VIGENTE</v>
          </cell>
          <cell r="Q6" t="str">
            <v xml:space="preserve">BASE </v>
          </cell>
          <cell r="R6" t="str">
            <v>PRESUPUESTO</v>
          </cell>
          <cell r="S6" t="str">
            <v>%</v>
          </cell>
          <cell r="T6" t="str">
            <v>%</v>
          </cell>
        </row>
        <row r="7">
          <cell r="D7" t="str">
            <v xml:space="preserve"> </v>
          </cell>
          <cell r="E7" t="str">
            <v>VIGENTE</v>
          </cell>
          <cell r="F7" t="str">
            <v>PRESUPUESTO</v>
          </cell>
          <cell r="G7" t="str">
            <v>%</v>
          </cell>
          <cell r="P7" t="str">
            <v>(A)</v>
          </cell>
          <cell r="Q7" t="str">
            <v>(B)</v>
          </cell>
          <cell r="R7" t="str">
            <v>(C)</v>
          </cell>
          <cell r="S7" t="str">
            <v>(D)=(C/A)</v>
          </cell>
          <cell r="T7" t="str">
            <v>(E)=(C/B)</v>
          </cell>
        </row>
        <row r="8">
          <cell r="A8" t="str">
            <v>CONCEPTOS</v>
          </cell>
          <cell r="L8" t="str">
            <v>CONCEPTOS</v>
          </cell>
        </row>
        <row r="10">
          <cell r="A10" t="str">
            <v>I.</v>
          </cell>
          <cell r="B10" t="str">
            <v>INGRESOS DEL PRESUPUESTO NACIONAL</v>
          </cell>
          <cell r="E10">
            <v>34366401.332317002</v>
          </cell>
          <cell r="F10">
            <v>39798591.996973999</v>
          </cell>
          <cell r="G10">
            <v>15.806690412908452</v>
          </cell>
          <cell r="H10">
            <v>100</v>
          </cell>
          <cell r="I10">
            <v>100</v>
          </cell>
          <cell r="L10" t="str">
            <v>I.</v>
          </cell>
          <cell r="M10" t="str">
            <v>INGRESOS DEL PRESUPUESTO NACIONAL</v>
          </cell>
          <cell r="P10">
            <v>34366401.332317002</v>
          </cell>
          <cell r="Q10">
            <v>34716620.206469998</v>
          </cell>
          <cell r="R10">
            <v>39798591.996973999</v>
          </cell>
          <cell r="S10">
            <v>15.806690412908452</v>
          </cell>
          <cell r="T10">
            <v>14.638440494149529</v>
          </cell>
        </row>
        <row r="12">
          <cell r="A12" t="str">
            <v>1.</v>
          </cell>
          <cell r="B12" t="str">
            <v>INGRESOS CORRIENTES</v>
          </cell>
          <cell r="E12">
            <v>14973958.125847001</v>
          </cell>
          <cell r="F12">
            <v>17813984</v>
          </cell>
          <cell r="G12">
            <v>18.966433926716707</v>
          </cell>
          <cell r="H12">
            <v>43.571504566484812</v>
          </cell>
          <cell r="I12">
            <v>44.760337253525066</v>
          </cell>
          <cell r="L12" t="str">
            <v>1.</v>
          </cell>
          <cell r="M12" t="str">
            <v>INGRESOS CORRIENTES</v>
          </cell>
          <cell r="P12">
            <v>14973958.125847001</v>
          </cell>
          <cell r="Q12">
            <v>15324177</v>
          </cell>
          <cell r="R12">
            <v>17813984</v>
          </cell>
          <cell r="S12">
            <v>18.966433926716707</v>
          </cell>
          <cell r="T12">
            <v>16.24757401327328</v>
          </cell>
        </row>
        <row r="14">
          <cell r="B14" t="str">
            <v>1.1.  INGRESOS TRIBUTARIOS</v>
          </cell>
          <cell r="E14">
            <v>14609453</v>
          </cell>
          <cell r="F14">
            <v>17369627.000000462</v>
          </cell>
          <cell r="G14">
            <v>18.893068754870313</v>
          </cell>
          <cell r="H14">
            <v>42.510860705865539</v>
          </cell>
          <cell r="I14">
            <v>43.643822880269546</v>
          </cell>
          <cell r="M14" t="str">
            <v>1.1.  INGRESOS TRIBUTARIOS</v>
          </cell>
          <cell r="P14">
            <v>14609453</v>
          </cell>
          <cell r="Q14">
            <v>14749077</v>
          </cell>
          <cell r="R14">
            <v>17369627.000000462</v>
          </cell>
          <cell r="S14">
            <v>18.893068754870313</v>
          </cell>
          <cell r="T14">
            <v>17.767552505153116</v>
          </cell>
        </row>
        <row r="15">
          <cell r="H15">
            <v>0</v>
          </cell>
          <cell r="I15">
            <v>0</v>
          </cell>
        </row>
        <row r="16">
          <cell r="B16" t="str">
            <v xml:space="preserve">        1.1.1. IMPUESTOS DIRECTOS</v>
          </cell>
          <cell r="E16">
            <v>5845082</v>
          </cell>
          <cell r="F16">
            <v>6285366</v>
          </cell>
          <cell r="G16">
            <v>7.5325547186506636</v>
          </cell>
          <cell r="H16">
            <v>17.008129374615326</v>
          </cell>
          <cell r="I16">
            <v>15.792935590479921</v>
          </cell>
          <cell r="M16" t="str">
            <v xml:space="preserve">        1.1.1. IMPUESTOS DIRECTOS</v>
          </cell>
          <cell r="P16">
            <v>5845082</v>
          </cell>
          <cell r="Q16">
            <v>5393900</v>
          </cell>
          <cell r="R16">
            <v>6285366</v>
          </cell>
          <cell r="S16">
            <v>7.5325547186506636</v>
          </cell>
          <cell r="T16">
            <v>16.527299356680693</v>
          </cell>
        </row>
        <row r="17">
          <cell r="B17" t="str">
            <v>NUMERAL 0001</v>
          </cell>
          <cell r="D17" t="str">
            <v>IMPUESTO SOBRE LA RENTA Y COMPLEMENTARIOS</v>
          </cell>
          <cell r="E17">
            <v>5845082</v>
          </cell>
          <cell r="F17">
            <v>6285366</v>
          </cell>
          <cell r="G17">
            <v>7.5325547186506636</v>
          </cell>
          <cell r="H17">
            <v>17.008129374615326</v>
          </cell>
          <cell r="I17">
            <v>15.792935590479921</v>
          </cell>
          <cell r="M17" t="str">
            <v>NUMERAL 0001</v>
          </cell>
          <cell r="O17" t="str">
            <v>IMPUESTO SOBRE LA RENTA Y COMPLEMENTARIOS</v>
          </cell>
          <cell r="P17">
            <v>5845082</v>
          </cell>
          <cell r="Q17">
            <v>5393900</v>
          </cell>
          <cell r="R17">
            <v>6285366</v>
          </cell>
          <cell r="S17">
            <v>7.5325547186506636</v>
          </cell>
          <cell r="T17">
            <v>16.527299356680693</v>
          </cell>
        </row>
        <row r="18">
          <cell r="H18">
            <v>0</v>
          </cell>
          <cell r="I18">
            <v>0</v>
          </cell>
        </row>
        <row r="19">
          <cell r="B19" t="str">
            <v xml:space="preserve">        1.1.2. IMPUESTOS INDIRECTOS</v>
          </cell>
          <cell r="E19">
            <v>8764371</v>
          </cell>
          <cell r="F19">
            <v>11084261.000000462</v>
          </cell>
          <cell r="G19">
            <v>26.469554974343978</v>
          </cell>
          <cell r="H19">
            <v>25.502731331250217</v>
          </cell>
          <cell r="I19">
            <v>27.850887289789622</v>
          </cell>
          <cell r="M19" t="str">
            <v xml:space="preserve">        1.1.2. IMPUESTOS INDIRECTOS</v>
          </cell>
          <cell r="P19">
            <v>8764371</v>
          </cell>
          <cell r="Q19">
            <v>9355177</v>
          </cell>
          <cell r="R19">
            <v>11084261.000000462</v>
          </cell>
          <cell r="S19">
            <v>26.469554974343978</v>
          </cell>
          <cell r="T19">
            <v>18.482643353519258</v>
          </cell>
        </row>
        <row r="20">
          <cell r="B20" t="str">
            <v xml:space="preserve">NUMERAL </v>
          </cell>
          <cell r="C20" t="str">
            <v>0001</v>
          </cell>
          <cell r="D20" t="str">
            <v>IMPUESTOS SOBRE ADUANAS Y RECARGOS</v>
          </cell>
          <cell r="E20">
            <v>1216470</v>
          </cell>
          <cell r="F20">
            <v>1646430.000000464</v>
          </cell>
          <cell r="G20">
            <v>35.344891366039775</v>
          </cell>
          <cell r="H20">
            <v>3.5397072513847201</v>
          </cell>
          <cell r="I20">
            <v>4.1369051451007284</v>
          </cell>
          <cell r="M20" t="str">
            <v xml:space="preserve">NUMERAL </v>
          </cell>
          <cell r="N20" t="str">
            <v>0001</v>
          </cell>
          <cell r="O20" t="str">
            <v>IMPUESTOS SOBRE ADUANAS Y RECARGOS</v>
          </cell>
          <cell r="P20">
            <v>1216470</v>
          </cell>
          <cell r="Q20">
            <v>1444000</v>
          </cell>
          <cell r="R20">
            <v>1646430.000000464</v>
          </cell>
          <cell r="S20">
            <v>35.344891366039775</v>
          </cell>
          <cell r="T20">
            <v>14.018698060973955</v>
          </cell>
        </row>
        <row r="21">
          <cell r="B21" t="str">
            <v xml:space="preserve">NUMERAL </v>
          </cell>
          <cell r="C21" t="str">
            <v>0002</v>
          </cell>
          <cell r="D21" t="str">
            <v>IMPUESTO A LAS VENTAS</v>
          </cell>
          <cell r="E21">
            <v>6695019</v>
          </cell>
          <cell r="F21">
            <v>8117919</v>
          </cell>
          <cell r="G21">
            <v>21.253113695420424</v>
          </cell>
          <cell r="H21">
            <v>19.481292019086766</v>
          </cell>
          <cell r="I21">
            <v>20.397503008692439</v>
          </cell>
          <cell r="M21" t="str">
            <v xml:space="preserve">NUMERAL </v>
          </cell>
          <cell r="N21" t="str">
            <v>0002</v>
          </cell>
          <cell r="O21" t="str">
            <v>IMPUESTO A LAS VENTAS</v>
          </cell>
          <cell r="P21">
            <v>6695019</v>
          </cell>
          <cell r="Q21">
            <v>6887200</v>
          </cell>
          <cell r="R21">
            <v>8117919</v>
          </cell>
          <cell r="S21">
            <v>21.253113695420424</v>
          </cell>
          <cell r="T21">
            <v>17.86965675455918</v>
          </cell>
        </row>
        <row r="22">
          <cell r="D22" t="str">
            <v>INTERNAS</v>
          </cell>
          <cell r="E22">
            <v>4687973</v>
          </cell>
          <cell r="F22">
            <v>5452433</v>
          </cell>
          <cell r="G22">
            <v>16.306834531683535</v>
          </cell>
          <cell r="H22">
            <v>13.641151875833996</v>
          </cell>
          <cell r="I22">
            <v>13.700065068670177</v>
          </cell>
          <cell r="O22" t="str">
            <v>INTERNAS</v>
          </cell>
          <cell r="P22">
            <v>4687973</v>
          </cell>
          <cell r="Q22">
            <v>4549400</v>
          </cell>
          <cell r="R22">
            <v>5452433</v>
          </cell>
          <cell r="S22">
            <v>16.306834531683535</v>
          </cell>
          <cell r="T22">
            <v>19.849496636919149</v>
          </cell>
        </row>
        <row r="23">
          <cell r="D23" t="str">
            <v>EXTERNAS</v>
          </cell>
          <cell r="E23">
            <v>2007046</v>
          </cell>
          <cell r="F23">
            <v>2665486</v>
          </cell>
          <cell r="G23">
            <v>32.806422971870106</v>
          </cell>
          <cell r="H23">
            <v>5.8401401432527695</v>
          </cell>
          <cell r="I23">
            <v>6.6974379400222617</v>
          </cell>
          <cell r="O23" t="str">
            <v>EXTERNAS</v>
          </cell>
          <cell r="P23">
            <v>2007046</v>
          </cell>
          <cell r="Q23">
            <v>2337800</v>
          </cell>
          <cell r="R23">
            <v>2665486</v>
          </cell>
          <cell r="S23">
            <v>32.806422971870106</v>
          </cell>
          <cell r="T23">
            <v>14.016853451963375</v>
          </cell>
        </row>
        <row r="24">
          <cell r="B24" t="str">
            <v xml:space="preserve">NUMERAL </v>
          </cell>
          <cell r="C24" t="str">
            <v>0003</v>
          </cell>
          <cell r="D24" t="str">
            <v>IMPUESTO A LA GASOLINA Y ACPM</v>
          </cell>
          <cell r="E24">
            <v>690540</v>
          </cell>
          <cell r="F24">
            <v>917324</v>
          </cell>
          <cell r="G24">
            <v>32.841544298664815</v>
          </cell>
          <cell r="H24">
            <v>2.0093462603855454</v>
          </cell>
          <cell r="I24">
            <v>2.3049157117662524</v>
          </cell>
          <cell r="M24" t="str">
            <v xml:space="preserve">NUMERAL </v>
          </cell>
          <cell r="N24" t="str">
            <v>0003</v>
          </cell>
          <cell r="O24" t="str">
            <v>IMPUESTO A LA GASOLINA Y ACPM</v>
          </cell>
          <cell r="P24">
            <v>690540</v>
          </cell>
          <cell r="Q24">
            <v>691000</v>
          </cell>
          <cell r="R24">
            <v>917324</v>
          </cell>
          <cell r="S24">
            <v>32.841544298664815</v>
          </cell>
          <cell r="T24">
            <v>32.753111432706227</v>
          </cell>
        </row>
        <row r="25">
          <cell r="B25" t="str">
            <v xml:space="preserve">NUMERAL </v>
          </cell>
          <cell r="C25" t="str">
            <v>0005</v>
          </cell>
          <cell r="D25" t="str">
            <v>IMPUESTO DE TIMBRE NACIONAL</v>
          </cell>
          <cell r="E25">
            <v>138600</v>
          </cell>
          <cell r="F25">
            <v>371608</v>
          </cell>
          <cell r="G25">
            <v>168.11544011544009</v>
          </cell>
          <cell r="H25">
            <v>0.40330088291690069</v>
          </cell>
          <cell r="I25">
            <v>0.93372147443872999</v>
          </cell>
          <cell r="M25" t="str">
            <v xml:space="preserve">NUMERAL </v>
          </cell>
          <cell r="N25" t="str">
            <v>0005</v>
          </cell>
          <cell r="O25" t="str">
            <v>IMPUESTO DE TIMBRE NACIONAL</v>
          </cell>
          <cell r="P25">
            <v>138600</v>
          </cell>
          <cell r="Q25">
            <v>310100</v>
          </cell>
          <cell r="R25">
            <v>371608</v>
          </cell>
          <cell r="S25">
            <v>168.11544011544009</v>
          </cell>
          <cell r="T25">
            <v>19.834891970332148</v>
          </cell>
        </row>
        <row r="26">
          <cell r="D26" t="str">
            <v>OTROS IMPUESTOS INDIRECTOS</v>
          </cell>
          <cell r="E26">
            <v>23742</v>
          </cell>
          <cell r="F26">
            <v>30980</v>
          </cell>
          <cell r="G26">
            <v>30.486058461797661</v>
          </cell>
          <cell r="H26">
            <v>6.9084917476284674E-2</v>
          </cell>
          <cell r="I26">
            <v>7.7841949791478793E-2</v>
          </cell>
          <cell r="O26" t="str">
            <v>OTROS IMPUESTOS INDIRECTOS</v>
          </cell>
          <cell r="P26">
            <v>23742</v>
          </cell>
          <cell r="Q26">
            <v>22877</v>
          </cell>
          <cell r="R26">
            <v>30980</v>
          </cell>
          <cell r="S26">
            <v>30.486058461797661</v>
          </cell>
          <cell r="T26">
            <v>35.419854001835915</v>
          </cell>
        </row>
        <row r="27">
          <cell r="B27" t="str">
            <v xml:space="preserve">NUMERAL </v>
          </cell>
          <cell r="C27" t="str">
            <v>0004</v>
          </cell>
          <cell r="D27" t="str">
            <v>IMPUESTO 5% PASAJES INTERNACIONALES</v>
          </cell>
          <cell r="E27">
            <v>8559.2999999999993</v>
          </cell>
          <cell r="H27">
            <v>2.4906011884203664E-2</v>
          </cell>
          <cell r="I27">
            <v>0</v>
          </cell>
          <cell r="M27" t="str">
            <v xml:space="preserve">NUMERAL </v>
          </cell>
          <cell r="N27" t="str">
            <v>0004</v>
          </cell>
          <cell r="O27" t="str">
            <v>IMPUESTO 5% PASAJES INTERNACIONALES</v>
          </cell>
          <cell r="P27">
            <v>8559.2999999999993</v>
          </cell>
        </row>
        <row r="28">
          <cell r="B28" t="str">
            <v xml:space="preserve">NUMERAL </v>
          </cell>
          <cell r="C28" t="str">
            <v>0006</v>
          </cell>
          <cell r="D28" t="str">
            <v>IMPUESTO DE TIMBRE NACIONAL SOBRE SALIDAS AL EXT.</v>
          </cell>
          <cell r="E28">
            <v>13405.7</v>
          </cell>
          <cell r="F28">
            <v>27666</v>
          </cell>
          <cell r="G28">
            <v>106.37490022900704</v>
          </cell>
          <cell r="H28">
            <v>3.9008157619906898E-2</v>
          </cell>
          <cell r="I28">
            <v>6.9515022044256053E-2</v>
          </cell>
          <cell r="M28" t="str">
            <v xml:space="preserve">NUMERAL </v>
          </cell>
          <cell r="N28" t="str">
            <v>0006</v>
          </cell>
          <cell r="O28" t="str">
            <v>IMPUESTO DE TIMBRE NACIONAL SOBRE SALIDAS AL EXT.</v>
          </cell>
          <cell r="P28">
            <v>13405.7</v>
          </cell>
          <cell r="Q28">
            <v>21100</v>
          </cell>
          <cell r="R28">
            <v>27666</v>
          </cell>
          <cell r="S28">
            <v>106.37490022900704</v>
          </cell>
          <cell r="T28">
            <v>31.118483412322284</v>
          </cell>
        </row>
        <row r="29">
          <cell r="B29" t="str">
            <v xml:space="preserve">NUMERAL </v>
          </cell>
          <cell r="C29" t="str">
            <v>0007</v>
          </cell>
          <cell r="D29" t="str">
            <v>IMPUESTO AL ORO Y AL PLATINO</v>
          </cell>
          <cell r="E29">
            <v>1777</v>
          </cell>
          <cell r="F29">
            <v>3314</v>
          </cell>
          <cell r="G29">
            <v>86.494091164884651</v>
          </cell>
          <cell r="H29">
            <v>5.1707479721741162E-3</v>
          </cell>
          <cell r="I29">
            <v>8.3269277472227485E-3</v>
          </cell>
          <cell r="M29" t="str">
            <v xml:space="preserve">NUMERAL </v>
          </cell>
          <cell r="N29" t="str">
            <v>0007</v>
          </cell>
          <cell r="O29" t="str">
            <v>IMPUESTO AL ORO Y AL PLATINO</v>
          </cell>
          <cell r="P29">
            <v>1777</v>
          </cell>
          <cell r="Q29">
            <v>1777</v>
          </cell>
          <cell r="R29">
            <v>3314</v>
          </cell>
          <cell r="S29">
            <v>86.494091164884651</v>
          </cell>
          <cell r="T29">
            <v>86.494091164884651</v>
          </cell>
        </row>
        <row r="30">
          <cell r="B30" t="str">
            <v xml:space="preserve">NUMERAL </v>
          </cell>
          <cell r="C30" t="str">
            <v>0008</v>
          </cell>
          <cell r="D30" t="str">
            <v>OTROS</v>
          </cell>
          <cell r="E30">
            <v>0</v>
          </cell>
          <cell r="G30" t="e">
            <v>#DIV/0!</v>
          </cell>
          <cell r="H30">
            <v>0</v>
          </cell>
          <cell r="I30">
            <v>0</v>
          </cell>
          <cell r="M30" t="str">
            <v xml:space="preserve">NUMERAL </v>
          </cell>
          <cell r="N30" t="str">
            <v>0008</v>
          </cell>
          <cell r="O30" t="str">
            <v>OTROS</v>
          </cell>
          <cell r="P30">
            <v>0</v>
          </cell>
          <cell r="S30" t="e">
            <v>#DIV/0!</v>
          </cell>
          <cell r="T30" t="e">
            <v>#DIV/0!</v>
          </cell>
        </row>
        <row r="31">
          <cell r="H31">
            <v>0</v>
          </cell>
          <cell r="I31">
            <v>0</v>
          </cell>
        </row>
        <row r="32">
          <cell r="B32" t="str">
            <v>1.2</v>
          </cell>
          <cell r="C32" t="str">
            <v>INGRESOS NO TRIBUTARIOS</v>
          </cell>
          <cell r="E32">
            <v>364505.12584699999</v>
          </cell>
          <cell r="F32">
            <v>444356.99999953806</v>
          </cell>
          <cell r="G32">
            <v>21.906927637021955</v>
          </cell>
          <cell r="H32">
            <v>1.0606438606192721</v>
          </cell>
          <cell r="I32">
            <v>1.1165143732555256</v>
          </cell>
          <cell r="M32" t="str">
            <v>1.2</v>
          </cell>
          <cell r="N32" t="str">
            <v>INGRESOS NO TRIBUTARIOS</v>
          </cell>
          <cell r="P32">
            <v>364505.12584699999</v>
          </cell>
          <cell r="Q32">
            <v>575100</v>
          </cell>
          <cell r="R32">
            <v>444356.99999953806</v>
          </cell>
          <cell r="S32">
            <v>21.906927637021955</v>
          </cell>
          <cell r="T32">
            <v>-22.733959311504425</v>
          </cell>
        </row>
        <row r="33">
          <cell r="C33" t="str">
            <v>1.2.1.</v>
          </cell>
          <cell r="D33" t="str">
            <v>TASAS Y MULTAS</v>
          </cell>
          <cell r="E33">
            <v>364505.12584699999</v>
          </cell>
          <cell r="F33">
            <v>444356.99999953806</v>
          </cell>
          <cell r="G33">
            <v>21.906927637021955</v>
          </cell>
          <cell r="H33">
            <v>1.0606438606192721</v>
          </cell>
          <cell r="I33">
            <v>1.1165143732555256</v>
          </cell>
          <cell r="N33" t="str">
            <v>1.2.1.</v>
          </cell>
          <cell r="O33" t="str">
            <v>TASAS Y MULTAS</v>
          </cell>
          <cell r="P33">
            <v>364505.12584699999</v>
          </cell>
          <cell r="Q33">
            <v>575100</v>
          </cell>
          <cell r="R33">
            <v>444356.99999953806</v>
          </cell>
          <cell r="S33">
            <v>21.906927637021955</v>
          </cell>
          <cell r="T33">
            <v>-22.733959311504425</v>
          </cell>
        </row>
        <row r="34">
          <cell r="B34" t="str">
            <v xml:space="preserve">NUMERAL </v>
          </cell>
          <cell r="C34" t="str">
            <v>0002</v>
          </cell>
          <cell r="D34" t="str">
            <v>OTRAS TASAS, MULTAS Y CONTRIBUCIONES NO ESPECIFICADAS</v>
          </cell>
          <cell r="E34">
            <v>11595.076499999999</v>
          </cell>
          <cell r="F34">
            <v>60326</v>
          </cell>
          <cell r="G34">
            <v>420.27254843898618</v>
          </cell>
          <cell r="H34">
            <v>3.3739571355981289E-2</v>
          </cell>
          <cell r="I34">
            <v>0.15157822669853938</v>
          </cell>
          <cell r="M34" t="str">
            <v xml:space="preserve">NUMERAL </v>
          </cell>
          <cell r="N34" t="str">
            <v>0002</v>
          </cell>
          <cell r="O34" t="str">
            <v>OTRAS TASAS, MULTAS Y CONTRIBUCIONES NO ESPECIFICADAS</v>
          </cell>
          <cell r="P34">
            <v>11595.076499999999</v>
          </cell>
          <cell r="Q34">
            <v>11500</v>
          </cell>
          <cell r="R34">
            <v>60326</v>
          </cell>
          <cell r="S34">
            <v>420.27254843898618</v>
          </cell>
          <cell r="T34">
            <v>424.57391304347823</v>
          </cell>
        </row>
        <row r="35">
          <cell r="B35" t="str">
            <v xml:space="preserve">NUMERAL </v>
          </cell>
          <cell r="C35" t="str">
            <v>0003</v>
          </cell>
          <cell r="D35" t="str">
            <v>CONTRIBUCION ESPECIAL POR EXPLOTACION O EXPORTACION</v>
          </cell>
          <cell r="H35">
            <v>0</v>
          </cell>
          <cell r="I35">
            <v>0</v>
          </cell>
          <cell r="M35" t="str">
            <v xml:space="preserve">NUMERAL </v>
          </cell>
          <cell r="N35" t="str">
            <v>0003</v>
          </cell>
          <cell r="O35" t="str">
            <v>CONTRIBUCION ESPECIAL POR EXPLOTACION O EXPORTACION</v>
          </cell>
        </row>
        <row r="36">
          <cell r="D36" t="str">
            <v>DE PETROLEO CRUDO, GAS LIBRE, CARBON Y FERRONIQUEL</v>
          </cell>
          <cell r="E36">
            <v>164620</v>
          </cell>
          <cell r="F36">
            <v>34844.999999538064</v>
          </cell>
          <cell r="G36">
            <v>-78.833070101118906</v>
          </cell>
          <cell r="H36">
            <v>0.47901436757417171</v>
          </cell>
          <cell r="I36">
            <v>8.7553348626472599E-2</v>
          </cell>
          <cell r="O36" t="str">
            <v>DE PETROLEO CRUDO, GAS LIBRE, CARBON Y FERRONIQUEL</v>
          </cell>
          <cell r="P36">
            <v>164620</v>
          </cell>
          <cell r="Q36">
            <v>75600</v>
          </cell>
          <cell r="R36">
            <v>34844.999999538064</v>
          </cell>
          <cell r="S36">
            <v>-78.833070101118906</v>
          </cell>
          <cell r="T36">
            <v>-53.908730159341189</v>
          </cell>
        </row>
        <row r="37">
          <cell r="B37" t="str">
            <v xml:space="preserve">NUMERAL </v>
          </cell>
          <cell r="C37" t="str">
            <v>0004</v>
          </cell>
          <cell r="D37" t="str">
            <v>CONTRIBUCION ESPECIAL DEL 5% SOBRE LOS CONTRATOS DE</v>
          </cell>
          <cell r="E37">
            <v>0</v>
          </cell>
          <cell r="H37">
            <v>0</v>
          </cell>
          <cell r="I37">
            <v>0</v>
          </cell>
          <cell r="M37" t="str">
            <v xml:space="preserve">NUMERAL </v>
          </cell>
          <cell r="N37" t="str">
            <v>0004</v>
          </cell>
          <cell r="O37" t="str">
            <v>CONTRIBUCION ESPECIAL DEL 5% SOBRE LOS CONTRATOS DE</v>
          </cell>
          <cell r="P37">
            <v>0</v>
          </cell>
        </row>
        <row r="38">
          <cell r="D38" t="str">
            <v>OBRAS PUBLICAS DEL ORDEN NACIONAL, LEY 104 DE 1993</v>
          </cell>
          <cell r="E38">
            <v>28326.2441</v>
          </cell>
          <cell r="H38">
            <v>8.2424237050863283E-2</v>
          </cell>
          <cell r="I38">
            <v>0</v>
          </cell>
          <cell r="O38" t="str">
            <v>OBRAS PUBLICAS DEL ORDEN NACIONAL, LEY 104 DE 1993</v>
          </cell>
          <cell r="P38">
            <v>28326.2441</v>
          </cell>
          <cell r="Q38">
            <v>28300</v>
          </cell>
        </row>
        <row r="39">
          <cell r="B39" t="str">
            <v xml:space="preserve">NUMERAL </v>
          </cell>
          <cell r="C39" t="str">
            <v>0005</v>
          </cell>
          <cell r="D39" t="str">
            <v>FONDO DE RECURSOS DEL SUPERAVIT DE LA NACION</v>
          </cell>
          <cell r="E39">
            <v>138439.12584699999</v>
          </cell>
          <cell r="F39">
            <v>151520</v>
          </cell>
          <cell r="G39">
            <v>9.4488274705351039</v>
          </cell>
          <cell r="H39">
            <v>0.40283276828527437</v>
          </cell>
          <cell r="I39">
            <v>0.38071698619770394</v>
          </cell>
          <cell r="M39" t="str">
            <v xml:space="preserve">NUMERAL </v>
          </cell>
          <cell r="N39" t="str">
            <v>0005</v>
          </cell>
          <cell r="O39" t="str">
            <v>FONDO DE RECURSOS DEL SUPERAVIT DE LA NACION</v>
          </cell>
          <cell r="P39">
            <v>138439.12584699999</v>
          </cell>
          <cell r="Q39">
            <v>138400</v>
          </cell>
          <cell r="R39">
            <v>151520</v>
          </cell>
          <cell r="S39">
            <v>9.4488274705351039</v>
          </cell>
          <cell r="T39">
            <v>9.479768786127174</v>
          </cell>
        </row>
        <row r="40">
          <cell r="B40" t="str">
            <v xml:space="preserve">NUMERAL </v>
          </cell>
          <cell r="C40" t="str">
            <v>0006</v>
          </cell>
          <cell r="D40" t="str">
            <v>CONCESION SOCIEDADES PORTUARIAS</v>
          </cell>
          <cell r="E40">
            <v>21524.679400000001</v>
          </cell>
          <cell r="F40">
            <v>17764</v>
          </cell>
          <cell r="G40">
            <v>-17.47147695031407</v>
          </cell>
          <cell r="H40">
            <v>6.2632916352981433E-2</v>
          </cell>
          <cell r="I40">
            <v>4.4634744870749817E-2</v>
          </cell>
          <cell r="M40" t="str">
            <v xml:space="preserve">NUMERAL </v>
          </cell>
          <cell r="N40" t="str">
            <v>0006</v>
          </cell>
          <cell r="O40" t="str">
            <v>CONCESION SOCIEDADES PORTUARIAS</v>
          </cell>
          <cell r="P40">
            <v>21524.679400000001</v>
          </cell>
          <cell r="Q40">
            <v>21300</v>
          </cell>
          <cell r="R40">
            <v>17764</v>
          </cell>
          <cell r="S40">
            <v>-17.47147695031407</v>
          </cell>
          <cell r="T40">
            <v>-16.600938967136148</v>
          </cell>
        </row>
        <row r="41">
          <cell r="B41" t="str">
            <v xml:space="preserve">NUMERAL </v>
          </cell>
          <cell r="C41" t="str">
            <v>0007</v>
          </cell>
          <cell r="D41" t="str">
            <v xml:space="preserve"> CONCESION LARGA DISTANCIA</v>
          </cell>
          <cell r="F41">
            <v>179902</v>
          </cell>
          <cell r="H41">
            <v>0</v>
          </cell>
          <cell r="I41">
            <v>0.45203106686206002</v>
          </cell>
          <cell r="M41" t="str">
            <v xml:space="preserve">NUMERAL </v>
          </cell>
          <cell r="N41" t="str">
            <v>0007</v>
          </cell>
          <cell r="O41" t="str">
            <v xml:space="preserve"> CONCESION LARGA DISTANCIA</v>
          </cell>
          <cell r="Q41">
            <v>300000</v>
          </cell>
          <cell r="R41">
            <v>179902</v>
          </cell>
          <cell r="T41">
            <v>-40.032666666666671</v>
          </cell>
        </row>
        <row r="42">
          <cell r="H42">
            <v>0</v>
          </cell>
          <cell r="I42">
            <v>0</v>
          </cell>
        </row>
        <row r="43">
          <cell r="A43" t="str">
            <v>2.</v>
          </cell>
          <cell r="B43" t="str">
            <v>RECURSOS DE CAPITAL</v>
          </cell>
          <cell r="E43">
            <v>16847606.002560999</v>
          </cell>
          <cell r="F43">
            <v>19182007.865153998</v>
          </cell>
          <cell r="G43">
            <v>13.855985605540312</v>
          </cell>
          <cell r="H43">
            <v>49.023480345374651</v>
          </cell>
          <cell r="I43">
            <v>48.197704749485766</v>
          </cell>
          <cell r="L43" t="str">
            <v>2.</v>
          </cell>
          <cell r="M43" t="str">
            <v>RECURSOS DE CAPITAL</v>
          </cell>
          <cell r="P43">
            <v>16847606.002560999</v>
          </cell>
          <cell r="Q43">
            <v>16847606.002560999</v>
          </cell>
          <cell r="R43">
            <v>19182007.865153998</v>
          </cell>
          <cell r="S43">
            <v>13.855985605540312</v>
          </cell>
          <cell r="T43">
            <v>13.855985605540312</v>
          </cell>
        </row>
        <row r="44">
          <cell r="H44">
            <v>0</v>
          </cell>
          <cell r="I44">
            <v>0</v>
          </cell>
        </row>
        <row r="45">
          <cell r="B45" t="str">
            <v>2.5. RECURSOS DEL CREDITO EXTERNO</v>
          </cell>
          <cell r="E45">
            <v>3352906.6945369998</v>
          </cell>
          <cell r="F45">
            <v>5299805.9730000002</v>
          </cell>
          <cell r="G45">
            <v>58.066014232819143</v>
          </cell>
          <cell r="H45">
            <v>9.7563508675668036</v>
          </cell>
          <cell r="I45">
            <v>13.316566509194494</v>
          </cell>
          <cell r="M45" t="str">
            <v>2.5. RECURSOS DEL CREDITO EXTERNO</v>
          </cell>
          <cell r="P45">
            <v>3352906.6945369998</v>
          </cell>
          <cell r="Q45">
            <v>3352906.6945369998</v>
          </cell>
          <cell r="R45">
            <v>5299805.9730000002</v>
          </cell>
          <cell r="S45">
            <v>58.066014232819143</v>
          </cell>
          <cell r="T45">
            <v>58.066014232819143</v>
          </cell>
        </row>
        <row r="46">
          <cell r="B46" t="str">
            <v>2.6. RECURSOS DEL CREDITO INTERNO</v>
          </cell>
          <cell r="E46">
            <v>10983664.808024</v>
          </cell>
          <cell r="F46">
            <v>9735498.8921539988</v>
          </cell>
          <cell r="G46">
            <v>-11.363838369850532</v>
          </cell>
          <cell r="H46">
            <v>31.960474132318691</v>
          </cell>
          <cell r="I46">
            <v>24.461917881150715</v>
          </cell>
          <cell r="M46" t="str">
            <v>2.6. RECURSOS DEL CREDITO INTERNO</v>
          </cell>
          <cell r="P46">
            <v>10983664.808024</v>
          </cell>
          <cell r="Q46">
            <v>10983664.808024</v>
          </cell>
          <cell r="R46">
            <v>9735498.8921539988</v>
          </cell>
          <cell r="S46">
            <v>-11.363838369850532</v>
          </cell>
          <cell r="T46">
            <v>-11.363838369850532</v>
          </cell>
        </row>
        <row r="47">
          <cell r="B47" t="str">
            <v>2.7. OTROS RECURSOS DE CAPITAL</v>
          </cell>
          <cell r="E47">
            <v>2511034.5</v>
          </cell>
          <cell r="F47">
            <v>4146703</v>
          </cell>
          <cell r="G47">
            <v>65.13922847336427</v>
          </cell>
          <cell r="H47">
            <v>7.3066553454891654</v>
          </cell>
          <cell r="I47">
            <v>10.419220359140558</v>
          </cell>
          <cell r="M47" t="str">
            <v>2.7. OTROS RECURSOS DE CAPITAL</v>
          </cell>
          <cell r="P47">
            <v>2511034.5</v>
          </cell>
          <cell r="Q47">
            <v>2511034.5</v>
          </cell>
          <cell r="R47">
            <v>4146703</v>
          </cell>
          <cell r="S47">
            <v>65.13922847336427</v>
          </cell>
          <cell r="T47">
            <v>65.13922847336427</v>
          </cell>
        </row>
        <row r="48">
          <cell r="B48" t="str">
            <v>NUMERAL 0001</v>
          </cell>
          <cell r="D48" t="str">
            <v>RECUPERACION DE CARTERA</v>
          </cell>
          <cell r="E48">
            <v>141600</v>
          </cell>
          <cell r="F48">
            <v>214023</v>
          </cell>
          <cell r="G48">
            <v>51.146186440677965</v>
          </cell>
          <cell r="H48">
            <v>0.41203033925709337</v>
          </cell>
          <cell r="I48">
            <v>0.53776525565596089</v>
          </cell>
          <cell r="M48" t="str">
            <v>NUMERAL 0001</v>
          </cell>
          <cell r="O48" t="str">
            <v>RECUPERACION DE CARTERA</v>
          </cell>
          <cell r="P48">
            <v>141600</v>
          </cell>
          <cell r="Q48">
            <v>141600</v>
          </cell>
          <cell r="R48">
            <v>214023</v>
          </cell>
          <cell r="S48">
            <v>51.146186440677965</v>
          </cell>
          <cell r="T48">
            <v>51.146186440677965</v>
          </cell>
        </row>
        <row r="49">
          <cell r="B49" t="str">
            <v>NUMERAL 0002</v>
          </cell>
          <cell r="D49" t="str">
            <v>RENDIMIENTOS FINANCIEROS</v>
          </cell>
          <cell r="E49">
            <v>320600</v>
          </cell>
          <cell r="F49">
            <v>179500</v>
          </cell>
          <cell r="G49">
            <v>-44.011228945726764</v>
          </cell>
          <cell r="H49">
            <v>0.93288790088858853</v>
          </cell>
          <cell r="I49">
            <v>0.45102098087703174</v>
          </cell>
          <cell r="M49" t="str">
            <v>NUMERAL 0002</v>
          </cell>
          <cell r="O49" t="str">
            <v>RENDIMIENTOS FINANCIEROS</v>
          </cell>
          <cell r="P49">
            <v>320600</v>
          </cell>
          <cell r="Q49">
            <v>320600</v>
          </cell>
          <cell r="R49">
            <v>179500</v>
          </cell>
          <cell r="S49">
            <v>-44.011228945726764</v>
          </cell>
          <cell r="T49">
            <v>-44.011228945726764</v>
          </cell>
        </row>
        <row r="50">
          <cell r="B50" t="str">
            <v>NUMERAL 0003</v>
          </cell>
          <cell r="D50" t="str">
            <v>DONACIONES</v>
          </cell>
          <cell r="E50">
            <v>13171.37456</v>
          </cell>
          <cell r="F50">
            <v>2270</v>
          </cell>
          <cell r="G50">
            <v>-82.765656009102216</v>
          </cell>
          <cell r="H50">
            <v>3.832631305394809E-2</v>
          </cell>
          <cell r="I50">
            <v>5.7037193681942176E-3</v>
          </cell>
          <cell r="M50" t="str">
            <v>NUMERAL 0003</v>
          </cell>
          <cell r="O50" t="str">
            <v>DONACIONES</v>
          </cell>
          <cell r="P50">
            <v>13171.37456</v>
          </cell>
          <cell r="Q50">
            <v>13171.37456</v>
          </cell>
          <cell r="R50">
            <v>2270</v>
          </cell>
          <cell r="S50">
            <v>-82.765656009102216</v>
          </cell>
          <cell r="T50">
            <v>-82.765656009102216</v>
          </cell>
        </row>
        <row r="51">
          <cell r="B51" t="str">
            <v>NUMERAL 0004</v>
          </cell>
          <cell r="D51" t="str">
            <v>DIFERENCIAL CAMBIARIO</v>
          </cell>
          <cell r="F51">
            <v>0</v>
          </cell>
          <cell r="H51">
            <v>0</v>
          </cell>
          <cell r="I51">
            <v>0</v>
          </cell>
          <cell r="M51" t="str">
            <v>NUMERAL 0004</v>
          </cell>
          <cell r="O51" t="str">
            <v>DIFERENCIAL CAMBIARIO</v>
          </cell>
          <cell r="R51">
            <v>0</v>
          </cell>
        </row>
        <row r="52">
          <cell r="B52" t="str">
            <v>NUMERAL 0005</v>
          </cell>
          <cell r="D52" t="str">
            <v>ENAJENACION DE ACTIVOS</v>
          </cell>
          <cell r="E52">
            <v>995800</v>
          </cell>
          <cell r="F52">
            <v>2162600</v>
          </cell>
          <cell r="G52">
            <v>117.17212291624826</v>
          </cell>
          <cell r="H52">
            <v>2.8975975411879489</v>
          </cell>
          <cell r="I52">
            <v>5.4338605751792137</v>
          </cell>
          <cell r="M52" t="str">
            <v>NUMERAL 0005</v>
          </cell>
          <cell r="O52" t="str">
            <v>ENAJENACION DE ACTIVOS</v>
          </cell>
          <cell r="P52">
            <v>995800</v>
          </cell>
          <cell r="Q52">
            <v>995800</v>
          </cell>
          <cell r="R52">
            <v>2162600</v>
          </cell>
          <cell r="S52">
            <v>117.17212291624826</v>
          </cell>
          <cell r="T52">
            <v>117.17212291624826</v>
          </cell>
        </row>
        <row r="53">
          <cell r="B53" t="str">
            <v>NUMERAL 0006</v>
          </cell>
          <cell r="C53" t="str">
            <v>0009</v>
          </cell>
          <cell r="D53" t="str">
            <v>REINTEGROS Y OTROS RECURSOS NO APROPIADOS</v>
          </cell>
          <cell r="E53">
            <v>234963.12544</v>
          </cell>
          <cell r="F53">
            <v>190000</v>
          </cell>
          <cell r="G53">
            <v>-19.136247594511058</v>
          </cell>
          <cell r="H53">
            <v>0.68370011502789674</v>
          </cell>
          <cell r="I53">
            <v>0.47740382376956003</v>
          </cell>
          <cell r="M53" t="str">
            <v>NUMERAL 0006</v>
          </cell>
          <cell r="N53" t="str">
            <v>0009</v>
          </cell>
          <cell r="O53" t="str">
            <v>REINTEGROS Y OTROS RECURSOS NO APROPIADOS</v>
          </cell>
          <cell r="P53">
            <v>234963.12544</v>
          </cell>
          <cell r="Q53">
            <v>234963.12544</v>
          </cell>
          <cell r="R53">
            <v>190000</v>
          </cell>
          <cell r="S53">
            <v>-19.136247594511058</v>
          </cell>
          <cell r="T53">
            <v>-19.136247594511058</v>
          </cell>
        </row>
        <row r="54">
          <cell r="B54" t="str">
            <v>NUMERAL 0010</v>
          </cell>
          <cell r="D54" t="str">
            <v>SUPERAVIT DE LA NACION</v>
          </cell>
          <cell r="F54">
            <v>335010</v>
          </cell>
          <cell r="H54">
            <v>0</v>
          </cell>
          <cell r="I54">
            <v>0.84176344737389652</v>
          </cell>
          <cell r="M54" t="str">
            <v>NUMERAL 0010</v>
          </cell>
          <cell r="O54" t="str">
            <v>SUPERAVIT DE LA NACION</v>
          </cell>
          <cell r="R54">
            <v>335010</v>
          </cell>
        </row>
        <row r="55">
          <cell r="B55" t="str">
            <v>NUMERAL 0011</v>
          </cell>
          <cell r="D55" t="str">
            <v xml:space="preserve">EXCEDENTES FINANCIEROS ENTIDADES DESCENTRALIZADAS </v>
          </cell>
          <cell r="E55">
            <v>804900</v>
          </cell>
          <cell r="F55">
            <v>1063300</v>
          </cell>
          <cell r="G55">
            <v>32.103366877873029</v>
          </cell>
          <cell r="H55">
            <v>2.3421131360736895</v>
          </cell>
          <cell r="I55">
            <v>2.6717025569167014</v>
          </cell>
          <cell r="M55" t="str">
            <v>NUMERAL 0011</v>
          </cell>
          <cell r="O55" t="str">
            <v xml:space="preserve">EXCEDENTES FINANCIEROS ENTIDADES DESCENTRALIZADAS </v>
          </cell>
          <cell r="P55">
            <v>804900</v>
          </cell>
          <cell r="Q55">
            <v>804900</v>
          </cell>
          <cell r="R55">
            <v>1063300</v>
          </cell>
          <cell r="S55">
            <v>32.103366877873029</v>
          </cell>
          <cell r="T55">
            <v>32.103366877873029</v>
          </cell>
        </row>
        <row r="56">
          <cell r="D56" t="str">
            <v>DEL ORDEN NACIONAL</v>
          </cell>
          <cell r="F56">
            <v>0</v>
          </cell>
          <cell r="H56">
            <v>0</v>
          </cell>
          <cell r="I56">
            <v>0</v>
          </cell>
          <cell r="O56" t="str">
            <v>DEL ORDEN NACIONAL</v>
          </cell>
          <cell r="R56">
            <v>0</v>
          </cell>
        </row>
        <row r="57">
          <cell r="H57">
            <v>0</v>
          </cell>
          <cell r="I57">
            <v>0</v>
          </cell>
        </row>
        <row r="58">
          <cell r="A58">
            <v>3</v>
          </cell>
          <cell r="B58" t="str">
            <v>RENTAS PARAFISCALES</v>
          </cell>
          <cell r="E58">
            <v>742831.93553000002</v>
          </cell>
          <cell r="F58">
            <v>495721.437148</v>
          </cell>
          <cell r="G58">
            <v>-33.266003595509154</v>
          </cell>
          <cell r="H58">
            <v>2.1615063164366468</v>
          </cell>
          <cell r="I58">
            <v>1.2455753137841938</v>
          </cell>
          <cell r="L58">
            <v>3</v>
          </cell>
          <cell r="M58" t="str">
            <v>RENTAS PARAFISCALES</v>
          </cell>
          <cell r="P58">
            <v>742831.93553000002</v>
          </cell>
          <cell r="Q58">
            <v>742831.93553000002</v>
          </cell>
          <cell r="R58">
            <v>495721.437148</v>
          </cell>
          <cell r="S58">
            <v>-33.266003595509154</v>
          </cell>
          <cell r="T58">
            <v>-33.266003595509154</v>
          </cell>
        </row>
        <row r="59">
          <cell r="B59" t="str">
            <v xml:space="preserve">NUMERAL </v>
          </cell>
          <cell r="C59" t="str">
            <v>0001</v>
          </cell>
          <cell r="D59" t="str">
            <v>FONDO DE PRESTACIONES SOCIALES DEL MAGISTERIO</v>
          </cell>
          <cell r="E59">
            <v>742831.93553000002</v>
          </cell>
          <cell r="F59">
            <v>495721.437148</v>
          </cell>
          <cell r="G59">
            <v>-33.266003595509154</v>
          </cell>
          <cell r="H59">
            <v>2.1615063164366468</v>
          </cell>
          <cell r="I59">
            <v>1.2455753137841938</v>
          </cell>
          <cell r="M59" t="str">
            <v xml:space="preserve">NUMERAL </v>
          </cell>
          <cell r="N59" t="str">
            <v>0001</v>
          </cell>
          <cell r="O59" t="str">
            <v>FONDO DE PRESTACIONES SOCIALES DEL MAGISTERIO</v>
          </cell>
          <cell r="P59">
            <v>742831.93553000002</v>
          </cell>
          <cell r="Q59">
            <v>742831.93553000002</v>
          </cell>
          <cell r="R59">
            <v>495721.437148</v>
          </cell>
          <cell r="S59">
            <v>-33.266003595509154</v>
          </cell>
          <cell r="T59">
            <v>-33.266003595509154</v>
          </cell>
        </row>
        <row r="60">
          <cell r="H60">
            <v>0</v>
          </cell>
          <cell r="I60">
            <v>0</v>
          </cell>
        </row>
        <row r="61">
          <cell r="A61">
            <v>4</v>
          </cell>
          <cell r="B61" t="str">
            <v>FONDOS ESPECIALES</v>
          </cell>
          <cell r="E61">
            <v>1802005.268379</v>
          </cell>
          <cell r="F61">
            <v>2306878.6946720001</v>
          </cell>
          <cell r="G61">
            <v>28.017311333787642</v>
          </cell>
          <cell r="H61">
            <v>5.2435087717038771</v>
          </cell>
          <cell r="I61">
            <v>5.7963826832049703</v>
          </cell>
          <cell r="L61">
            <v>4</v>
          </cell>
          <cell r="M61" t="str">
            <v>FONDOS ESPECIALES</v>
          </cell>
          <cell r="P61">
            <v>1802005.268379</v>
          </cell>
          <cell r="Q61">
            <v>1802005.268379</v>
          </cell>
          <cell r="R61">
            <v>2306878.6946720001</v>
          </cell>
          <cell r="S61">
            <v>28.017311333787642</v>
          </cell>
          <cell r="T61">
            <v>28.017311333787642</v>
          </cell>
        </row>
        <row r="62">
          <cell r="B62" t="str">
            <v xml:space="preserve">NUMERAL </v>
          </cell>
          <cell r="C62" t="str">
            <v>0002</v>
          </cell>
          <cell r="D62" t="str">
            <v>CONTRIB. ENTIDADES FISCALIZADAS POR LA CONTRALORIA</v>
          </cell>
          <cell r="E62">
            <v>105196.789244</v>
          </cell>
          <cell r="F62">
            <v>121624.162707</v>
          </cell>
          <cell r="G62">
            <v>15.615850617738269</v>
          </cell>
          <cell r="H62">
            <v>0.30610359294464884</v>
          </cell>
          <cell r="I62">
            <v>0.30559915967943652</v>
          </cell>
          <cell r="M62" t="str">
            <v xml:space="preserve">NUMERAL </v>
          </cell>
          <cell r="N62" t="str">
            <v>0002</v>
          </cell>
          <cell r="O62" t="str">
            <v>CONTRIB. ENTIDADES FISCALIZADAS POR LA CONTRALORIA</v>
          </cell>
          <cell r="P62">
            <v>105196.789244</v>
          </cell>
          <cell r="Q62">
            <v>105196.789244</v>
          </cell>
          <cell r="R62">
            <v>121624.162707</v>
          </cell>
          <cell r="S62">
            <v>15.615850617738269</v>
          </cell>
          <cell r="T62">
            <v>15.615850617738269</v>
          </cell>
        </row>
        <row r="63">
          <cell r="B63" t="str">
            <v xml:space="preserve">NUMERAL </v>
          </cell>
          <cell r="C63" t="str">
            <v>0003</v>
          </cell>
          <cell r="D63" t="str">
            <v>CONTRIB. SUPERINTENDENCIA DEL SUBSIDIO FAMILIAR</v>
          </cell>
          <cell r="E63">
            <v>3085.2217500000002</v>
          </cell>
          <cell r="F63">
            <v>4062.721</v>
          </cell>
          <cell r="G63">
            <v>31.683273657720058</v>
          </cell>
          <cell r="H63">
            <v>8.9774361888125959E-3</v>
          </cell>
          <cell r="I63">
            <v>1.0208202843731005E-2</v>
          </cell>
          <cell r="M63" t="str">
            <v xml:space="preserve">NUMERAL </v>
          </cell>
          <cell r="N63" t="str">
            <v>0003</v>
          </cell>
          <cell r="O63" t="str">
            <v>CONTRIB. SUPERINTENDENCIA DEL SUBSIDIO FAMILIAR</v>
          </cell>
          <cell r="P63">
            <v>3085.2217500000002</v>
          </cell>
          <cell r="Q63">
            <v>3085.2217500000002</v>
          </cell>
          <cell r="R63">
            <v>4062.721</v>
          </cell>
          <cell r="S63">
            <v>31.683273657720058</v>
          </cell>
          <cell r="T63">
            <v>31.683273657720058</v>
          </cell>
        </row>
        <row r="64">
          <cell r="B64" t="str">
            <v xml:space="preserve">NUMERAL </v>
          </cell>
          <cell r="C64" t="str">
            <v>0004</v>
          </cell>
          <cell r="D64" t="str">
            <v>CONTRIBUCIONES SUPERBANCARIA</v>
          </cell>
          <cell r="E64">
            <v>47355.664632</v>
          </cell>
          <cell r="F64">
            <v>53962.781024000004</v>
          </cell>
          <cell r="G64">
            <v>13.952114162780283</v>
          </cell>
          <cell r="H64">
            <v>0.1377964022886165</v>
          </cell>
          <cell r="I64">
            <v>0.13558967369524769</v>
          </cell>
          <cell r="M64" t="str">
            <v xml:space="preserve">NUMERAL </v>
          </cell>
          <cell r="N64" t="str">
            <v>0004</v>
          </cell>
          <cell r="O64" t="str">
            <v>CONTRIBUCIONES SUPERBANCARIA</v>
          </cell>
          <cell r="P64">
            <v>47355.664632</v>
          </cell>
          <cell r="Q64">
            <v>47355.664632</v>
          </cell>
          <cell r="R64">
            <v>53962.781024000004</v>
          </cell>
          <cell r="S64">
            <v>13.952114162780283</v>
          </cell>
          <cell r="T64">
            <v>13.952114162780283</v>
          </cell>
        </row>
        <row r="65">
          <cell r="B65" t="str">
            <v xml:space="preserve">NUMERAL </v>
          </cell>
          <cell r="C65" t="str">
            <v>0005</v>
          </cell>
          <cell r="D65" t="str">
            <v>SUPERINTENDENCIA INDUSTRIA Y COMERCIO</v>
          </cell>
          <cell r="E65">
            <v>9864.1455929999993</v>
          </cell>
          <cell r="F65">
            <v>11383.514219000001</v>
          </cell>
          <cell r="G65">
            <v>15.402942015355169</v>
          </cell>
          <cell r="H65">
            <v>2.8702876095799093E-2</v>
          </cell>
          <cell r="I65">
            <v>2.8602806400451358E-2</v>
          </cell>
          <cell r="M65" t="str">
            <v xml:space="preserve">NUMERAL </v>
          </cell>
          <cell r="N65" t="str">
            <v>0005</v>
          </cell>
          <cell r="O65" t="str">
            <v>SUPERINTENDENCIA INDUSTRIA Y COMERCIO</v>
          </cell>
          <cell r="P65">
            <v>9864.1455929999993</v>
          </cell>
          <cell r="Q65">
            <v>9864.1455929999993</v>
          </cell>
          <cell r="R65">
            <v>11383.514219000001</v>
          </cell>
          <cell r="S65">
            <v>15.402942015355169</v>
          </cell>
          <cell r="T65">
            <v>15.402942015355169</v>
          </cell>
        </row>
        <row r="66">
          <cell r="B66" t="str">
            <v xml:space="preserve">NUMERAL </v>
          </cell>
          <cell r="C66" t="str">
            <v>0006</v>
          </cell>
          <cell r="D66" t="str">
            <v>SUPERINTENDENCIA NACIONAL DE VALORES</v>
          </cell>
          <cell r="E66">
            <v>1659.725173</v>
          </cell>
          <cell r="F66">
            <v>1892.087</v>
          </cell>
          <cell r="G66">
            <v>14.000018242779277</v>
          </cell>
          <cell r="H66">
            <v>4.8294994781407346E-3</v>
          </cell>
          <cell r="I66">
            <v>4.7541556247614513E-3</v>
          </cell>
          <cell r="M66" t="str">
            <v xml:space="preserve">NUMERAL </v>
          </cell>
          <cell r="N66" t="str">
            <v>0006</v>
          </cell>
          <cell r="O66" t="str">
            <v>SUPERINTENDENCIA NACIONAL DE VALORES</v>
          </cell>
          <cell r="P66">
            <v>1659.725173</v>
          </cell>
          <cell r="Q66">
            <v>1659.725173</v>
          </cell>
          <cell r="R66">
            <v>1892.087</v>
          </cell>
          <cell r="S66">
            <v>14.000018242779277</v>
          </cell>
          <cell r="T66">
            <v>14.000018242779277</v>
          </cell>
        </row>
        <row r="67">
          <cell r="B67" t="str">
            <v xml:space="preserve">NUMERAL </v>
          </cell>
          <cell r="C67" t="str">
            <v>0007</v>
          </cell>
          <cell r="D67" t="str">
            <v>CONTRIB. ENTIDADES CONTROLADAS POR SUPERPUERTOS</v>
          </cell>
          <cell r="E67">
            <v>13025.01237</v>
          </cell>
          <cell r="F67">
            <v>19847.386159999998</v>
          </cell>
          <cell r="G67">
            <v>52.379019660002044</v>
          </cell>
          <cell r="H67">
            <v>3.7900425604794757E-2</v>
          </cell>
          <cell r="I67">
            <v>4.9869568655868661E-2</v>
          </cell>
          <cell r="M67" t="str">
            <v xml:space="preserve">NUMERAL </v>
          </cell>
          <cell r="N67" t="str">
            <v>0007</v>
          </cell>
          <cell r="O67" t="str">
            <v>CONTRIB. ENTIDADES CONTROLADAS POR SUPERPUERTOS</v>
          </cell>
          <cell r="P67">
            <v>13025.01237</v>
          </cell>
          <cell r="Q67">
            <v>13025.01237</v>
          </cell>
          <cell r="R67">
            <v>19847.386159999998</v>
          </cell>
          <cell r="S67">
            <v>52.379019660002044</v>
          </cell>
          <cell r="T67">
            <v>52.379019660002044</v>
          </cell>
        </row>
        <row r="68">
          <cell r="B68" t="str">
            <v xml:space="preserve">NUMERAL </v>
          </cell>
          <cell r="C68" t="str">
            <v>0008</v>
          </cell>
          <cell r="D68" t="str">
            <v>CONTRIBUCION PARA LA DESCENTRALIZACIÓN</v>
          </cell>
          <cell r="E68">
            <v>154000</v>
          </cell>
          <cell r="F68">
            <v>206597.15109500001</v>
          </cell>
          <cell r="G68">
            <v>34.153994217532471</v>
          </cell>
          <cell r="H68">
            <v>0.44811209212988967</v>
          </cell>
          <cell r="I68">
            <v>0.51910668375079239</v>
          </cell>
          <cell r="M68" t="str">
            <v xml:space="preserve">NUMERAL </v>
          </cell>
          <cell r="N68" t="str">
            <v>0008</v>
          </cell>
          <cell r="O68" t="str">
            <v>CONTRIBUCION PARA LA DESCENTRALIZACIÓN</v>
          </cell>
          <cell r="P68">
            <v>154000</v>
          </cell>
          <cell r="Q68">
            <v>154000</v>
          </cell>
          <cell r="R68">
            <v>206597.15109500001</v>
          </cell>
          <cell r="S68">
            <v>34.153994217532471</v>
          </cell>
          <cell r="T68">
            <v>34.153994217532471</v>
          </cell>
        </row>
        <row r="69">
          <cell r="B69" t="str">
            <v xml:space="preserve">NUMERAL </v>
          </cell>
          <cell r="C69" t="str">
            <v>0009</v>
          </cell>
          <cell r="D69" t="str">
            <v>FINANCIACION SECTOR JUSTICIA</v>
          </cell>
          <cell r="E69">
            <v>70045.265759999995</v>
          </cell>
          <cell r="F69">
            <v>101174.95696700001</v>
          </cell>
          <cell r="G69">
            <v>44.442248693382666</v>
          </cell>
          <cell r="H69">
            <v>0.20381902976303717</v>
          </cell>
          <cell r="I69">
            <v>0.25421742803034997</v>
          </cell>
          <cell r="M69" t="str">
            <v xml:space="preserve">NUMERAL </v>
          </cell>
          <cell r="N69" t="str">
            <v>0009</v>
          </cell>
          <cell r="O69" t="str">
            <v>FINANCIACION SECTOR JUSTICIA</v>
          </cell>
          <cell r="P69">
            <v>70045.265759999995</v>
          </cell>
          <cell r="Q69">
            <v>70045.265759999995</v>
          </cell>
          <cell r="R69">
            <v>101174.95696700001</v>
          </cell>
          <cell r="S69">
            <v>44.442248693382666</v>
          </cell>
          <cell r="T69">
            <v>44.442248693382666</v>
          </cell>
        </row>
        <row r="70">
          <cell r="B70" t="str">
            <v xml:space="preserve">NUMERAL </v>
          </cell>
          <cell r="C70" t="str">
            <v>0010</v>
          </cell>
          <cell r="D70" t="str">
            <v>FONDO DE DEFENSA NACIONAL</v>
          </cell>
          <cell r="F70">
            <v>20970</v>
          </cell>
          <cell r="H70">
            <v>0</v>
          </cell>
          <cell r="I70">
            <v>5.2690306233935134E-2</v>
          </cell>
          <cell r="M70" t="str">
            <v xml:space="preserve">NUMERAL </v>
          </cell>
          <cell r="N70" t="str">
            <v>0010</v>
          </cell>
          <cell r="O70" t="str">
            <v>FONDO DE DEFENSA NACIONAL</v>
          </cell>
          <cell r="Q70">
            <v>0</v>
          </cell>
          <cell r="R70">
            <v>20970</v>
          </cell>
        </row>
        <row r="71">
          <cell r="B71" t="str">
            <v xml:space="preserve">NUMERAL </v>
          </cell>
          <cell r="C71" t="str">
            <v>0011</v>
          </cell>
          <cell r="D71" t="str">
            <v>PRODUCTO ELECTRONICO DE IDIOMAS</v>
          </cell>
          <cell r="F71">
            <v>0</v>
          </cell>
          <cell r="H71">
            <v>0</v>
          </cell>
          <cell r="I71">
            <v>0</v>
          </cell>
          <cell r="M71" t="str">
            <v xml:space="preserve">NUMERAL </v>
          </cell>
          <cell r="N71" t="str">
            <v>0011</v>
          </cell>
          <cell r="O71" t="str">
            <v>PRODUCTO ELECTRONICO DE IDIOMAS</v>
          </cell>
          <cell r="Q71">
            <v>0</v>
          </cell>
          <cell r="R71">
            <v>0</v>
          </cell>
        </row>
        <row r="72">
          <cell r="B72" t="str">
            <v xml:space="preserve">NUMERAL </v>
          </cell>
          <cell r="C72" t="str">
            <v>0012</v>
          </cell>
          <cell r="D72" t="str">
            <v>FONDOS DOCENTES Y ADMINISTRATIVOS  U. NUEVA GRANADA</v>
          </cell>
          <cell r="E72">
            <v>20355.799862</v>
          </cell>
          <cell r="F72">
            <v>0</v>
          </cell>
          <cell r="H72">
            <v>5.9231688721676237E-2</v>
          </cell>
          <cell r="I72">
            <v>0</v>
          </cell>
          <cell r="M72" t="str">
            <v xml:space="preserve">NUMERAL </v>
          </cell>
          <cell r="N72" t="str">
            <v>0012</v>
          </cell>
          <cell r="O72" t="str">
            <v>FONDOS DOCENTES Y ADMINISTRATIVOS  U. NUEVA GRANADA</v>
          </cell>
          <cell r="P72">
            <v>20355.799862</v>
          </cell>
          <cell r="Q72">
            <v>20355.799862</v>
          </cell>
          <cell r="R72">
            <v>0</v>
          </cell>
        </row>
        <row r="73">
          <cell r="B73" t="str">
            <v xml:space="preserve">NUMERAL </v>
          </cell>
          <cell r="C73" t="str">
            <v>0013</v>
          </cell>
          <cell r="D73" t="str">
            <v>FONDO DE ESTUPEFACIENTES-MIN SALUD</v>
          </cell>
          <cell r="E73">
            <v>2112.1638280000002</v>
          </cell>
          <cell r="F73">
            <v>3135.5578780000001</v>
          </cell>
          <cell r="G73">
            <v>48.452399214176857</v>
          </cell>
          <cell r="H73">
            <v>6.1460139732867312E-3</v>
          </cell>
          <cell r="I73">
            <v>7.8785648453050944E-3</v>
          </cell>
          <cell r="M73" t="str">
            <v xml:space="preserve">NUMERAL </v>
          </cell>
          <cell r="N73" t="str">
            <v>0013</v>
          </cell>
          <cell r="O73" t="str">
            <v>FONDO DE ESTUPEFACIENTES-MIN SALUD</v>
          </cell>
          <cell r="P73">
            <v>2112.1638280000002</v>
          </cell>
          <cell r="Q73">
            <v>2112.1638280000002</v>
          </cell>
          <cell r="R73">
            <v>3135.5578780000001</v>
          </cell>
          <cell r="S73">
            <v>48.452399214176857</v>
          </cell>
          <cell r="T73">
            <v>48.452399214176857</v>
          </cell>
        </row>
        <row r="74">
          <cell r="B74" t="str">
            <v xml:space="preserve">NUMERAL </v>
          </cell>
          <cell r="C74" t="str">
            <v>0014</v>
          </cell>
          <cell r="D74" t="str">
            <v xml:space="preserve">FONDOS INTERNOS DEL MINISTERIO DE DEFENSA </v>
          </cell>
          <cell r="E74">
            <v>86435.684122000006</v>
          </cell>
          <cell r="F74">
            <v>95972.661884999994</v>
          </cell>
          <cell r="G74">
            <v>11.033611707797641</v>
          </cell>
          <cell r="H74">
            <v>0.25151217692589423</v>
          </cell>
          <cell r="I74">
            <v>0.24114587242759009</v>
          </cell>
          <cell r="M74" t="str">
            <v xml:space="preserve">NUMERAL </v>
          </cell>
          <cell r="N74" t="str">
            <v>0014</v>
          </cell>
          <cell r="O74" t="str">
            <v xml:space="preserve">FONDOS INTERNOS DEL MINISTERIO DE DEFENSA </v>
          </cell>
          <cell r="P74">
            <v>86435.684122000006</v>
          </cell>
          <cell r="Q74">
            <v>86435.684122000006</v>
          </cell>
          <cell r="R74">
            <v>95972.661884999994</v>
          </cell>
          <cell r="S74">
            <v>11.033611707797641</v>
          </cell>
          <cell r="T74">
            <v>11.033611707797641</v>
          </cell>
        </row>
        <row r="75">
          <cell r="B75" t="str">
            <v xml:space="preserve">NUMERAL </v>
          </cell>
          <cell r="C75" t="str">
            <v>0015</v>
          </cell>
          <cell r="D75" t="str">
            <v xml:space="preserve">FONDOS INTERNOS DE LA POLICIA </v>
          </cell>
          <cell r="E75">
            <v>35492.475507000003</v>
          </cell>
          <cell r="F75">
            <v>39214.421839000002</v>
          </cell>
          <cell r="G75">
            <v>10.486578574283833</v>
          </cell>
          <cell r="H75">
            <v>0.10327667178123791</v>
          </cell>
          <cell r="I75">
            <v>9.8532183857111294E-2</v>
          </cell>
          <cell r="M75" t="str">
            <v xml:space="preserve">NUMERAL </v>
          </cell>
          <cell r="N75" t="str">
            <v>0015</v>
          </cell>
          <cell r="O75" t="str">
            <v xml:space="preserve">FONDOS INTERNOS DE LA POLICIA </v>
          </cell>
          <cell r="P75">
            <v>35492.475507000003</v>
          </cell>
          <cell r="Q75">
            <v>35492.475507000003</v>
          </cell>
          <cell r="R75">
            <v>39214.421839000002</v>
          </cell>
          <cell r="S75">
            <v>10.486578574283833</v>
          </cell>
          <cell r="T75">
            <v>10.486578574283833</v>
          </cell>
        </row>
        <row r="76">
          <cell r="B76" t="str">
            <v xml:space="preserve">NUMERAL </v>
          </cell>
          <cell r="C76" t="str">
            <v>0016</v>
          </cell>
          <cell r="D76" t="str">
            <v>FONDO DE PUBLICACIONES DE LA CONTRALORIA</v>
          </cell>
          <cell r="F76">
            <v>0</v>
          </cell>
          <cell r="H76">
            <v>0</v>
          </cell>
          <cell r="I76">
            <v>0</v>
          </cell>
          <cell r="M76" t="str">
            <v xml:space="preserve">NUMERAL </v>
          </cell>
          <cell r="N76" t="str">
            <v>0016</v>
          </cell>
          <cell r="O76" t="str">
            <v>FONDO DE PUBLICACIONES DE LA CONTRALORIA</v>
          </cell>
          <cell r="Q76">
            <v>0</v>
          </cell>
          <cell r="R76">
            <v>0</v>
          </cell>
        </row>
        <row r="77">
          <cell r="B77" t="str">
            <v xml:space="preserve">NUMERAL </v>
          </cell>
          <cell r="C77" t="str">
            <v>0017</v>
          </cell>
          <cell r="D77" t="str">
            <v>FONDO ROTATORIO MINISTERIO DE MINAS Y ENERGIA</v>
          </cell>
          <cell r="E77">
            <v>800.4</v>
          </cell>
          <cell r="F77">
            <v>912.5</v>
          </cell>
          <cell r="G77">
            <v>14.005497251374322</v>
          </cell>
          <cell r="H77">
            <v>2.3290189515634005E-3</v>
          </cell>
          <cell r="I77">
            <v>2.2927946799459137E-3</v>
          </cell>
          <cell r="M77" t="str">
            <v xml:space="preserve">NUMERAL </v>
          </cell>
          <cell r="N77" t="str">
            <v>0017</v>
          </cell>
          <cell r="O77" t="str">
            <v>FONDO ROTATORIO MINISTERIO DE MINAS Y ENERGIA</v>
          </cell>
          <cell r="P77">
            <v>800.4</v>
          </cell>
          <cell r="Q77">
            <v>800.4</v>
          </cell>
          <cell r="R77">
            <v>912.5</v>
          </cell>
          <cell r="S77">
            <v>14.005497251374322</v>
          </cell>
          <cell r="T77">
            <v>14.005497251374322</v>
          </cell>
        </row>
        <row r="78">
          <cell r="B78" t="str">
            <v xml:space="preserve">NUMERAL </v>
          </cell>
          <cell r="C78" t="str">
            <v>0018</v>
          </cell>
          <cell r="D78" t="str">
            <v>FONDO NACIONAL DE REGALIAS</v>
          </cell>
          <cell r="E78">
            <v>104644.93087500001</v>
          </cell>
          <cell r="F78">
            <v>523853.985201</v>
          </cell>
          <cell r="G78">
            <v>400.60139637987027</v>
          </cell>
          <cell r="H78">
            <v>0.30449778509859698</v>
          </cell>
          <cell r="I78">
            <v>1.3162626085888418</v>
          </cell>
          <cell r="M78" t="str">
            <v xml:space="preserve">NUMERAL </v>
          </cell>
          <cell r="N78" t="str">
            <v>0018</v>
          </cell>
          <cell r="O78" t="str">
            <v>FONDO NACIONAL DE REGALIAS</v>
          </cell>
          <cell r="P78">
            <v>104644.93087500001</v>
          </cell>
          <cell r="Q78">
            <v>104644.93087500001</v>
          </cell>
          <cell r="R78">
            <v>523853.985201</v>
          </cell>
          <cell r="S78">
            <v>400.60139637987027</v>
          </cell>
          <cell r="T78">
            <v>400.60139637987027</v>
          </cell>
        </row>
        <row r="79">
          <cell r="B79" t="str">
            <v xml:space="preserve">NUMERAL </v>
          </cell>
          <cell r="C79" t="str">
            <v>0019</v>
          </cell>
          <cell r="D79" t="str">
            <v>ESCUELAS INDUSTRIALES E INSTITUTOS TECNICOS</v>
          </cell>
          <cell r="E79">
            <v>33567.681960000002</v>
          </cell>
          <cell r="F79">
            <v>44205.705342000001</v>
          </cell>
          <cell r="G79">
            <v>31.691266006024811</v>
          </cell>
          <cell r="H79">
            <v>9.7675871370430892E-2</v>
          </cell>
          <cell r="I79">
            <v>0.11107354085632248</v>
          </cell>
          <cell r="M79" t="str">
            <v xml:space="preserve">NUMERAL </v>
          </cell>
          <cell r="N79" t="str">
            <v>0019</v>
          </cell>
          <cell r="O79" t="str">
            <v>ESCUELAS INDUSTRIALES E INSTITUTOS TECNICOS</v>
          </cell>
          <cell r="P79">
            <v>33567.681960000002</v>
          </cell>
          <cell r="Q79">
            <v>33567.681960000002</v>
          </cell>
          <cell r="R79">
            <v>44205.705342000001</v>
          </cell>
          <cell r="S79">
            <v>31.691266006024811</v>
          </cell>
          <cell r="T79">
            <v>31.691266006024811</v>
          </cell>
        </row>
        <row r="80">
          <cell r="B80" t="str">
            <v xml:space="preserve">NUMERAL </v>
          </cell>
          <cell r="C80" t="str">
            <v>0020</v>
          </cell>
          <cell r="D80" t="str">
            <v>JUNTA CENTRAL DE CONTADORES</v>
          </cell>
          <cell r="E80">
            <v>674.00200600000005</v>
          </cell>
          <cell r="H80">
            <v>1.9612236948597563E-3</v>
          </cell>
          <cell r="I80">
            <v>0</v>
          </cell>
          <cell r="M80" t="str">
            <v xml:space="preserve">NUMERAL </v>
          </cell>
          <cell r="N80" t="str">
            <v>0020</v>
          </cell>
          <cell r="O80" t="str">
            <v>JUNTA CENTRAL DE CONTADORES</v>
          </cell>
          <cell r="P80">
            <v>674.00200600000005</v>
          </cell>
          <cell r="Q80">
            <v>674.00200600000005</v>
          </cell>
        </row>
        <row r="81">
          <cell r="B81" t="str">
            <v xml:space="preserve">NUMERAL </v>
          </cell>
          <cell r="C81" t="str">
            <v>0021</v>
          </cell>
          <cell r="D81" t="str">
            <v>FONDO DE SOLIDARIDAD Y GARANTIA DEL SECTOR SALUD</v>
          </cell>
          <cell r="E81">
            <v>768191.34397799999</v>
          </cell>
          <cell r="F81">
            <v>565166.85100000002</v>
          </cell>
          <cell r="G81">
            <v>-26.42889620789769</v>
          </cell>
          <cell r="H81">
            <v>2.2352975993899564</v>
          </cell>
          <cell r="I81">
            <v>1.4200674512379012</v>
          </cell>
          <cell r="M81" t="str">
            <v xml:space="preserve">NUMERAL </v>
          </cell>
          <cell r="N81" t="str">
            <v>0021</v>
          </cell>
          <cell r="O81" t="str">
            <v>FONDO DE SOLIDARIDAD Y GARANTIA DEL SECTOR SALUD</v>
          </cell>
          <cell r="P81">
            <v>768191.34397799999</v>
          </cell>
          <cell r="Q81">
            <v>768191.34397799999</v>
          </cell>
          <cell r="R81">
            <v>565166.85100000002</v>
          </cell>
          <cell r="S81">
            <v>-26.42889620789769</v>
          </cell>
          <cell r="T81">
            <v>-26.42889620789769</v>
          </cell>
        </row>
        <row r="82">
          <cell r="B82" t="str">
            <v xml:space="preserve">NUMERAL </v>
          </cell>
          <cell r="C82" t="str">
            <v>0022</v>
          </cell>
          <cell r="D82" t="str">
            <v>FONDO DE SOLIDARIDAD PENSIONAL</v>
          </cell>
          <cell r="E82">
            <v>60000</v>
          </cell>
          <cell r="F82">
            <v>150339.9</v>
          </cell>
          <cell r="G82">
            <v>150.56649999999999</v>
          </cell>
          <cell r="H82">
            <v>0.17458912680385313</v>
          </cell>
          <cell r="I82">
            <v>0.37775180592175417</v>
          </cell>
          <cell r="M82" t="str">
            <v xml:space="preserve">NUMERAL </v>
          </cell>
          <cell r="N82" t="str">
            <v>0022</v>
          </cell>
          <cell r="O82" t="str">
            <v>FONDO DE SOLIDARIDAD PENSIONAL</v>
          </cell>
          <cell r="P82">
            <v>60000</v>
          </cell>
          <cell r="Q82">
            <v>60000</v>
          </cell>
          <cell r="R82">
            <v>150339.9</v>
          </cell>
          <cell r="S82">
            <v>150.56649999999999</v>
          </cell>
          <cell r="T82">
            <v>150.56649999999999</v>
          </cell>
        </row>
        <row r="83">
          <cell r="B83" t="str">
            <v xml:space="preserve">NUMERAL </v>
          </cell>
          <cell r="C83" t="str">
            <v>0023</v>
          </cell>
          <cell r="D83" t="str">
            <v>COMISION DE REGULACION DE TELECOMUNICACIONES</v>
          </cell>
          <cell r="E83">
            <v>4270.1380630000003</v>
          </cell>
          <cell r="F83">
            <v>4888.6301080000003</v>
          </cell>
          <cell r="G83">
            <v>14.484122898955555</v>
          </cell>
          <cell r="H83">
            <v>1.2425327929184446E-2</v>
          </cell>
          <cell r="I83">
            <v>1.2283424771337884E-2</v>
          </cell>
          <cell r="M83" t="str">
            <v xml:space="preserve">NUMERAL </v>
          </cell>
          <cell r="N83" t="str">
            <v>0023</v>
          </cell>
          <cell r="O83" t="str">
            <v>COMISION DE REGULACION DE TELECOMUNICACIONES</v>
          </cell>
          <cell r="P83">
            <v>4270.1380630000003</v>
          </cell>
          <cell r="Q83">
            <v>4270.1380630000003</v>
          </cell>
          <cell r="R83">
            <v>4888.6301080000003</v>
          </cell>
          <cell r="S83">
            <v>14.484122898955555</v>
          </cell>
          <cell r="T83">
            <v>14.484122898955555</v>
          </cell>
        </row>
        <row r="84">
          <cell r="B84" t="str">
            <v xml:space="preserve">NUMERAL </v>
          </cell>
          <cell r="C84" t="str">
            <v>0024</v>
          </cell>
          <cell r="D84" t="str">
            <v>COMISION DE REGULACION DE ENERGIA Y GAS</v>
          </cell>
          <cell r="E84">
            <v>3730.4304050000001</v>
          </cell>
          <cell r="F84">
            <v>4228.8485199999996</v>
          </cell>
          <cell r="G84">
            <v>13.360874239389521</v>
          </cell>
          <cell r="H84">
            <v>1.0854876450191569E-2</v>
          </cell>
          <cell r="I84">
            <v>1.0625623439948658E-2</v>
          </cell>
          <cell r="M84" t="str">
            <v xml:space="preserve">NUMERAL </v>
          </cell>
          <cell r="N84" t="str">
            <v>0024</v>
          </cell>
          <cell r="O84" t="str">
            <v>COMISION DE REGULACION DE ENERGIA Y GAS</v>
          </cell>
          <cell r="P84">
            <v>3730.4304050000001</v>
          </cell>
          <cell r="Q84">
            <v>3730.4304050000001</v>
          </cell>
          <cell r="R84">
            <v>4228.8485199999996</v>
          </cell>
          <cell r="S84">
            <v>13.360874239389521</v>
          </cell>
          <cell r="T84">
            <v>13.360874239389521</v>
          </cell>
        </row>
        <row r="85">
          <cell r="B85" t="str">
            <v xml:space="preserve">NUMERAL </v>
          </cell>
          <cell r="C85" t="str">
            <v>0025</v>
          </cell>
          <cell r="D85" t="str">
            <v>COMISION DE REGULACION DE AGUA POTABLE</v>
          </cell>
          <cell r="E85">
            <v>2670.214555</v>
          </cell>
          <cell r="F85">
            <v>3189.125642</v>
          </cell>
          <cell r="G85">
            <v>19.433310556574355</v>
          </cell>
          <cell r="H85">
            <v>7.7698404589398211E-3</v>
          </cell>
          <cell r="I85">
            <v>8.0131619788018586E-3</v>
          </cell>
          <cell r="M85" t="str">
            <v xml:space="preserve">NUMERAL </v>
          </cell>
          <cell r="N85" t="str">
            <v>0025</v>
          </cell>
          <cell r="O85" t="str">
            <v>COMISION DE REGULACION DE AGUA POTABLE</v>
          </cell>
          <cell r="P85">
            <v>2670.214555</v>
          </cell>
          <cell r="Q85">
            <v>2670.214555</v>
          </cell>
          <cell r="R85">
            <v>3189.125642</v>
          </cell>
          <cell r="S85">
            <v>19.433310556574355</v>
          </cell>
          <cell r="T85">
            <v>19.433310556574355</v>
          </cell>
        </row>
        <row r="86">
          <cell r="B86" t="str">
            <v xml:space="preserve">NUMERAL </v>
          </cell>
          <cell r="C86" t="str">
            <v>0026</v>
          </cell>
          <cell r="D86" t="str">
            <v>UNIDAD ADMINISTRATIVA ESPECIAL MINERO-ENERGETICA</v>
          </cell>
          <cell r="F86">
            <v>0</v>
          </cell>
          <cell r="H86">
            <v>0</v>
          </cell>
          <cell r="I86">
            <v>0</v>
          </cell>
          <cell r="M86" t="str">
            <v xml:space="preserve">NUMERAL </v>
          </cell>
          <cell r="N86" t="str">
            <v>0026</v>
          </cell>
          <cell r="O86" t="str">
            <v>UNIDAD ADMINISTRATIVA ESPECIAL MINERO-ENERGETICA</v>
          </cell>
          <cell r="Q86">
            <v>0</v>
          </cell>
          <cell r="R86">
            <v>0</v>
          </cell>
        </row>
        <row r="87">
          <cell r="B87" t="str">
            <v xml:space="preserve">NUMERAL </v>
          </cell>
          <cell r="C87" t="str">
            <v>0029</v>
          </cell>
          <cell r="D87" t="str">
            <v>FONDO DE RIESGOS PROFESIONALES ( ART. 87 DTO 1295 DE 1994 )</v>
          </cell>
          <cell r="E87">
            <v>5800</v>
          </cell>
          <cell r="F87">
            <v>7032</v>
          </cell>
          <cell r="G87">
            <v>21.241379310344822</v>
          </cell>
          <cell r="H87">
            <v>1.687694892437247E-2</v>
          </cell>
          <cell r="I87">
            <v>1.7668966782881823E-2</v>
          </cell>
          <cell r="M87" t="str">
            <v xml:space="preserve">NUMERAL </v>
          </cell>
          <cell r="N87" t="str">
            <v>0029</v>
          </cell>
          <cell r="O87" t="str">
            <v>FONDO DE RIESGOS PROFESIONALES ( ART. 87 DTO 1295 DE 1994 )</v>
          </cell>
          <cell r="P87">
            <v>5800</v>
          </cell>
          <cell r="Q87">
            <v>5800</v>
          </cell>
          <cell r="R87">
            <v>7032</v>
          </cell>
          <cell r="S87">
            <v>21.241379310344822</v>
          </cell>
          <cell r="T87">
            <v>21.241379310344822</v>
          </cell>
        </row>
        <row r="88">
          <cell r="B88" t="str">
            <v xml:space="preserve">NUMERAL </v>
          </cell>
          <cell r="C88" t="str">
            <v>0030</v>
          </cell>
          <cell r="D88" t="str">
            <v>FONDO BIENESTAR SOCIAL DIAN</v>
          </cell>
          <cell r="E88">
            <v>836.12800000000004</v>
          </cell>
          <cell r="F88">
            <v>0</v>
          </cell>
          <cell r="H88">
            <v>2.4329809569375352E-3</v>
          </cell>
          <cell r="I88">
            <v>0</v>
          </cell>
          <cell r="M88" t="str">
            <v xml:space="preserve">NUMERAL </v>
          </cell>
          <cell r="N88" t="str">
            <v>0030</v>
          </cell>
          <cell r="O88" t="str">
            <v>FONDO BIENESTAR SOCIAL DIAN</v>
          </cell>
          <cell r="P88">
            <v>836.12800000000004</v>
          </cell>
          <cell r="Q88">
            <v>836.12800000000004</v>
          </cell>
          <cell r="R88">
            <v>0</v>
          </cell>
        </row>
        <row r="89">
          <cell r="B89" t="str">
            <v xml:space="preserve">NUMERAL </v>
          </cell>
          <cell r="C89" t="str">
            <v>0031</v>
          </cell>
          <cell r="D89" t="str">
            <v>INSTITUTO DE ESTUDIOS DEL MINISTERIO PUBLICO</v>
          </cell>
          <cell r="E89">
            <v>756.41933700000004</v>
          </cell>
          <cell r="F89">
            <v>862.31804399999999</v>
          </cell>
          <cell r="G89">
            <v>13.99999997620367</v>
          </cell>
          <cell r="H89">
            <v>2.201043192406325E-3</v>
          </cell>
          <cell r="I89">
            <v>2.1667049026899356E-3</v>
          </cell>
          <cell r="M89" t="str">
            <v xml:space="preserve">NUMERAL </v>
          </cell>
          <cell r="N89" t="str">
            <v>0031</v>
          </cell>
          <cell r="O89" t="str">
            <v>INSTITUTO DE ESTUDIOS DEL MINISTERIO PUBLICO</v>
          </cell>
          <cell r="P89">
            <v>756.41933700000004</v>
          </cell>
          <cell r="Q89">
            <v>756.41933700000004</v>
          </cell>
          <cell r="R89">
            <v>862.31804399999999</v>
          </cell>
          <cell r="S89">
            <v>13.99999997620367</v>
          </cell>
          <cell r="T89">
            <v>13.99999997620367</v>
          </cell>
        </row>
        <row r="90">
          <cell r="B90" t="str">
            <v xml:space="preserve">NUMERAL </v>
          </cell>
          <cell r="C90" t="str">
            <v>0032</v>
          </cell>
          <cell r="D90" t="str">
            <v>FONDO BIENESTAR DE LA CONTRALORIA</v>
          </cell>
          <cell r="E90">
            <v>6832.423331</v>
          </cell>
          <cell r="F90">
            <v>2432.4832540000002</v>
          </cell>
          <cell r="G90">
            <v>-64.397942923656927</v>
          </cell>
          <cell r="H90">
            <v>1.9881113721892725E-2</v>
          </cell>
          <cell r="I90">
            <v>6.1119831932369591E-3</v>
          </cell>
          <cell r="M90" t="str">
            <v xml:space="preserve">NUMERAL </v>
          </cell>
          <cell r="N90" t="str">
            <v>0032</v>
          </cell>
          <cell r="O90" t="str">
            <v>FONDO BIENESTAR DE LA CONTRALORIA</v>
          </cell>
          <cell r="P90">
            <v>6832.423331</v>
          </cell>
          <cell r="Q90">
            <v>6832.423331</v>
          </cell>
          <cell r="R90">
            <v>2432.4832540000002</v>
          </cell>
          <cell r="S90">
            <v>-64.397942923656927</v>
          </cell>
          <cell r="T90">
            <v>-64.397942923656927</v>
          </cell>
        </row>
        <row r="91">
          <cell r="B91" t="str">
            <v xml:space="preserve">NUMERAL </v>
          </cell>
          <cell r="C91" t="str">
            <v>0033</v>
          </cell>
          <cell r="D91" t="str">
            <v>Fondo Salud Fuerzas Militares</v>
          </cell>
          <cell r="E91">
            <v>103410.2988</v>
          </cell>
          <cell r="F91">
            <v>124086.99589999999</v>
          </cell>
          <cell r="G91">
            <v>19.994814191562881</v>
          </cell>
          <cell r="H91">
            <v>0.30090522950029236</v>
          </cell>
          <cell r="I91">
            <v>0.31178740169861957</v>
          </cell>
          <cell r="M91" t="str">
            <v xml:space="preserve">NUMERAL </v>
          </cell>
          <cell r="N91" t="str">
            <v>0033</v>
          </cell>
          <cell r="O91" t="str">
            <v>Fondo Salud Fuerzas Militares</v>
          </cell>
          <cell r="P91">
            <v>103410.2988</v>
          </cell>
          <cell r="Q91">
            <v>103410.2988</v>
          </cell>
          <cell r="R91">
            <v>124086.99589999999</v>
          </cell>
          <cell r="S91">
            <v>19.994814191562881</v>
          </cell>
          <cell r="T91">
            <v>19.994814191562881</v>
          </cell>
        </row>
        <row r="92">
          <cell r="B92" t="str">
            <v xml:space="preserve">NUMERAL </v>
          </cell>
          <cell r="C92" t="str">
            <v>0034</v>
          </cell>
          <cell r="D92" t="str">
            <v>Fondo de Salud Policia</v>
          </cell>
          <cell r="E92">
            <v>129391.606918</v>
          </cell>
          <cell r="F92">
            <v>139621.84988699999</v>
          </cell>
          <cell r="G92">
            <v>7.9064192899955588</v>
          </cell>
          <cell r="H92">
            <v>0.37650612779268372</v>
          </cell>
          <cell r="I92">
            <v>0.350821079041228</v>
          </cell>
          <cell r="M92" t="str">
            <v xml:space="preserve">NUMERAL </v>
          </cell>
          <cell r="N92" t="str">
            <v>0034</v>
          </cell>
          <cell r="O92" t="str">
            <v>Fondo de Salud Policia</v>
          </cell>
          <cell r="P92">
            <v>129391.606918</v>
          </cell>
          <cell r="Q92">
            <v>129391.606918</v>
          </cell>
          <cell r="R92">
            <v>139621.84988699999</v>
          </cell>
          <cell r="S92">
            <v>7.9064192899955588</v>
          </cell>
          <cell r="T92">
            <v>7.9064192899955588</v>
          </cell>
        </row>
        <row r="93">
          <cell r="B93" t="str">
            <v xml:space="preserve">NUMERAL </v>
          </cell>
          <cell r="C93" t="str">
            <v>0035</v>
          </cell>
          <cell r="D93" t="str">
            <v>FONDO DE COMPENSACIÓN AMBIENTAL</v>
          </cell>
          <cell r="E93">
            <v>14128.4</v>
          </cell>
          <cell r="F93">
            <v>18425.099999999999</v>
          </cell>
          <cell r="G93">
            <v>30.411794683049731</v>
          </cell>
          <cell r="H93">
            <v>4.1111083652259309E-2</v>
          </cell>
          <cell r="I93">
            <v>4.6295858912297483E-2</v>
          </cell>
          <cell r="M93" t="str">
            <v xml:space="preserve">NUMERAL </v>
          </cell>
          <cell r="N93" t="str">
            <v>0035</v>
          </cell>
          <cell r="O93" t="str">
            <v>FONDO DE COMPENSACIÓN AMBIENTAL</v>
          </cell>
          <cell r="P93">
            <v>14128.4</v>
          </cell>
          <cell r="Q93">
            <v>14128.4</v>
          </cell>
          <cell r="R93">
            <v>18425.099999999999</v>
          </cell>
          <cell r="S93">
            <v>30.411794683049731</v>
          </cell>
          <cell r="T93">
            <v>30.411794683049731</v>
          </cell>
        </row>
        <row r="94">
          <cell r="B94" t="str">
            <v xml:space="preserve">NUMERAL </v>
          </cell>
          <cell r="C94" t="str">
            <v>0036</v>
          </cell>
          <cell r="D94" t="str">
            <v>PENSIONES EPSA-CVC</v>
          </cell>
          <cell r="E94">
            <v>9215</v>
          </cell>
          <cell r="F94">
            <v>10965</v>
          </cell>
          <cell r="G94">
            <v>18.990775908844281</v>
          </cell>
          <cell r="H94">
            <v>2.6813980058291775E-2</v>
          </cell>
          <cell r="I94">
            <v>2.7551225934911716E-2</v>
          </cell>
          <cell r="M94" t="str">
            <v xml:space="preserve">NUMERAL </v>
          </cell>
          <cell r="N94" t="str">
            <v>0036</v>
          </cell>
          <cell r="O94" t="str">
            <v>PENSIONES EPSA-CVC</v>
          </cell>
          <cell r="P94">
            <v>9215</v>
          </cell>
          <cell r="Q94">
            <v>9215</v>
          </cell>
          <cell r="R94">
            <v>10965</v>
          </cell>
          <cell r="S94">
            <v>18.990775908844281</v>
          </cell>
          <cell r="T94">
            <v>18.990775908844281</v>
          </cell>
        </row>
        <row r="95">
          <cell r="B95" t="str">
            <v xml:space="preserve">NUMERAL </v>
          </cell>
          <cell r="C95" t="str">
            <v>0037</v>
          </cell>
          <cell r="D95" t="str">
            <v xml:space="preserve">DISTRIBUCIÓN  REGALÍAS </v>
          </cell>
          <cell r="E95">
            <v>389.39275300000003</v>
          </cell>
          <cell r="F95">
            <v>0</v>
          </cell>
          <cell r="H95">
            <v>1.1330623455003078E-3</v>
          </cell>
          <cell r="I95">
            <v>0</v>
          </cell>
          <cell r="M95" t="str">
            <v xml:space="preserve">NUMERAL </v>
          </cell>
          <cell r="N95" t="str">
            <v>0037</v>
          </cell>
          <cell r="O95" t="str">
            <v xml:space="preserve">DISTRIBUCIÓN  REGALÍAS </v>
          </cell>
          <cell r="P95">
            <v>389.39275300000003</v>
          </cell>
          <cell r="Q95">
            <v>389.39275300000003</v>
          </cell>
          <cell r="R95">
            <v>0</v>
          </cell>
        </row>
        <row r="96">
          <cell r="B96" t="str">
            <v xml:space="preserve">NUMERAL </v>
          </cell>
          <cell r="C96" t="str">
            <v>0038</v>
          </cell>
          <cell r="D96" t="str">
            <v>FONDO PRESTACIONES SALUD</v>
          </cell>
          <cell r="E96">
            <v>4068.5095569999999</v>
          </cell>
          <cell r="F96">
            <v>0</v>
          </cell>
          <cell r="H96">
            <v>1.1838625515829355E-2</v>
          </cell>
          <cell r="I96">
            <v>0</v>
          </cell>
          <cell r="M96" t="str">
            <v xml:space="preserve">NUMERAL </v>
          </cell>
          <cell r="N96" t="str">
            <v>0038</v>
          </cell>
          <cell r="O96" t="str">
            <v>FONDO PRESTACIONES SALUD</v>
          </cell>
          <cell r="P96">
            <v>4068.5095569999999</v>
          </cell>
          <cell r="Q96">
            <v>4068.5095569999999</v>
          </cell>
          <cell r="R96">
            <v>0</v>
          </cell>
        </row>
        <row r="97">
          <cell r="B97" t="str">
            <v xml:space="preserve">NUMERAL </v>
          </cell>
          <cell r="C97" t="str">
            <v>0039</v>
          </cell>
          <cell r="D97" t="str">
            <v>FONDO DE SEGURIDAD Y CONVIVENCIA CIUDADANA</v>
          </cell>
          <cell r="F97">
            <v>26830</v>
          </cell>
          <cell r="G97" t="str">
            <v>N.C.</v>
          </cell>
          <cell r="H97">
            <v>0</v>
          </cell>
          <cell r="I97">
            <v>6.7414445219669994E-2</v>
          </cell>
          <cell r="M97" t="str">
            <v xml:space="preserve">NUMERAL </v>
          </cell>
          <cell r="N97" t="str">
            <v>0039</v>
          </cell>
          <cell r="O97" t="str">
            <v>FONDO DE SEGURIDAD Y CONVIVENCIA CIUDADANA</v>
          </cell>
          <cell r="R97">
            <v>26830</v>
          </cell>
          <cell r="S97" t="str">
            <v>N.C.</v>
          </cell>
          <cell r="T97" t="str">
            <v>N.C.</v>
          </cell>
        </row>
      </sheetData>
      <sheetData sheetId="1" refreshError="1">
        <row r="1">
          <cell r="A1" t="str">
            <v>DETALLE DE LA COMPOSICION DEL PRESUPUESTO DE RENTAS DE LA NACION</v>
          </cell>
        </row>
        <row r="98">
          <cell r="V98" t="str">
            <v>COMPOSICION DEL PRESUPUESTO DE RENTAS DE LA NACION</v>
          </cell>
        </row>
        <row r="100">
          <cell r="V100" t="str">
            <v>(Millones de pesos)</v>
          </cell>
        </row>
        <row r="101">
          <cell r="Y101">
            <v>1996</v>
          </cell>
          <cell r="Z101">
            <v>1997</v>
          </cell>
          <cell r="AA101" t="str">
            <v>1998</v>
          </cell>
          <cell r="AC101" t="str">
            <v>1999</v>
          </cell>
        </row>
        <row r="102">
          <cell r="X102" t="str">
            <v>CONCEPTOS</v>
          </cell>
          <cell r="Y102" t="str">
            <v>APROPIACION</v>
          </cell>
          <cell r="Z102" t="str">
            <v>APROPIACION</v>
          </cell>
          <cell r="AA102" t="str">
            <v>APROPIACION</v>
          </cell>
          <cell r="AB102" t="str">
            <v>REESTIMACION</v>
          </cell>
          <cell r="AC102" t="str">
            <v>PROYECTO</v>
          </cell>
          <cell r="AD102" t="str">
            <v>Variación</v>
          </cell>
          <cell r="AH102" t="str">
            <v xml:space="preserve">OBSERVACIONES </v>
          </cell>
        </row>
        <row r="103">
          <cell r="Y103" t="str">
            <v>DEFINITIVA</v>
          </cell>
          <cell r="Z103" t="str">
            <v>DEFINITIVA</v>
          </cell>
          <cell r="AA103" t="str">
            <v>VIGENTE</v>
          </cell>
          <cell r="AB103" t="str">
            <v xml:space="preserve">BASE </v>
          </cell>
          <cell r="AC103" t="str">
            <v>PRESUPUESTO</v>
          </cell>
          <cell r="AE103" t="str">
            <v>%</v>
          </cell>
        </row>
        <row r="104">
          <cell r="Y104" t="str">
            <v>(A)</v>
          </cell>
          <cell r="Z104" t="str">
            <v>(B)</v>
          </cell>
          <cell r="AA104" t="str">
            <v>(1)</v>
          </cell>
          <cell r="AB104" t="str">
            <v>(2)</v>
          </cell>
          <cell r="AC104" t="str">
            <v>(3)</v>
          </cell>
          <cell r="AD104" t="str">
            <v>(F)=(B/A)</v>
          </cell>
          <cell r="AE104" t="str">
            <v>(G)=(D/B)</v>
          </cell>
          <cell r="AF104" t="str">
            <v>(4)=(3/1)</v>
          </cell>
          <cell r="AG104" t="str">
            <v>(5)=(3/2)</v>
          </cell>
        </row>
        <row r="106">
          <cell r="V106" t="str">
            <v>I.</v>
          </cell>
          <cell r="W106" t="str">
            <v>INGRESOS DEL PRESUPUESTO NACIONAL</v>
          </cell>
          <cell r="Y106">
            <v>21505448</v>
          </cell>
          <cell r="Z106">
            <v>26829919.328486998</v>
          </cell>
          <cell r="AA106">
            <v>33672848.488659002</v>
          </cell>
          <cell r="AB106">
            <v>34023067.362811998</v>
          </cell>
          <cell r="AC106">
            <v>39798591.996973999</v>
          </cell>
          <cell r="AD106">
            <v>24.758709181445539</v>
          </cell>
          <cell r="AE106">
            <v>26.810173919112714</v>
          </cell>
          <cell r="AF106">
            <v>18.191937371672438</v>
          </cell>
          <cell r="AG106">
            <v>16.975320221935021</v>
          </cell>
        </row>
        <row r="108">
          <cell r="V108" t="str">
            <v>1.</v>
          </cell>
          <cell r="W108" t="str">
            <v>INGRESOS CORRIENTES</v>
          </cell>
          <cell r="Y108">
            <v>10850547</v>
          </cell>
          <cell r="Z108">
            <v>12987467.563204</v>
          </cell>
          <cell r="AA108">
            <v>14973958.125847001</v>
          </cell>
          <cell r="AB108">
            <v>15324177</v>
          </cell>
          <cell r="AC108">
            <v>17813984</v>
          </cell>
          <cell r="AD108">
            <v>19.69412752374604</v>
          </cell>
          <cell r="AE108">
            <v>17.992032899595834</v>
          </cell>
          <cell r="AF108">
            <v>18.966433926716707</v>
          </cell>
          <cell r="AG108">
            <v>16.24757401327328</v>
          </cell>
        </row>
        <row r="110">
          <cell r="W110" t="str">
            <v>1.1.  INGRESOS TRIBUTARIOS</v>
          </cell>
          <cell r="Y110">
            <v>10489179</v>
          </cell>
          <cell r="Z110">
            <v>12300834.563204</v>
          </cell>
          <cell r="AA110">
            <v>14609453</v>
          </cell>
          <cell r="AB110">
            <v>14749077</v>
          </cell>
          <cell r="AC110">
            <v>17369627.000000462</v>
          </cell>
          <cell r="AD110">
            <v>17.271662188279933</v>
          </cell>
          <cell r="AE110">
            <v>19.903059619381679</v>
          </cell>
          <cell r="AF110">
            <v>18.893068754870313</v>
          </cell>
          <cell r="AG110">
            <v>17.767552505153116</v>
          </cell>
        </row>
        <row r="112">
          <cell r="W112" t="str">
            <v xml:space="preserve">        1.1.1. IMPUESTOS DIRECTOS</v>
          </cell>
          <cell r="Y112">
            <v>4232697</v>
          </cell>
          <cell r="Z112">
            <v>4707023.763204</v>
          </cell>
          <cell r="AA112">
            <v>5845082</v>
          </cell>
          <cell r="AB112">
            <v>5393900</v>
          </cell>
          <cell r="AC112">
            <v>6285366</v>
          </cell>
          <cell r="AD112">
            <v>11.206253677123602</v>
          </cell>
          <cell r="AE112">
            <v>14.59258060614621</v>
          </cell>
          <cell r="AF112">
            <v>7.5325547186506636</v>
          </cell>
          <cell r="AG112">
            <v>16.527299356680693</v>
          </cell>
        </row>
        <row r="113">
          <cell r="X113" t="str">
            <v>IMPUESTO SOBRE LA RENTA Y COMPLEMENTARIOS</v>
          </cell>
          <cell r="Y113">
            <v>4232697</v>
          </cell>
          <cell r="Z113">
            <v>4707023.763204</v>
          </cell>
          <cell r="AA113">
            <v>5845082</v>
          </cell>
          <cell r="AB113">
            <v>5393900</v>
          </cell>
          <cell r="AC113">
            <v>6285366</v>
          </cell>
          <cell r="AD113">
            <v>11.206253677123602</v>
          </cell>
          <cell r="AE113">
            <v>14.59258060614621</v>
          </cell>
          <cell r="AF113">
            <v>7.5325547186506636</v>
          </cell>
          <cell r="AG113">
            <v>16.527299356680693</v>
          </cell>
          <cell r="AH113" t="str">
            <v>Base 1996 para evitar efectos 1997 Reforma Tributaria Ley 223/95 (aplicable año gravable 1996)</v>
          </cell>
        </row>
        <row r="115">
          <cell r="W115" t="str">
            <v xml:space="preserve">        1.1.2. IMPUESTOS INDIRECTOS</v>
          </cell>
          <cell r="Y115">
            <v>6256482</v>
          </cell>
          <cell r="Z115">
            <v>7593810.7999999998</v>
          </cell>
          <cell r="AA115">
            <v>8764371</v>
          </cell>
          <cell r="AB115">
            <v>9355177</v>
          </cell>
          <cell r="AC115">
            <v>11084261.000000462</v>
          </cell>
          <cell r="AD115">
            <v>21.375092264310823</v>
          </cell>
          <cell r="AE115">
            <v>23.194760132817649</v>
          </cell>
          <cell r="AF115">
            <v>26.469554974343978</v>
          </cell>
          <cell r="AG115">
            <v>18.482643353519258</v>
          </cell>
        </row>
        <row r="116">
          <cell r="X116" t="str">
            <v>IMPUESTOS SOBRE ADUANAS Y RECARGOS</v>
          </cell>
          <cell r="Y116">
            <v>1103959</v>
          </cell>
          <cell r="Z116">
            <v>1054257.8</v>
          </cell>
          <cell r="AA116">
            <v>1216470</v>
          </cell>
          <cell r="AB116">
            <v>1444000</v>
          </cell>
          <cell r="AC116">
            <v>1646430.000000464</v>
          </cell>
          <cell r="AD116">
            <v>-4.5020874869447063</v>
          </cell>
          <cell r="AE116">
            <v>36.968396155096016</v>
          </cell>
          <cell r="AF116">
            <v>35.344891366039775</v>
          </cell>
          <cell r="AG116">
            <v>14.018698060973955</v>
          </cell>
          <cell r="AH116" t="str">
            <v>Recaudo 1997 por tasas de devaluación y de importaciones.</v>
          </cell>
        </row>
        <row r="117">
          <cell r="X117" t="str">
            <v>IMPUESTO A LAS VENTAS</v>
          </cell>
          <cell r="Y117">
            <v>4514989</v>
          </cell>
          <cell r="Z117">
            <v>5721246</v>
          </cell>
          <cell r="AA117">
            <v>6695019</v>
          </cell>
          <cell r="AB117">
            <v>6887200</v>
          </cell>
          <cell r="AC117">
            <v>8117919</v>
          </cell>
          <cell r="AD117">
            <v>26.716720683040428</v>
          </cell>
          <cell r="AE117">
            <v>20.379371906049837</v>
          </cell>
          <cell r="AF117">
            <v>21.253113695420424</v>
          </cell>
          <cell r="AG117">
            <v>17.86965675455918</v>
          </cell>
          <cell r="AH117" t="str">
            <v>Interno = recaudo enero-junio/98 por estacionalidad promedio 1994-1997 y 1999 por PIB nominal. Externo = recaudo 1997 por tasas de devaluación y de importaciones.</v>
          </cell>
        </row>
        <row r="118">
          <cell r="X118" t="str">
            <v>INTERNAS</v>
          </cell>
          <cell r="Y118">
            <v>3955534</v>
          </cell>
          <cell r="Z118">
            <v>3955534</v>
          </cell>
          <cell r="AA118">
            <v>4687973</v>
          </cell>
          <cell r="AB118">
            <v>4549400</v>
          </cell>
          <cell r="AC118">
            <v>5452433</v>
          </cell>
          <cell r="AD118">
            <v>0</v>
          </cell>
          <cell r="AE118">
            <v>15.013548107537433</v>
          </cell>
          <cell r="AF118">
            <v>16.306834531683535</v>
          </cell>
          <cell r="AG118">
            <v>19.849496636919149</v>
          </cell>
        </row>
        <row r="119">
          <cell r="X119" t="str">
            <v>EXTERNAS</v>
          </cell>
          <cell r="Y119">
            <v>1765712</v>
          </cell>
          <cell r="Z119">
            <v>1765712</v>
          </cell>
          <cell r="AA119">
            <v>2007046</v>
          </cell>
          <cell r="AB119">
            <v>2337800</v>
          </cell>
          <cell r="AC119">
            <v>2665486</v>
          </cell>
          <cell r="AD119">
            <v>0</v>
          </cell>
          <cell r="AE119">
            <v>32.399847766793229</v>
          </cell>
          <cell r="AF119">
            <v>32.806422971870106</v>
          </cell>
          <cell r="AG119">
            <v>14.016853451963375</v>
          </cell>
        </row>
        <row r="120">
          <cell r="X120" t="str">
            <v>IMPUESTO A LA GASOLINA Y ACPM</v>
          </cell>
          <cell r="Y120">
            <v>606677</v>
          </cell>
          <cell r="Z120">
            <v>798000</v>
          </cell>
          <cell r="AA120">
            <v>690540</v>
          </cell>
          <cell r="AB120">
            <v>691000</v>
          </cell>
          <cell r="AC120">
            <v>917324</v>
          </cell>
          <cell r="AD120">
            <v>31.536221086344128</v>
          </cell>
          <cell r="AE120">
            <v>-13.408521303258148</v>
          </cell>
          <cell r="AF120">
            <v>32.841544298664815</v>
          </cell>
          <cell r="AG120">
            <v>32.753111432706227</v>
          </cell>
          <cell r="AH120" t="str">
            <v xml:space="preserve">Incluye ajuste precio Ley 383/97 ($50 por año a precios 1997 hasta 2001) </v>
          </cell>
        </row>
        <row r="121">
          <cell r="X121" t="str">
            <v>IMPUESTO 5% PASAJES INTERNACIONALES</v>
          </cell>
          <cell r="AA121">
            <v>8559.2999999999993</v>
          </cell>
          <cell r="AB121">
            <v>0</v>
          </cell>
          <cell r="AC121">
            <v>0</v>
          </cell>
          <cell r="AD121" t="e">
            <v>#DIV/0!</v>
          </cell>
        </row>
        <row r="122">
          <cell r="X122" t="str">
            <v>IMPUESTO DE TIMBRE NACIONAL</v>
          </cell>
          <cell r="AA122">
            <v>138600</v>
          </cell>
          <cell r="AB122">
            <v>310100</v>
          </cell>
          <cell r="AC122">
            <v>371608</v>
          </cell>
          <cell r="AD122" t="e">
            <v>#DIV/0!</v>
          </cell>
          <cell r="AE122" t="e">
            <v>#DIV/0!</v>
          </cell>
          <cell r="AF122">
            <v>168.11544011544009</v>
          </cell>
          <cell r="AG122">
            <v>19.834891970332148</v>
          </cell>
        </row>
        <row r="123">
          <cell r="X123" t="str">
            <v>IMPUESTO DE TIMBRE NACIONAL SOBRE SALIDAS AL EXT.</v>
          </cell>
          <cell r="Y123">
            <v>18855</v>
          </cell>
          <cell r="Z123">
            <v>18855</v>
          </cell>
          <cell r="AA123">
            <v>13405.7</v>
          </cell>
          <cell r="AB123">
            <v>21100</v>
          </cell>
          <cell r="AC123">
            <v>27666</v>
          </cell>
          <cell r="AD123">
            <v>0</v>
          </cell>
          <cell r="AE123">
            <v>11.906656059400689</v>
          </cell>
          <cell r="AF123">
            <v>106.37490022900704</v>
          </cell>
          <cell r="AG123">
            <v>31.118483412322284</v>
          </cell>
        </row>
        <row r="124">
          <cell r="X124" t="str">
            <v>IMPUESTO AL ORO Y AL PLATINO</v>
          </cell>
          <cell r="Y124">
            <v>1452</v>
          </cell>
          <cell r="Z124">
            <v>1452</v>
          </cell>
          <cell r="AA124">
            <v>1777</v>
          </cell>
          <cell r="AB124">
            <v>1777</v>
          </cell>
          <cell r="AC124">
            <v>3314</v>
          </cell>
          <cell r="AD124">
            <v>0</v>
          </cell>
          <cell r="AE124">
            <v>22.382920110192828</v>
          </cell>
          <cell r="AF124">
            <v>86.494091164884651</v>
          </cell>
          <cell r="AG124">
            <v>86.494091164884651</v>
          </cell>
        </row>
        <row r="125">
          <cell r="X125" t="str">
            <v>OTROS IMPUESTOS TRIBUTARIOS</v>
          </cell>
          <cell r="Y125">
            <v>30857</v>
          </cell>
          <cell r="Z125">
            <v>20307</v>
          </cell>
          <cell r="AA125">
            <v>162342</v>
          </cell>
          <cell r="AB125">
            <v>332977</v>
          </cell>
          <cell r="AC125">
            <v>402588</v>
          </cell>
          <cell r="AD125">
            <v>-34.189973101727325</v>
          </cell>
          <cell r="AE125">
            <v>1539.7153690845521</v>
          </cell>
          <cell r="AF125">
            <v>147.98758177181503</v>
          </cell>
          <cell r="AG125">
            <v>20.90564813785938</v>
          </cell>
          <cell r="AH125" t="str">
            <v>1996/97 5% pasajes  internacionales, Timbre Nacional (Reforma Ley 383/97 del 0.5% al 1%), Oro y Platino. 1998 por estacionalidad recaudo 1997 y crece PIB nominal.</v>
          </cell>
        </row>
        <row r="127">
          <cell r="W127" t="str">
            <v>1.2</v>
          </cell>
          <cell r="X127" t="str">
            <v>INGRESOS NO TRIBUTARIOS</v>
          </cell>
          <cell r="Y127">
            <v>361368</v>
          </cell>
          <cell r="Z127">
            <v>686633</v>
          </cell>
          <cell r="AA127">
            <v>364505.12584699999</v>
          </cell>
          <cell r="AB127">
            <v>575100</v>
          </cell>
          <cell r="AC127">
            <v>444356.99999953806</v>
          </cell>
          <cell r="AD127">
            <v>90.009353346173441</v>
          </cell>
          <cell r="AE127">
            <v>-16.243466305872278</v>
          </cell>
          <cell r="AF127">
            <v>21.906927637021955</v>
          </cell>
          <cell r="AG127">
            <v>-22.733959311504425</v>
          </cell>
        </row>
        <row r="128">
          <cell r="X128" t="str">
            <v>CONTRIBUCION ESPECIAL POR EXPLOTACION O EXPORTACION</v>
          </cell>
        </row>
        <row r="129">
          <cell r="X129" t="str">
            <v>DE PETROLEO CRUDO, GAS LIBRE, CARBON Y FERRONIQUEL</v>
          </cell>
          <cell r="Y129">
            <v>213938</v>
          </cell>
          <cell r="Z129">
            <v>336228</v>
          </cell>
          <cell r="AA129">
            <v>164620</v>
          </cell>
          <cell r="AB129">
            <v>75600</v>
          </cell>
          <cell r="AC129">
            <v>34844.999999538064</v>
          </cell>
          <cell r="AD129">
            <v>57.161420598491141</v>
          </cell>
          <cell r="AE129">
            <v>-77.515257503836679</v>
          </cell>
          <cell r="AF129">
            <v>-78.833070101118906</v>
          </cell>
          <cell r="AG129">
            <v>-53.908730159341189</v>
          </cell>
          <cell r="AH129" t="str">
            <v>Considera la reducción establecida Art 52  Ley 223/95</v>
          </cell>
        </row>
        <row r="130">
          <cell r="X130" t="str">
            <v>OTROS NO TRIBUTARIOS</v>
          </cell>
          <cell r="Y130">
            <v>147430</v>
          </cell>
          <cell r="Z130">
            <v>350405</v>
          </cell>
          <cell r="AA130">
            <v>199885.12584699999</v>
          </cell>
          <cell r="AB130">
            <v>499500</v>
          </cell>
          <cell r="AC130">
            <v>409512</v>
          </cell>
          <cell r="AD130">
            <v>137.6755070202808</v>
          </cell>
          <cell r="AE130">
            <v>42.549335768610597</v>
          </cell>
          <cell r="AF130">
            <v>104.87367344854701</v>
          </cell>
          <cell r="AG130">
            <v>-18.015615615615623</v>
          </cell>
        </row>
        <row r="131">
          <cell r="X131" t="str">
            <v xml:space="preserve">      Extensión Comncesión Telefonia Celular</v>
          </cell>
          <cell r="Z131">
            <v>141241.1</v>
          </cell>
        </row>
        <row r="132">
          <cell r="X132" t="str">
            <v xml:space="preserve">      Fondo de Superávit de la Nación </v>
          </cell>
          <cell r="Y132">
            <v>91322</v>
          </cell>
          <cell r="Z132">
            <v>96904.9</v>
          </cell>
          <cell r="AA132">
            <v>138439.12584699999</v>
          </cell>
          <cell r="AB132">
            <v>138439.12584699999</v>
          </cell>
          <cell r="AC132">
            <v>151520</v>
          </cell>
          <cell r="AD132">
            <v>6.1134228334902785</v>
          </cell>
          <cell r="AE132">
            <v>42.860810802136925</v>
          </cell>
          <cell r="AF132">
            <v>9.4488274705351039</v>
          </cell>
          <cell r="AG132">
            <v>9.4488274705351039</v>
          </cell>
          <cell r="AH132" t="str">
            <v>Octavas Concesión Telefonía Móvil Celular (1995 - 2002)</v>
          </cell>
        </row>
        <row r="133">
          <cell r="X133" t="str">
            <v xml:space="preserve">      Concesión Larga Distancia</v>
          </cell>
          <cell r="AB133">
            <v>300000</v>
          </cell>
          <cell r="AC133">
            <v>179902</v>
          </cell>
          <cell r="AG133">
            <v>-40.032666666666671</v>
          </cell>
          <cell r="AH133" t="str">
            <v>Para 1998 US$225 millones, en 1999 y 2000 restantes US$225 millones por parte iguales</v>
          </cell>
        </row>
        <row r="134">
          <cell r="X134" t="str">
            <v xml:space="preserve">      Resto</v>
          </cell>
          <cell r="Y134">
            <v>56108</v>
          </cell>
          <cell r="Z134">
            <v>112259</v>
          </cell>
          <cell r="AA134">
            <v>61446</v>
          </cell>
          <cell r="AB134">
            <v>61060.874153000012</v>
          </cell>
          <cell r="AC134">
            <v>78090</v>
          </cell>
          <cell r="AD134">
            <v>100.07663791259715</v>
          </cell>
          <cell r="AE134">
            <v>-45.607145838640996</v>
          </cell>
          <cell r="AF134">
            <v>27.087198515769948</v>
          </cell>
          <cell r="AG134">
            <v>27.888768517021511</v>
          </cell>
          <cell r="AH134" t="str">
            <v>Hasta 1998 5% contratos Obras Públicas Ley 104/93(en 1999 pasa a Fondo de Seguridad y Convivencia Ciudadana Ley 418/97), Concesión Sociedades Portuarias (por variación PIB).</v>
          </cell>
        </row>
        <row r="136">
          <cell r="V136" t="str">
            <v>2.</v>
          </cell>
          <cell r="W136" t="str">
            <v>RECURSOS DE CAPITAL</v>
          </cell>
          <cell r="Y136">
            <v>9454718</v>
          </cell>
          <cell r="Z136">
            <v>12013036.820606999</v>
          </cell>
          <cell r="AA136">
            <v>16207486.153754</v>
          </cell>
          <cell r="AB136">
            <v>16207486.153754</v>
          </cell>
          <cell r="AC136">
            <v>19182007.865153998</v>
          </cell>
          <cell r="AD136">
            <v>71.422205863294906</v>
          </cell>
          <cell r="AE136">
            <v>34.915811844944145</v>
          </cell>
          <cell r="AF136">
            <v>18.352764168248491</v>
          </cell>
          <cell r="AG136">
            <v>18.352764168248491</v>
          </cell>
        </row>
        <row r="138">
          <cell r="W138" t="str">
            <v>2.5. RECURSOS DEL CREDITO EXTERNO</v>
          </cell>
          <cell r="Y138">
            <v>2041518</v>
          </cell>
          <cell r="Z138">
            <v>1797729.030367</v>
          </cell>
          <cell r="AA138">
            <v>3352906.6945369998</v>
          </cell>
          <cell r="AB138">
            <v>3352906.6945369998</v>
          </cell>
          <cell r="AC138">
            <v>5299805.9730000002</v>
          </cell>
          <cell r="AD138">
            <v>-11.941553767000823</v>
          </cell>
          <cell r="AE138">
            <v>86.507901797220015</v>
          </cell>
          <cell r="AF138">
            <v>58.066014232819143</v>
          </cell>
          <cell r="AG138">
            <v>58.066014232819143</v>
          </cell>
        </row>
        <row r="139">
          <cell r="W139" t="str">
            <v>2.6. RECURSOS DEL CREDITO INTERNO</v>
          </cell>
          <cell r="Y139">
            <v>3928505</v>
          </cell>
          <cell r="Z139">
            <v>7590793.914806</v>
          </cell>
          <cell r="AA139">
            <v>10343544.959217001</v>
          </cell>
          <cell r="AB139">
            <v>10343544.959217001</v>
          </cell>
          <cell r="AC139">
            <v>9735498.8921539988</v>
          </cell>
          <cell r="AD139">
            <v>93.223475973837381</v>
          </cell>
          <cell r="AE139">
            <v>36.264336448941179</v>
          </cell>
          <cell r="AF139">
            <v>-5.8785075084067717</v>
          </cell>
          <cell r="AG139">
            <v>-5.8785075084067717</v>
          </cell>
        </row>
        <row r="140">
          <cell r="W140" t="str">
            <v>2.7. OTROS RECURSOS DE CAPITAL</v>
          </cell>
          <cell r="Y140">
            <v>3484695</v>
          </cell>
          <cell r="Z140">
            <v>2624513.875434</v>
          </cell>
          <cell r="AA140">
            <v>2511034.5</v>
          </cell>
          <cell r="AB140">
            <v>2511034.5</v>
          </cell>
          <cell r="AC140">
            <v>4146703</v>
          </cell>
          <cell r="AD140">
            <v>-24.684545550356628</v>
          </cell>
          <cell r="AE140">
            <v>-4.3238245564708455</v>
          </cell>
          <cell r="AF140">
            <v>65.13922847336427</v>
          </cell>
          <cell r="AG140">
            <v>65.13922847336427</v>
          </cell>
          <cell r="AH140" t="str">
            <v>Donaciones en cada año, Enajenación activos (plan), excedentes Financieros Entidades Descentralizadas, Rendimientos Financieros, Recuperación de Cartera, Recursos no apropiados (según Plan Financiero). En 1999 superávit Nación 1997 (Contaduría)</v>
          </cell>
        </row>
        <row r="142">
          <cell r="V142">
            <v>3</v>
          </cell>
          <cell r="W142" t="str">
            <v>RENTAS PARAFISCALES</v>
          </cell>
          <cell r="Y142">
            <v>122554</v>
          </cell>
          <cell r="Z142">
            <v>336368.21808000002</v>
          </cell>
          <cell r="AA142">
            <v>742831.93553000002</v>
          </cell>
          <cell r="AB142">
            <v>742831.93553000002</v>
          </cell>
          <cell r="AC142">
            <v>495721.437148</v>
          </cell>
          <cell r="AD142">
            <v>174.46531168301323</v>
          </cell>
          <cell r="AE142">
            <v>120.83891866184837</v>
          </cell>
          <cell r="AF142">
            <v>-33.266003595509154</v>
          </cell>
          <cell r="AG142">
            <v>-33.266003595509154</v>
          </cell>
          <cell r="AH142" t="str">
            <v xml:space="preserve">Fondo de Prestaciones Sociales del Magisterio </v>
          </cell>
        </row>
        <row r="144">
          <cell r="V144">
            <v>4</v>
          </cell>
          <cell r="W144" t="str">
            <v>FONDOS ESPECIALES</v>
          </cell>
          <cell r="Y144">
            <v>1077629</v>
          </cell>
          <cell r="Z144">
            <v>1493046.7265959999</v>
          </cell>
          <cell r="AA144">
            <v>1748572.2735279996</v>
          </cell>
          <cell r="AB144">
            <v>1748572.2735279996</v>
          </cell>
          <cell r="AC144">
            <v>2306878.6946720001</v>
          </cell>
          <cell r="AD144">
            <v>38.549234160921799</v>
          </cell>
          <cell r="AE144">
            <v>17.114370393120449</v>
          </cell>
          <cell r="AF144">
            <v>31.929273361834554</v>
          </cell>
          <cell r="AG144">
            <v>31.929273361834554</v>
          </cell>
          <cell r="AH144" t="str">
            <v>Estimación ingresos definidos por la Ley para prestación servicio público específico que corresponde.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ormato"/>
      <sheetName val="Listas"/>
      <sheetName val="DEPTO"/>
      <sheetName val="mpios"/>
      <sheetName val="Hoja5"/>
      <sheetName val="Hoja2"/>
      <sheetName val="de Relacion Proyectos Aprobados"/>
      <sheetName val="CS-VP-SALE"/>
    </sheetNames>
    <sheetDataSet>
      <sheetData sheetId="0"/>
      <sheetData sheetId="1"/>
      <sheetData sheetId="2">
        <row r="4">
          <cell r="I4" t="str">
            <v>APROBADO</v>
          </cell>
        </row>
        <row r="5">
          <cell r="I5" t="str">
            <v>NO APROBADO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  <sheetName val="IPM"/>
      <sheetName val="GASTOS"/>
      <sheetName val="fn version1"/>
    </sheetNames>
    <sheetDataSet>
      <sheetData sheetId="0"/>
      <sheetData sheetId="1"/>
      <sheetData sheetId="2"/>
      <sheetData sheetId="3"/>
      <sheetData sheetId="4"/>
      <sheetData sheetId="5" refreshError="1">
        <row r="5">
          <cell r="H5">
            <v>1723039</v>
          </cell>
          <cell r="I5">
            <v>2221237</v>
          </cell>
          <cell r="J5">
            <v>2774822.6</v>
          </cell>
          <cell r="K5">
            <v>3834351</v>
          </cell>
          <cell r="L5">
            <v>4510141</v>
          </cell>
          <cell r="M5">
            <v>5343752.2535651531</v>
          </cell>
          <cell r="N5">
            <v>7133444.1770399995</v>
          </cell>
          <cell r="O5">
            <v>6564252.3579074843</v>
          </cell>
        </row>
        <row r="6">
          <cell r="H6">
            <v>649239</v>
          </cell>
          <cell r="I6">
            <v>830500</v>
          </cell>
          <cell r="J6">
            <v>1065400</v>
          </cell>
          <cell r="K6">
            <v>1552869</v>
          </cell>
          <cell r="L6">
            <v>1947027</v>
          </cell>
          <cell r="M6">
            <v>2478300</v>
          </cell>
          <cell r="N6">
            <v>3141605</v>
          </cell>
          <cell r="O6">
            <v>2806557.6908411798</v>
          </cell>
        </row>
        <row r="7">
          <cell r="H7">
            <v>1073800</v>
          </cell>
          <cell r="I7">
            <v>1390737</v>
          </cell>
          <cell r="J7">
            <v>1709422.6</v>
          </cell>
          <cell r="K7">
            <v>2281482</v>
          </cell>
          <cell r="L7">
            <v>2563114</v>
          </cell>
          <cell r="M7">
            <v>2865452.2535651531</v>
          </cell>
          <cell r="N7">
            <v>3991839.17704</v>
          </cell>
          <cell r="O7">
            <v>3757694.6670663045</v>
          </cell>
        </row>
        <row r="19">
          <cell r="H19">
            <v>51128866.875231937</v>
          </cell>
          <cell r="I19">
            <v>67532862</v>
          </cell>
          <cell r="J19">
            <v>84439109</v>
          </cell>
          <cell r="K19">
            <v>100711389</v>
          </cell>
          <cell r="L19">
            <v>121707501</v>
          </cell>
          <cell r="M19">
            <v>140953206</v>
          </cell>
          <cell r="N19">
            <v>151565005</v>
          </cell>
          <cell r="O19">
            <v>174896258</v>
          </cell>
        </row>
        <row r="20">
          <cell r="H20">
            <v>0.30980473665469543</v>
          </cell>
          <cell r="I20">
            <v>0.32083627366118206</v>
          </cell>
          <cell r="J20">
            <v>0.25034104137330959</v>
          </cell>
          <cell r="K20">
            <v>0.24199999999999999</v>
          </cell>
          <cell r="L20">
            <v>0.20847803022555866</v>
          </cell>
          <cell r="M20">
            <v>0.15813080411535196</v>
          </cell>
          <cell r="N20">
            <v>7.5285971147048603E-2</v>
          </cell>
          <cell r="O20">
            <v>0.15393561990117699</v>
          </cell>
        </row>
        <row r="74">
          <cell r="H74">
            <v>117206.25</v>
          </cell>
          <cell r="I74">
            <v>116184.52499999999</v>
          </cell>
          <cell r="J74">
            <v>199789.75</v>
          </cell>
          <cell r="K74">
            <v>276188.16386410111</v>
          </cell>
          <cell r="L74">
            <v>282760.375</v>
          </cell>
          <cell r="M74">
            <v>322810</v>
          </cell>
          <cell r="N74">
            <v>395770</v>
          </cell>
          <cell r="O74">
            <v>806844.18430454994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sitorio"/>
      <sheetName val="Consulta Básica"/>
      <sheetName val="Consulta personalizada"/>
      <sheetName val="Data"/>
      <sheetName val="Correlativas"/>
    </sheetNames>
    <sheetDataSet>
      <sheetData sheetId="0"/>
      <sheetData sheetId="1"/>
      <sheetData sheetId="2"/>
      <sheetData sheetId="3"/>
      <sheetData sheetId="4">
        <row r="3">
          <cell r="E3" t="str">
            <v>código</v>
          </cell>
          <cell r="F3" t="str">
            <v>Nombre</v>
          </cell>
        </row>
        <row r="4">
          <cell r="B4" t="str">
            <v>Código Dane</v>
          </cell>
          <cell r="C4" t="str">
            <v>BENEFICIARIO</v>
          </cell>
          <cell r="E4" t="str">
            <v>05</v>
          </cell>
          <cell r="F4" t="str">
            <v>Antioquia</v>
          </cell>
        </row>
        <row r="5">
          <cell r="B5" t="str">
            <v>05</v>
          </cell>
          <cell r="C5" t="str">
            <v>Gobernación de Antioquia</v>
          </cell>
          <cell r="E5" t="str">
            <v>08</v>
          </cell>
          <cell r="F5" t="str">
            <v>Atlántico</v>
          </cell>
        </row>
        <row r="6">
          <cell r="B6" t="str">
            <v>08</v>
          </cell>
          <cell r="C6" t="str">
            <v>Gobernación de Atlántico</v>
          </cell>
          <cell r="E6" t="str">
            <v>11</v>
          </cell>
          <cell r="F6" t="str">
            <v>Bogotá, D.C.</v>
          </cell>
        </row>
        <row r="7">
          <cell r="B7" t="str">
            <v>13</v>
          </cell>
          <cell r="C7" t="str">
            <v>Gobernación de Bolívar</v>
          </cell>
          <cell r="E7" t="str">
            <v>13</v>
          </cell>
          <cell r="F7" t="str">
            <v>Bolívar</v>
          </cell>
        </row>
        <row r="8">
          <cell r="B8" t="str">
            <v>15</v>
          </cell>
          <cell r="C8" t="str">
            <v>Gobernación de Boyacá</v>
          </cell>
          <cell r="E8" t="str">
            <v>15</v>
          </cell>
          <cell r="F8" t="str">
            <v>Boyacá</v>
          </cell>
        </row>
        <row r="9">
          <cell r="B9" t="str">
            <v>17</v>
          </cell>
          <cell r="C9" t="str">
            <v>Gobernación de Caldas</v>
          </cell>
          <cell r="E9" t="str">
            <v>17</v>
          </cell>
          <cell r="F9" t="str">
            <v>Caldas</v>
          </cell>
        </row>
        <row r="10">
          <cell r="B10" t="str">
            <v>18</v>
          </cell>
          <cell r="C10" t="str">
            <v>Gobernación de Caquetá</v>
          </cell>
          <cell r="E10" t="str">
            <v>18</v>
          </cell>
          <cell r="F10" t="str">
            <v>Caquetá</v>
          </cell>
        </row>
        <row r="11">
          <cell r="B11" t="str">
            <v>19</v>
          </cell>
          <cell r="C11" t="str">
            <v>Gobernación de Cauca</v>
          </cell>
          <cell r="E11" t="str">
            <v>19</v>
          </cell>
          <cell r="F11" t="str">
            <v>Cauca</v>
          </cell>
        </row>
        <row r="12">
          <cell r="B12" t="str">
            <v>20</v>
          </cell>
          <cell r="C12" t="str">
            <v>Gobernación de Cesar</v>
          </cell>
          <cell r="E12" t="str">
            <v>20</v>
          </cell>
          <cell r="F12" t="str">
            <v>Cesar</v>
          </cell>
        </row>
        <row r="13">
          <cell r="B13" t="str">
            <v>23</v>
          </cell>
          <cell r="C13" t="str">
            <v>Gobernación de Córdoba</v>
          </cell>
          <cell r="E13" t="str">
            <v>23</v>
          </cell>
          <cell r="F13" t="str">
            <v>Córdoba</v>
          </cell>
        </row>
        <row r="14">
          <cell r="B14" t="str">
            <v>25</v>
          </cell>
          <cell r="C14" t="str">
            <v>Gobernación de Cundinamarca</v>
          </cell>
          <cell r="E14" t="str">
            <v>25</v>
          </cell>
          <cell r="F14" t="str">
            <v>Cundinamarca</v>
          </cell>
        </row>
        <row r="15">
          <cell r="B15" t="str">
            <v>27</v>
          </cell>
          <cell r="C15" t="str">
            <v>Gobernación de Chocó</v>
          </cell>
          <cell r="E15" t="str">
            <v>27</v>
          </cell>
          <cell r="F15" t="str">
            <v>Chocó</v>
          </cell>
        </row>
        <row r="16">
          <cell r="B16" t="str">
            <v>41</v>
          </cell>
          <cell r="C16" t="str">
            <v>Gobernación de Huila</v>
          </cell>
          <cell r="E16" t="str">
            <v>41</v>
          </cell>
          <cell r="F16" t="str">
            <v>Huila</v>
          </cell>
        </row>
        <row r="17">
          <cell r="B17" t="str">
            <v>44</v>
          </cell>
          <cell r="C17" t="str">
            <v>Gobernación de La Guajira</v>
          </cell>
          <cell r="E17" t="str">
            <v>44</v>
          </cell>
          <cell r="F17" t="str">
            <v>La Guajira</v>
          </cell>
        </row>
        <row r="18">
          <cell r="B18" t="str">
            <v>47</v>
          </cell>
          <cell r="C18" t="str">
            <v>Gobernación de Magdalena</v>
          </cell>
          <cell r="E18" t="str">
            <v>47</v>
          </cell>
          <cell r="F18" t="str">
            <v>Magdalena</v>
          </cell>
        </row>
        <row r="19">
          <cell r="B19" t="str">
            <v>50</v>
          </cell>
          <cell r="C19" t="str">
            <v>Gobernación de Meta</v>
          </cell>
          <cell r="E19" t="str">
            <v>50</v>
          </cell>
          <cell r="F19" t="str">
            <v>Meta</v>
          </cell>
        </row>
        <row r="20">
          <cell r="B20" t="str">
            <v>52</v>
          </cell>
          <cell r="C20" t="str">
            <v>Gobernación de Nariño</v>
          </cell>
          <cell r="E20" t="str">
            <v>52</v>
          </cell>
          <cell r="F20" t="str">
            <v>Nariño</v>
          </cell>
        </row>
        <row r="21">
          <cell r="B21" t="str">
            <v>54</v>
          </cell>
          <cell r="C21" t="str">
            <v>Gobernación de Norte de Santander</v>
          </cell>
          <cell r="E21" t="str">
            <v>54</v>
          </cell>
          <cell r="F21" t="str">
            <v>Norte de Santander</v>
          </cell>
        </row>
        <row r="22">
          <cell r="B22" t="str">
            <v>63</v>
          </cell>
          <cell r="C22" t="str">
            <v>Gobernación de Quindio</v>
          </cell>
          <cell r="E22" t="str">
            <v>63</v>
          </cell>
          <cell r="F22" t="str">
            <v>Quindio</v>
          </cell>
        </row>
        <row r="23">
          <cell r="B23" t="str">
            <v>66</v>
          </cell>
          <cell r="C23" t="str">
            <v>Gobernación de Risaralda</v>
          </cell>
          <cell r="E23" t="str">
            <v>66</v>
          </cell>
          <cell r="F23" t="str">
            <v>Risaralda</v>
          </cell>
        </row>
        <row r="24">
          <cell r="B24" t="str">
            <v>68</v>
          </cell>
          <cell r="C24" t="str">
            <v>Gobernación de Santander</v>
          </cell>
          <cell r="E24" t="str">
            <v>68</v>
          </cell>
          <cell r="F24" t="str">
            <v>Santander</v>
          </cell>
        </row>
        <row r="25">
          <cell r="B25" t="str">
            <v>70</v>
          </cell>
          <cell r="C25" t="str">
            <v>Gobernación de Sucre</v>
          </cell>
          <cell r="E25" t="str">
            <v>70</v>
          </cell>
          <cell r="F25" t="str">
            <v>Sucre</v>
          </cell>
        </row>
        <row r="26">
          <cell r="B26" t="str">
            <v>73</v>
          </cell>
          <cell r="C26" t="str">
            <v>Gobernación de Tolima</v>
          </cell>
          <cell r="E26" t="str">
            <v>73</v>
          </cell>
          <cell r="F26" t="str">
            <v>Tolima</v>
          </cell>
        </row>
        <row r="27">
          <cell r="B27" t="str">
            <v>76</v>
          </cell>
          <cell r="C27" t="str">
            <v>Gobernación de Valle del Cauca</v>
          </cell>
          <cell r="E27" t="str">
            <v>76</v>
          </cell>
          <cell r="F27" t="str">
            <v>Valle del Cauca</v>
          </cell>
        </row>
        <row r="28">
          <cell r="B28" t="str">
            <v>81</v>
          </cell>
          <cell r="C28" t="str">
            <v>Gobernación de Arauca</v>
          </cell>
          <cell r="E28" t="str">
            <v>81</v>
          </cell>
          <cell r="F28" t="str">
            <v>Arauca</v>
          </cell>
        </row>
        <row r="29">
          <cell r="B29" t="str">
            <v>85</v>
          </cell>
          <cell r="C29" t="str">
            <v>Gobernación de Casanare</v>
          </cell>
          <cell r="E29" t="str">
            <v>85</v>
          </cell>
          <cell r="F29" t="str">
            <v>Casanare</v>
          </cell>
        </row>
        <row r="30">
          <cell r="B30" t="str">
            <v>86</v>
          </cell>
          <cell r="C30" t="str">
            <v>Gobernación de Putumayo</v>
          </cell>
          <cell r="E30" t="str">
            <v>86</v>
          </cell>
          <cell r="F30" t="str">
            <v>Putumayo</v>
          </cell>
        </row>
        <row r="31">
          <cell r="B31" t="str">
            <v>88</v>
          </cell>
          <cell r="C31" t="str">
            <v>Archipiélago de San Andrés</v>
          </cell>
          <cell r="E31" t="str">
            <v>88</v>
          </cell>
          <cell r="F31" t="str">
            <v>Archipiélago de San Andrés</v>
          </cell>
        </row>
        <row r="32">
          <cell r="B32" t="str">
            <v>91</v>
          </cell>
          <cell r="C32" t="str">
            <v>Gobernación de Amazonas</v>
          </cell>
          <cell r="E32" t="str">
            <v>91</v>
          </cell>
          <cell r="F32" t="str">
            <v>Amazonas</v>
          </cell>
        </row>
        <row r="33">
          <cell r="B33" t="str">
            <v>94</v>
          </cell>
          <cell r="C33" t="str">
            <v>Gobernación de Guainía</v>
          </cell>
          <cell r="E33" t="str">
            <v>94</v>
          </cell>
          <cell r="F33" t="str">
            <v>Guainía</v>
          </cell>
        </row>
        <row r="34">
          <cell r="B34" t="str">
            <v>95</v>
          </cell>
          <cell r="C34" t="str">
            <v>Gobernación de Guaviare</v>
          </cell>
          <cell r="E34" t="str">
            <v>95</v>
          </cell>
          <cell r="F34" t="str">
            <v>Guaviare</v>
          </cell>
        </row>
        <row r="35">
          <cell r="B35" t="str">
            <v>97</v>
          </cell>
          <cell r="C35" t="str">
            <v>Gobernación de Vaupés</v>
          </cell>
          <cell r="E35" t="str">
            <v>97</v>
          </cell>
          <cell r="F35" t="str">
            <v>Vaupés</v>
          </cell>
        </row>
        <row r="36">
          <cell r="B36" t="str">
            <v>99</v>
          </cell>
          <cell r="C36" t="str">
            <v>Gobernación de Vichada</v>
          </cell>
          <cell r="E36" t="str">
            <v>99</v>
          </cell>
          <cell r="F36" t="str">
            <v>Vichada</v>
          </cell>
        </row>
        <row r="37">
          <cell r="B37" t="str">
            <v>05001</v>
          </cell>
          <cell r="C37" t="str">
            <v>Alcaldía de Medellín (Antioquia)</v>
          </cell>
        </row>
        <row r="38">
          <cell r="B38" t="str">
            <v>05002</v>
          </cell>
          <cell r="C38" t="str">
            <v>Alcaldía de Abejorral (Antioquia)</v>
          </cell>
        </row>
        <row r="39">
          <cell r="B39" t="str">
            <v>05004</v>
          </cell>
          <cell r="C39" t="str">
            <v>Alcaldía de Abriaquí (Antioquia)</v>
          </cell>
        </row>
        <row r="40">
          <cell r="B40" t="str">
            <v>05021</v>
          </cell>
          <cell r="C40" t="str">
            <v>Alcaldía de Alejandría (Antioquia)</v>
          </cell>
        </row>
        <row r="41">
          <cell r="B41" t="str">
            <v>05030</v>
          </cell>
          <cell r="C41" t="str">
            <v>Alcaldía de Amagá (Antioquia)</v>
          </cell>
        </row>
        <row r="42">
          <cell r="B42" t="str">
            <v>05031</v>
          </cell>
          <cell r="C42" t="str">
            <v>Alcaldía de Amalfi (Antioquia)</v>
          </cell>
        </row>
        <row r="43">
          <cell r="B43" t="str">
            <v>05034</v>
          </cell>
          <cell r="C43" t="str">
            <v>Alcaldía de Andes (Antioquia)</v>
          </cell>
        </row>
        <row r="44">
          <cell r="B44" t="str">
            <v>05036</v>
          </cell>
          <cell r="C44" t="str">
            <v>Alcaldía de Angelópolis (Antioquia)</v>
          </cell>
        </row>
        <row r="45">
          <cell r="B45" t="str">
            <v>05038</v>
          </cell>
          <cell r="C45" t="str">
            <v>Alcaldía de Angostura (Antioquia)</v>
          </cell>
        </row>
        <row r="46">
          <cell r="B46" t="str">
            <v>05040</v>
          </cell>
          <cell r="C46" t="str">
            <v>Alcaldía de Anorí (Antioquia)</v>
          </cell>
        </row>
        <row r="47">
          <cell r="B47" t="str">
            <v>05042</v>
          </cell>
          <cell r="C47" t="str">
            <v>Alcaldía de Santafé de Antioquia (Antioquia)</v>
          </cell>
        </row>
        <row r="48">
          <cell r="B48" t="str">
            <v>05044</v>
          </cell>
          <cell r="C48" t="str">
            <v>Alcaldía de Anza (Antioquia)</v>
          </cell>
        </row>
        <row r="49">
          <cell r="B49" t="str">
            <v>05045</v>
          </cell>
          <cell r="C49" t="str">
            <v>Alcaldía de Apartadó (Antioquia)</v>
          </cell>
        </row>
        <row r="50">
          <cell r="B50" t="str">
            <v>05051</v>
          </cell>
          <cell r="C50" t="str">
            <v>Alcaldía de Arboletes (Antioquia)</v>
          </cell>
        </row>
        <row r="51">
          <cell r="B51" t="str">
            <v>05055</v>
          </cell>
          <cell r="C51" t="str">
            <v>Alcaldía de Argelia (Antioquia)</v>
          </cell>
        </row>
        <row r="52">
          <cell r="B52" t="str">
            <v>05059</v>
          </cell>
          <cell r="C52" t="str">
            <v>Alcaldía de Armenia (Antioquia)</v>
          </cell>
        </row>
        <row r="53">
          <cell r="B53" t="str">
            <v>05079</v>
          </cell>
          <cell r="C53" t="str">
            <v>Alcaldía de Barbosa (Antioquia)</v>
          </cell>
        </row>
        <row r="54">
          <cell r="B54" t="str">
            <v>05086</v>
          </cell>
          <cell r="C54" t="str">
            <v>Alcaldía de Belmira (Antioquia)</v>
          </cell>
        </row>
        <row r="55">
          <cell r="B55" t="str">
            <v>05088</v>
          </cell>
          <cell r="C55" t="str">
            <v>Alcaldía de Bello (Antioquia)</v>
          </cell>
        </row>
        <row r="56">
          <cell r="B56" t="str">
            <v>05091</v>
          </cell>
          <cell r="C56" t="str">
            <v>Alcaldía de Betania (Antioquia)</v>
          </cell>
        </row>
        <row r="57">
          <cell r="B57" t="str">
            <v>05093</v>
          </cell>
          <cell r="C57" t="str">
            <v>Alcaldía de Betulia (Antioquia)</v>
          </cell>
        </row>
        <row r="58">
          <cell r="B58" t="str">
            <v>05101</v>
          </cell>
          <cell r="C58" t="str">
            <v>Alcaldía de Ciudad Bolívar (Antioquia)</v>
          </cell>
        </row>
        <row r="59">
          <cell r="B59" t="str">
            <v>05107</v>
          </cell>
          <cell r="C59" t="str">
            <v>Alcaldía de Briceño (Antioquia)</v>
          </cell>
        </row>
        <row r="60">
          <cell r="B60" t="str">
            <v>05113</v>
          </cell>
          <cell r="C60" t="str">
            <v>Alcaldía de Buriticá (Antioquia)</v>
          </cell>
        </row>
        <row r="61">
          <cell r="B61" t="str">
            <v>05120</v>
          </cell>
          <cell r="C61" t="str">
            <v>Alcaldía de Cáceres (Antioquia)</v>
          </cell>
        </row>
        <row r="62">
          <cell r="B62" t="str">
            <v>05125</v>
          </cell>
          <cell r="C62" t="str">
            <v>Alcaldía de Caicedo (Antioquia)</v>
          </cell>
        </row>
        <row r="63">
          <cell r="B63" t="str">
            <v>05129</v>
          </cell>
          <cell r="C63" t="str">
            <v>Alcaldía de Caldas (Antioquia)</v>
          </cell>
        </row>
        <row r="64">
          <cell r="B64" t="str">
            <v>05134</v>
          </cell>
          <cell r="C64" t="str">
            <v>Alcaldía de Campamento (Antioquia)</v>
          </cell>
        </row>
        <row r="65">
          <cell r="B65" t="str">
            <v>05138</v>
          </cell>
          <cell r="C65" t="str">
            <v>Alcaldía de Cañasgordas (Antioquia)</v>
          </cell>
        </row>
        <row r="66">
          <cell r="B66" t="str">
            <v>05142</v>
          </cell>
          <cell r="C66" t="str">
            <v>Alcaldía de Caracolí (Antioquia)</v>
          </cell>
        </row>
        <row r="67">
          <cell r="B67" t="str">
            <v>05145</v>
          </cell>
          <cell r="C67" t="str">
            <v>Alcaldía de Caramanta (Antioquia)</v>
          </cell>
        </row>
        <row r="68">
          <cell r="B68" t="str">
            <v>05147</v>
          </cell>
          <cell r="C68" t="str">
            <v>Alcaldía de Carepa (Antioquia)</v>
          </cell>
        </row>
        <row r="69">
          <cell r="B69" t="str">
            <v>05148</v>
          </cell>
          <cell r="C69" t="str">
            <v>Alcaldía de El Carmen de Viboral (Antioquia)</v>
          </cell>
        </row>
        <row r="70">
          <cell r="B70" t="str">
            <v>05150</v>
          </cell>
          <cell r="C70" t="str">
            <v>Alcaldía de Carolina (Antioquia)</v>
          </cell>
        </row>
        <row r="71">
          <cell r="B71" t="str">
            <v>05154</v>
          </cell>
          <cell r="C71" t="str">
            <v>Alcaldía de Caucasia (Antioquia)</v>
          </cell>
        </row>
        <row r="72">
          <cell r="B72" t="str">
            <v>05172</v>
          </cell>
          <cell r="C72" t="str">
            <v>Alcaldía de Chigorodó (Antioquia)</v>
          </cell>
        </row>
        <row r="73">
          <cell r="B73" t="str">
            <v>05190</v>
          </cell>
          <cell r="C73" t="str">
            <v>Alcaldía de Cisneros (Antioquia)</v>
          </cell>
        </row>
        <row r="74">
          <cell r="B74" t="str">
            <v>05197</v>
          </cell>
          <cell r="C74" t="str">
            <v>Alcaldía de Cocorná (Antioquia)</v>
          </cell>
        </row>
        <row r="75">
          <cell r="B75" t="str">
            <v>05206</v>
          </cell>
          <cell r="C75" t="str">
            <v>Alcaldía de Concepción (Antioquia)</v>
          </cell>
        </row>
        <row r="76">
          <cell r="B76" t="str">
            <v>05209</v>
          </cell>
          <cell r="C76" t="str">
            <v>Alcaldía de Concordia (Antioquia)</v>
          </cell>
        </row>
        <row r="77">
          <cell r="B77" t="str">
            <v>05212</v>
          </cell>
          <cell r="C77" t="str">
            <v>Alcaldía de Copacabana (Antioquia)</v>
          </cell>
        </row>
        <row r="78">
          <cell r="B78" t="str">
            <v>05234</v>
          </cell>
          <cell r="C78" t="str">
            <v>Alcaldía de Dabeiba (Antioquia)</v>
          </cell>
        </row>
        <row r="79">
          <cell r="B79" t="str">
            <v>05237</v>
          </cell>
          <cell r="C79" t="str">
            <v>Alcaldía de Don Matías (Antioquia)</v>
          </cell>
        </row>
        <row r="80">
          <cell r="B80" t="str">
            <v>05240</v>
          </cell>
          <cell r="C80" t="str">
            <v>Alcaldía de Ebéjico (Antioquia)</v>
          </cell>
        </row>
        <row r="81">
          <cell r="B81" t="str">
            <v>05250</v>
          </cell>
          <cell r="C81" t="str">
            <v>Alcaldía de El Bagre (Antioquia)</v>
          </cell>
        </row>
        <row r="82">
          <cell r="B82" t="str">
            <v>05264</v>
          </cell>
          <cell r="C82" t="str">
            <v>Alcaldía de Entrerrios (Antioquia)</v>
          </cell>
        </row>
        <row r="83">
          <cell r="B83" t="str">
            <v>05266</v>
          </cell>
          <cell r="C83" t="str">
            <v>Alcaldía de Envigado (Antioquia)</v>
          </cell>
        </row>
        <row r="84">
          <cell r="B84" t="str">
            <v>05282</v>
          </cell>
          <cell r="C84" t="str">
            <v>Alcaldía de Fredonia (Antioquia)</v>
          </cell>
        </row>
        <row r="85">
          <cell r="B85" t="str">
            <v>05284</v>
          </cell>
          <cell r="C85" t="str">
            <v>Alcaldía de Frontino (Antioquia)</v>
          </cell>
        </row>
        <row r="86">
          <cell r="B86" t="str">
            <v>05306</v>
          </cell>
          <cell r="C86" t="str">
            <v>Alcaldía de Giraldo (Antioquia)</v>
          </cell>
        </row>
        <row r="87">
          <cell r="B87" t="str">
            <v>05308</v>
          </cell>
          <cell r="C87" t="str">
            <v>Alcaldía de Girardota (Antioquia)</v>
          </cell>
        </row>
        <row r="88">
          <cell r="B88" t="str">
            <v>05310</v>
          </cell>
          <cell r="C88" t="str">
            <v>Alcaldía de Gómez Plata (Antioquia)</v>
          </cell>
        </row>
        <row r="89">
          <cell r="B89" t="str">
            <v>05313</v>
          </cell>
          <cell r="C89" t="str">
            <v>Alcaldía de Granada (Antioquia)</v>
          </cell>
        </row>
        <row r="90">
          <cell r="B90" t="str">
            <v>05315</v>
          </cell>
          <cell r="C90" t="str">
            <v>Alcaldía de Guadalupe (Antioquia)</v>
          </cell>
        </row>
        <row r="91">
          <cell r="B91" t="str">
            <v>05318</v>
          </cell>
          <cell r="C91" t="str">
            <v>Alcaldía de Guarne (Antioquia)</v>
          </cell>
        </row>
        <row r="92">
          <cell r="B92" t="str">
            <v>05321</v>
          </cell>
          <cell r="C92" t="str">
            <v>Alcaldía de Guatapé (Antioquia)</v>
          </cell>
        </row>
        <row r="93">
          <cell r="B93" t="str">
            <v>05347</v>
          </cell>
          <cell r="C93" t="str">
            <v>Alcaldía de Heliconia (Antioquia)</v>
          </cell>
        </row>
        <row r="94">
          <cell r="B94" t="str">
            <v>05353</v>
          </cell>
          <cell r="C94" t="str">
            <v>Alcaldía de Hispania (Antioquia)</v>
          </cell>
        </row>
        <row r="95">
          <cell r="B95" t="str">
            <v>05360</v>
          </cell>
          <cell r="C95" t="str">
            <v>Alcaldía de Itagui (Antioquia)</v>
          </cell>
        </row>
        <row r="96">
          <cell r="B96" t="str">
            <v>05361</v>
          </cell>
          <cell r="C96" t="str">
            <v>Alcaldía de Ituango (Antioquia)</v>
          </cell>
        </row>
        <row r="97">
          <cell r="B97" t="str">
            <v>05364</v>
          </cell>
          <cell r="C97" t="str">
            <v>Alcaldía de Jardín (Antioquia)</v>
          </cell>
        </row>
        <row r="98">
          <cell r="B98" t="str">
            <v>05368</v>
          </cell>
          <cell r="C98" t="str">
            <v>Alcaldía de Jericó (Antioquia)</v>
          </cell>
        </row>
        <row r="99">
          <cell r="B99" t="str">
            <v>05376</v>
          </cell>
          <cell r="C99" t="str">
            <v>Alcaldía de La Ceja (Antioquia)</v>
          </cell>
        </row>
        <row r="100">
          <cell r="B100" t="str">
            <v>05380</v>
          </cell>
          <cell r="C100" t="str">
            <v>Alcaldía de La Estrella (Antioquia)</v>
          </cell>
        </row>
        <row r="101">
          <cell r="B101" t="str">
            <v>05390</v>
          </cell>
          <cell r="C101" t="str">
            <v>Alcaldía de La Pintada (Antioquia)</v>
          </cell>
        </row>
        <row r="102">
          <cell r="B102" t="str">
            <v>05400</v>
          </cell>
          <cell r="C102" t="str">
            <v>Alcaldía de La Unión (Antioquia)</v>
          </cell>
        </row>
        <row r="103">
          <cell r="B103" t="str">
            <v>05411</v>
          </cell>
          <cell r="C103" t="str">
            <v>Alcaldía de Liborina (Antioquia)</v>
          </cell>
        </row>
        <row r="104">
          <cell r="B104" t="str">
            <v>05425</v>
          </cell>
          <cell r="C104" t="str">
            <v>Alcaldía de Maceo (Antioquia)</v>
          </cell>
        </row>
        <row r="105">
          <cell r="B105" t="str">
            <v>05440</v>
          </cell>
          <cell r="C105" t="str">
            <v>Alcaldía de Marinilla (Antioquia)</v>
          </cell>
        </row>
        <row r="106">
          <cell r="B106" t="str">
            <v>05467</v>
          </cell>
          <cell r="C106" t="str">
            <v>Alcaldía de Montebello (Antioquia)</v>
          </cell>
        </row>
        <row r="107">
          <cell r="B107" t="str">
            <v>05475</v>
          </cell>
          <cell r="C107" t="str">
            <v>Alcaldía de Murindó (Antioquia)</v>
          </cell>
        </row>
        <row r="108">
          <cell r="B108" t="str">
            <v>05480</v>
          </cell>
          <cell r="C108" t="str">
            <v>Alcaldía de Mutatá (Antioquia)</v>
          </cell>
        </row>
        <row r="109">
          <cell r="B109" t="str">
            <v>05483</v>
          </cell>
          <cell r="C109" t="str">
            <v>Alcaldía de Nariño (Antioquia)</v>
          </cell>
        </row>
        <row r="110">
          <cell r="B110" t="str">
            <v>05490</v>
          </cell>
          <cell r="C110" t="str">
            <v>Alcaldía de Necoclí (Antioquia)</v>
          </cell>
        </row>
        <row r="111">
          <cell r="B111" t="str">
            <v>05495</v>
          </cell>
          <cell r="C111" t="str">
            <v>Alcaldía de Nechí (Antioquia)</v>
          </cell>
        </row>
        <row r="112">
          <cell r="B112" t="str">
            <v>05501</v>
          </cell>
          <cell r="C112" t="str">
            <v>Alcaldía de Olaya (Antioquia)</v>
          </cell>
        </row>
        <row r="113">
          <cell r="B113" t="str">
            <v>05541</v>
          </cell>
          <cell r="C113" t="str">
            <v>Alcaldía de Peñol (Antioquia)</v>
          </cell>
        </row>
        <row r="114">
          <cell r="B114" t="str">
            <v>05543</v>
          </cell>
          <cell r="C114" t="str">
            <v>Alcaldía de Peque (Antioquia)</v>
          </cell>
        </row>
        <row r="115">
          <cell r="B115" t="str">
            <v>05576</v>
          </cell>
          <cell r="C115" t="str">
            <v>Alcaldía de Pueblorrico (Antioquia)</v>
          </cell>
        </row>
        <row r="116">
          <cell r="B116" t="str">
            <v>05579</v>
          </cell>
          <cell r="C116" t="str">
            <v>Alcaldía de Puerto Berrío (Antioquia)</v>
          </cell>
        </row>
        <row r="117">
          <cell r="B117" t="str">
            <v>05585</v>
          </cell>
          <cell r="C117" t="str">
            <v>Alcaldía de Puerto Nare (Antioquia)</v>
          </cell>
        </row>
        <row r="118">
          <cell r="B118" t="str">
            <v>05591</v>
          </cell>
          <cell r="C118" t="str">
            <v>Alcaldía de Puerto Triunfo (Antioquia)</v>
          </cell>
        </row>
        <row r="119">
          <cell r="B119" t="str">
            <v>05604</v>
          </cell>
          <cell r="C119" t="str">
            <v>Alcaldía de Remedios (Antioquia)</v>
          </cell>
        </row>
        <row r="120">
          <cell r="B120" t="str">
            <v>05607</v>
          </cell>
          <cell r="C120" t="str">
            <v>Alcaldía de Retiro (Antioquia)</v>
          </cell>
        </row>
        <row r="121">
          <cell r="B121" t="str">
            <v>05615</v>
          </cell>
          <cell r="C121" t="str">
            <v>Alcaldía de Rionegro (Antioquia)</v>
          </cell>
        </row>
        <row r="122">
          <cell r="B122" t="str">
            <v>05628</v>
          </cell>
          <cell r="C122" t="str">
            <v>Alcaldía de Sabanalarga (Antioquia)</v>
          </cell>
        </row>
        <row r="123">
          <cell r="B123" t="str">
            <v>05631</v>
          </cell>
          <cell r="C123" t="str">
            <v>Alcaldía de Sabaneta (Antioquia)</v>
          </cell>
        </row>
        <row r="124">
          <cell r="B124" t="str">
            <v>05642</v>
          </cell>
          <cell r="C124" t="str">
            <v>Alcaldía de Salgar (Antioquia)</v>
          </cell>
        </row>
        <row r="125">
          <cell r="B125" t="str">
            <v>05647</v>
          </cell>
          <cell r="C125" t="str">
            <v>Alcaldía de San Andrés de Cuerquía (Antioquia)</v>
          </cell>
        </row>
        <row r="126">
          <cell r="B126" t="str">
            <v>05649</v>
          </cell>
          <cell r="C126" t="str">
            <v>Alcaldía de San Carlos (Antioquia)</v>
          </cell>
        </row>
        <row r="127">
          <cell r="B127" t="str">
            <v>05652</v>
          </cell>
          <cell r="C127" t="str">
            <v>Alcaldía de San Francisco (Antioquia)</v>
          </cell>
        </row>
        <row r="128">
          <cell r="B128" t="str">
            <v>05656</v>
          </cell>
          <cell r="C128" t="str">
            <v>Alcaldía de San Jerónimo (Antioquia)</v>
          </cell>
        </row>
        <row r="129">
          <cell r="B129" t="str">
            <v>05658</v>
          </cell>
          <cell r="C129" t="str">
            <v>Alcaldía de San José de La Montaña (Antioquia)</v>
          </cell>
        </row>
        <row r="130">
          <cell r="B130" t="str">
            <v>05659</v>
          </cell>
          <cell r="C130" t="str">
            <v>Alcaldía de San Juan de Urabá (Antioquia)</v>
          </cell>
        </row>
        <row r="131">
          <cell r="B131" t="str">
            <v>05660</v>
          </cell>
          <cell r="C131" t="str">
            <v>Alcaldía de San Luis (Antioquia)</v>
          </cell>
        </row>
        <row r="132">
          <cell r="B132" t="str">
            <v>05664</v>
          </cell>
          <cell r="C132" t="str">
            <v>Alcaldía de San Pedro (Antioquia)</v>
          </cell>
        </row>
        <row r="133">
          <cell r="B133" t="str">
            <v>05665</v>
          </cell>
          <cell r="C133" t="str">
            <v>Alcaldía de San Pedro de Uraba (Antioquia)</v>
          </cell>
        </row>
        <row r="134">
          <cell r="B134" t="str">
            <v>05667</v>
          </cell>
          <cell r="C134" t="str">
            <v>Alcaldía de San Rafael (Antioquia)</v>
          </cell>
        </row>
        <row r="135">
          <cell r="B135" t="str">
            <v>05670</v>
          </cell>
          <cell r="C135" t="str">
            <v>Alcaldía de San Roque (Antioquia)</v>
          </cell>
        </row>
        <row r="136">
          <cell r="B136" t="str">
            <v>05674</v>
          </cell>
          <cell r="C136" t="str">
            <v>Alcaldía de San Vicente (Antioquia)</v>
          </cell>
        </row>
        <row r="137">
          <cell r="B137" t="str">
            <v>05679</v>
          </cell>
          <cell r="C137" t="str">
            <v>Alcaldía de Santa Bárbara (Antioquia)</v>
          </cell>
        </row>
        <row r="138">
          <cell r="B138" t="str">
            <v>05686</v>
          </cell>
          <cell r="C138" t="str">
            <v>Alcaldía de Santa Rosa de Osos (Antioquia)</v>
          </cell>
        </row>
        <row r="139">
          <cell r="B139" t="str">
            <v>05690</v>
          </cell>
          <cell r="C139" t="str">
            <v>Alcaldía de Santo Domingo (Antioquia)</v>
          </cell>
        </row>
        <row r="140">
          <cell r="B140" t="str">
            <v>05697</v>
          </cell>
          <cell r="C140" t="str">
            <v>Alcaldía de El Santuario (Antioquia)</v>
          </cell>
        </row>
        <row r="141">
          <cell r="B141" t="str">
            <v>05736</v>
          </cell>
          <cell r="C141" t="str">
            <v>Alcaldía de Segovia (Antioquia)</v>
          </cell>
        </row>
        <row r="142">
          <cell r="B142" t="str">
            <v>05756</v>
          </cell>
          <cell r="C142" t="str">
            <v>Alcaldía de Sonson (Antioquia)</v>
          </cell>
        </row>
        <row r="143">
          <cell r="B143" t="str">
            <v>05761</v>
          </cell>
          <cell r="C143" t="str">
            <v>Alcaldía de Sopetrán (Antioquia)</v>
          </cell>
        </row>
        <row r="144">
          <cell r="B144" t="str">
            <v>05789</v>
          </cell>
          <cell r="C144" t="str">
            <v>Alcaldía de Támesis (Antioquia)</v>
          </cell>
        </row>
        <row r="145">
          <cell r="B145" t="str">
            <v>05790</v>
          </cell>
          <cell r="C145" t="str">
            <v>Alcaldía de Tarazá (Antioquia)</v>
          </cell>
        </row>
        <row r="146">
          <cell r="B146" t="str">
            <v>05792</v>
          </cell>
          <cell r="C146" t="str">
            <v>Alcaldía de Tarso (Antioquia)</v>
          </cell>
        </row>
        <row r="147">
          <cell r="B147" t="str">
            <v>05809</v>
          </cell>
          <cell r="C147" t="str">
            <v>Alcaldía de Titiribí (Antioquia)</v>
          </cell>
        </row>
        <row r="148">
          <cell r="B148" t="str">
            <v>05819</v>
          </cell>
          <cell r="C148" t="str">
            <v>Alcaldía de Toledo (Antioquia)</v>
          </cell>
        </row>
        <row r="149">
          <cell r="B149" t="str">
            <v>05837</v>
          </cell>
          <cell r="C149" t="str">
            <v>Alcaldía de Turbo (Antioquia)</v>
          </cell>
        </row>
        <row r="150">
          <cell r="B150" t="str">
            <v>05842</v>
          </cell>
          <cell r="C150" t="str">
            <v>Alcaldía de Uramita (Antioquia)</v>
          </cell>
        </row>
        <row r="151">
          <cell r="B151" t="str">
            <v>05847</v>
          </cell>
          <cell r="C151" t="str">
            <v>Alcaldía de Urrao (Antioquia)</v>
          </cell>
        </row>
        <row r="152">
          <cell r="B152" t="str">
            <v>05854</v>
          </cell>
          <cell r="C152" t="str">
            <v>Alcaldía de Valdivia (Antioquia)</v>
          </cell>
        </row>
        <row r="153">
          <cell r="B153" t="str">
            <v>05856</v>
          </cell>
          <cell r="C153" t="str">
            <v>Alcaldía de Valparaíso (Antioquia)</v>
          </cell>
        </row>
        <row r="154">
          <cell r="B154" t="str">
            <v>05858</v>
          </cell>
          <cell r="C154" t="str">
            <v>Alcaldía de Vegachí (Antioquia)</v>
          </cell>
        </row>
        <row r="155">
          <cell r="B155" t="str">
            <v>05861</v>
          </cell>
          <cell r="C155" t="str">
            <v>Alcaldía de Venecia (Antioquia)</v>
          </cell>
        </row>
        <row r="156">
          <cell r="B156" t="str">
            <v>05873</v>
          </cell>
          <cell r="C156" t="str">
            <v>Alcaldía de Vigía del Fuerte (Antioquia)</v>
          </cell>
        </row>
        <row r="157">
          <cell r="B157" t="str">
            <v>05885</v>
          </cell>
          <cell r="C157" t="str">
            <v>Alcaldía de Yalí (Antioquia)</v>
          </cell>
        </row>
        <row r="158">
          <cell r="B158" t="str">
            <v>05887</v>
          </cell>
          <cell r="C158" t="str">
            <v>Alcaldía de Yarumal (Antioquia)</v>
          </cell>
        </row>
        <row r="159">
          <cell r="B159" t="str">
            <v>05890</v>
          </cell>
          <cell r="C159" t="str">
            <v>Alcaldía de Yolombó (Antioquia)</v>
          </cell>
        </row>
        <row r="160">
          <cell r="B160" t="str">
            <v>05893</v>
          </cell>
          <cell r="C160" t="str">
            <v>Alcaldía de Yondó (Antioquia)</v>
          </cell>
        </row>
        <row r="161">
          <cell r="B161" t="str">
            <v>05895</v>
          </cell>
          <cell r="C161" t="str">
            <v>Alcaldía de Zaragoza (Antioquia)</v>
          </cell>
        </row>
        <row r="162">
          <cell r="B162" t="str">
            <v>08001</v>
          </cell>
          <cell r="C162" t="str">
            <v>Alcaldía de Barranquilla (Atlántico)</v>
          </cell>
        </row>
        <row r="163">
          <cell r="B163" t="str">
            <v>08078</v>
          </cell>
          <cell r="C163" t="str">
            <v>Alcaldía de Baranoa (Atlántico)</v>
          </cell>
        </row>
        <row r="164">
          <cell r="B164" t="str">
            <v>08137</v>
          </cell>
          <cell r="C164" t="str">
            <v>Alcaldía de Campo de La Cruz (Atlántico)</v>
          </cell>
        </row>
        <row r="165">
          <cell r="B165" t="str">
            <v>08141</v>
          </cell>
          <cell r="C165" t="str">
            <v>Alcaldía de Candelaria (Atlántico)</v>
          </cell>
        </row>
        <row r="166">
          <cell r="B166" t="str">
            <v>08296</v>
          </cell>
          <cell r="C166" t="str">
            <v>Alcaldía de Galapa (Atlántico)</v>
          </cell>
        </row>
        <row r="167">
          <cell r="B167" t="str">
            <v>08372</v>
          </cell>
          <cell r="C167" t="str">
            <v>Alcaldía de Juan de Acosta (Atlántico)</v>
          </cell>
        </row>
        <row r="168">
          <cell r="B168" t="str">
            <v>08421</v>
          </cell>
          <cell r="C168" t="str">
            <v>Alcaldía de Luruaco (Atlántico)</v>
          </cell>
        </row>
        <row r="169">
          <cell r="B169" t="str">
            <v>08433</v>
          </cell>
          <cell r="C169" t="str">
            <v>Alcaldía de Malambo (Atlántico)</v>
          </cell>
        </row>
        <row r="170">
          <cell r="B170" t="str">
            <v>08436</v>
          </cell>
          <cell r="C170" t="str">
            <v>Alcaldía de Manatí (Atlántico)</v>
          </cell>
        </row>
        <row r="171">
          <cell r="B171" t="str">
            <v>08520</v>
          </cell>
          <cell r="C171" t="str">
            <v>Alcaldía de Palmar de Varela (Atlántico)</v>
          </cell>
        </row>
        <row r="172">
          <cell r="B172" t="str">
            <v>08549</v>
          </cell>
          <cell r="C172" t="str">
            <v>Alcaldía de Piojó (Atlántico)</v>
          </cell>
        </row>
        <row r="173">
          <cell r="B173" t="str">
            <v>08558</v>
          </cell>
          <cell r="C173" t="str">
            <v>Alcaldía de Polonuevo (Atlántico)</v>
          </cell>
        </row>
        <row r="174">
          <cell r="B174" t="str">
            <v>08560</v>
          </cell>
          <cell r="C174" t="str">
            <v>Alcaldía de Ponedera (Atlántico)</v>
          </cell>
        </row>
        <row r="175">
          <cell r="B175" t="str">
            <v>08573</v>
          </cell>
          <cell r="C175" t="str">
            <v>Alcaldía de Puerto Colombia (Atlántico)</v>
          </cell>
        </row>
        <row r="176">
          <cell r="B176" t="str">
            <v>08606</v>
          </cell>
          <cell r="C176" t="str">
            <v>Alcaldía de Repelón (Atlántico)</v>
          </cell>
        </row>
        <row r="177">
          <cell r="B177" t="str">
            <v>08634</v>
          </cell>
          <cell r="C177" t="str">
            <v>Alcaldía de Sabanagrande (Atlántico)</v>
          </cell>
        </row>
        <row r="178">
          <cell r="B178" t="str">
            <v>08638</v>
          </cell>
          <cell r="C178" t="str">
            <v>Alcaldía de Sabanalarga (Atlántico)</v>
          </cell>
        </row>
        <row r="179">
          <cell r="B179" t="str">
            <v>08675</v>
          </cell>
          <cell r="C179" t="str">
            <v>Alcaldía de Santa Lucía (Atlántico)</v>
          </cell>
        </row>
        <row r="180">
          <cell r="B180" t="str">
            <v>08685</v>
          </cell>
          <cell r="C180" t="str">
            <v>Alcaldía de Santo Tomás (Atlántico)</v>
          </cell>
        </row>
        <row r="181">
          <cell r="B181" t="str">
            <v>08758</v>
          </cell>
          <cell r="C181" t="str">
            <v>Alcaldía de Soledad (Atlántico)</v>
          </cell>
        </row>
        <row r="182">
          <cell r="B182" t="str">
            <v>08770</v>
          </cell>
          <cell r="C182" t="str">
            <v>Alcaldía de Suan (Atlántico)</v>
          </cell>
        </row>
        <row r="183">
          <cell r="B183" t="str">
            <v>08832</v>
          </cell>
          <cell r="C183" t="str">
            <v>Alcaldía de Tubará (Atlántico)</v>
          </cell>
        </row>
        <row r="184">
          <cell r="B184" t="str">
            <v>08849</v>
          </cell>
          <cell r="C184" t="str">
            <v>Alcaldía de Usiacurí (Atlántico)</v>
          </cell>
        </row>
        <row r="185">
          <cell r="B185" t="str">
            <v>11001</v>
          </cell>
          <cell r="C185" t="str">
            <v>Alcaldía de Bogotá, D.C. (Bogotá, D.C.)</v>
          </cell>
        </row>
        <row r="186">
          <cell r="B186" t="str">
            <v>13001</v>
          </cell>
          <cell r="C186" t="str">
            <v>Alcaldía de Cartagena (Bolívar)</v>
          </cell>
        </row>
        <row r="187">
          <cell r="B187" t="str">
            <v>13006</v>
          </cell>
          <cell r="C187" t="str">
            <v>Alcaldía de Achí (Bolívar)</v>
          </cell>
        </row>
        <row r="188">
          <cell r="B188" t="str">
            <v>13030</v>
          </cell>
          <cell r="C188" t="str">
            <v>Alcaldía de Altos del Rosario (Bolívar)</v>
          </cell>
        </row>
        <row r="189">
          <cell r="B189" t="str">
            <v>13042</v>
          </cell>
          <cell r="C189" t="str">
            <v>Alcaldía de Arenal (Bolívar)</v>
          </cell>
        </row>
        <row r="190">
          <cell r="B190" t="str">
            <v>13052</v>
          </cell>
          <cell r="C190" t="str">
            <v>Alcaldía de Arjona (Bolívar)</v>
          </cell>
        </row>
        <row r="191">
          <cell r="B191" t="str">
            <v>13062</v>
          </cell>
          <cell r="C191" t="str">
            <v>Alcaldía de Arroyohondo (Bolívar)</v>
          </cell>
        </row>
        <row r="192">
          <cell r="B192" t="str">
            <v>13074</v>
          </cell>
          <cell r="C192" t="str">
            <v>Alcaldía de Barranco de Loba (Bolívar)</v>
          </cell>
        </row>
        <row r="193">
          <cell r="B193" t="str">
            <v>13140</v>
          </cell>
          <cell r="C193" t="str">
            <v>Alcaldía de Calamar (Bolívar)</v>
          </cell>
        </row>
        <row r="194">
          <cell r="B194" t="str">
            <v>13160</v>
          </cell>
          <cell r="C194" t="str">
            <v>Alcaldía de Cantagallo (Bolívar)</v>
          </cell>
        </row>
        <row r="195">
          <cell r="B195" t="str">
            <v>13188</v>
          </cell>
          <cell r="C195" t="str">
            <v>Alcaldía de Cicuco (Bolívar)</v>
          </cell>
        </row>
        <row r="196">
          <cell r="B196" t="str">
            <v>13212</v>
          </cell>
          <cell r="C196" t="str">
            <v>Alcaldía de Córdoba (Bolívar)</v>
          </cell>
        </row>
        <row r="197">
          <cell r="B197" t="str">
            <v>13222</v>
          </cell>
          <cell r="C197" t="str">
            <v>Alcaldía de Clemencia (Bolívar)</v>
          </cell>
        </row>
        <row r="198">
          <cell r="B198" t="str">
            <v>13244</v>
          </cell>
          <cell r="C198" t="str">
            <v>Alcaldía de El Carmen de Bolívar (Bolívar)</v>
          </cell>
        </row>
        <row r="199">
          <cell r="B199" t="str">
            <v>13248</v>
          </cell>
          <cell r="C199" t="str">
            <v>Alcaldía de El Guamo (Bolívar)</v>
          </cell>
        </row>
        <row r="200">
          <cell r="B200" t="str">
            <v>13268</v>
          </cell>
          <cell r="C200" t="str">
            <v>Alcaldía de El Peñón (Bolívar)</v>
          </cell>
        </row>
        <row r="201">
          <cell r="B201" t="str">
            <v>13300</v>
          </cell>
          <cell r="C201" t="str">
            <v>Alcaldía de Hatillo de Loba (Bolívar)</v>
          </cell>
        </row>
        <row r="202">
          <cell r="B202" t="str">
            <v>13430</v>
          </cell>
          <cell r="C202" t="str">
            <v>Alcaldía de Magangué (Bolívar)</v>
          </cell>
        </row>
        <row r="203">
          <cell r="B203" t="str">
            <v>13433</v>
          </cell>
          <cell r="C203" t="str">
            <v>Alcaldía de Mahates (Bolívar)</v>
          </cell>
        </row>
        <row r="204">
          <cell r="B204" t="str">
            <v>13440</v>
          </cell>
          <cell r="C204" t="str">
            <v>Alcaldía de Margarita (Bolívar)</v>
          </cell>
        </row>
        <row r="205">
          <cell r="B205" t="str">
            <v>13442</v>
          </cell>
          <cell r="C205" t="str">
            <v>Alcaldía de María La Baja (Bolívar)</v>
          </cell>
        </row>
        <row r="206">
          <cell r="B206" t="str">
            <v>13458</v>
          </cell>
          <cell r="C206" t="str">
            <v>Alcaldía de Montecristo (Bolívar)</v>
          </cell>
        </row>
        <row r="207">
          <cell r="B207" t="str">
            <v>13468</v>
          </cell>
          <cell r="C207" t="str">
            <v>Alcaldía de Mompós (Bolívar)</v>
          </cell>
        </row>
        <row r="208">
          <cell r="B208" t="str">
            <v>13473</v>
          </cell>
          <cell r="C208" t="str">
            <v>Alcaldía de Morales (Bolívar)</v>
          </cell>
        </row>
        <row r="209">
          <cell r="B209" t="str">
            <v>13490</v>
          </cell>
          <cell r="C209" t="str">
            <v>Alcaldía de Norosí (Bolívar)</v>
          </cell>
        </row>
        <row r="210">
          <cell r="B210" t="str">
            <v>13549</v>
          </cell>
          <cell r="C210" t="str">
            <v>Alcaldía de Pinillos (Bolívar)</v>
          </cell>
        </row>
        <row r="211">
          <cell r="B211" t="str">
            <v>13580</v>
          </cell>
          <cell r="C211" t="str">
            <v>Alcaldía de Regidor (Bolívar)</v>
          </cell>
        </row>
        <row r="212">
          <cell r="B212" t="str">
            <v>13600</v>
          </cell>
          <cell r="C212" t="str">
            <v>Alcaldía de Río Viejo (Bolívar)</v>
          </cell>
        </row>
        <row r="213">
          <cell r="B213" t="str">
            <v>13620</v>
          </cell>
          <cell r="C213" t="str">
            <v>Alcaldía de San Cristóbal (Bolívar)</v>
          </cell>
        </row>
        <row r="214">
          <cell r="B214" t="str">
            <v>13647</v>
          </cell>
          <cell r="C214" t="str">
            <v>Alcaldía de San Estanislao (Bolívar)</v>
          </cell>
        </row>
        <row r="215">
          <cell r="B215" t="str">
            <v>13650</v>
          </cell>
          <cell r="C215" t="str">
            <v>Alcaldía de San Fernando (Bolívar)</v>
          </cell>
        </row>
        <row r="216">
          <cell r="B216" t="str">
            <v>13654</v>
          </cell>
          <cell r="C216" t="str">
            <v>Alcaldía de San Jacinto (Bolívar)</v>
          </cell>
        </row>
        <row r="217">
          <cell r="B217" t="str">
            <v>13655</v>
          </cell>
          <cell r="C217" t="str">
            <v>Alcaldía de San Jacinto del Cauca (Bolívar)</v>
          </cell>
        </row>
        <row r="218">
          <cell r="B218" t="str">
            <v>13657</v>
          </cell>
          <cell r="C218" t="str">
            <v>Alcaldía de San Juan Nepomuceno (Bolívar)</v>
          </cell>
        </row>
        <row r="219">
          <cell r="B219" t="str">
            <v>13667</v>
          </cell>
          <cell r="C219" t="str">
            <v>Alcaldía de San Martín de Loba (Bolívar)</v>
          </cell>
        </row>
        <row r="220">
          <cell r="B220" t="str">
            <v>13670</v>
          </cell>
          <cell r="C220" t="str">
            <v>Alcaldía de San Pablo (Bolívar)</v>
          </cell>
        </row>
        <row r="221">
          <cell r="B221" t="str">
            <v>13673</v>
          </cell>
          <cell r="C221" t="str">
            <v>Alcaldía de Santa Catalina (Bolívar)</v>
          </cell>
        </row>
        <row r="222">
          <cell r="B222" t="str">
            <v>13683</v>
          </cell>
          <cell r="C222" t="str">
            <v>Alcaldía de Santa Rosa (Bolívar)</v>
          </cell>
        </row>
        <row r="223">
          <cell r="B223" t="str">
            <v>13688</v>
          </cell>
          <cell r="C223" t="str">
            <v>Alcaldía de Santa Rosa del Sur (Bolívar)</v>
          </cell>
        </row>
        <row r="224">
          <cell r="B224" t="str">
            <v>13744</v>
          </cell>
          <cell r="C224" t="str">
            <v>Alcaldía de Simití (Bolívar)</v>
          </cell>
        </row>
        <row r="225">
          <cell r="B225" t="str">
            <v>13760</v>
          </cell>
          <cell r="C225" t="str">
            <v>Alcaldía de Soplaviento (Bolívar)</v>
          </cell>
        </row>
        <row r="226">
          <cell r="B226" t="str">
            <v>13780</v>
          </cell>
          <cell r="C226" t="str">
            <v>Alcaldía de Talaigua Nuevo (Bolívar)</v>
          </cell>
        </row>
        <row r="227">
          <cell r="B227" t="str">
            <v>13810</v>
          </cell>
          <cell r="C227" t="str">
            <v>Alcaldía de Tiquisio (Bolívar)</v>
          </cell>
        </row>
        <row r="228">
          <cell r="B228" t="str">
            <v>13836</v>
          </cell>
          <cell r="C228" t="str">
            <v>Alcaldía de Turbaco (Bolívar)</v>
          </cell>
        </row>
        <row r="229">
          <cell r="B229" t="str">
            <v>13838</v>
          </cell>
          <cell r="C229" t="str">
            <v>Alcaldía de Turbaná (Bolívar)</v>
          </cell>
        </row>
        <row r="230">
          <cell r="B230" t="str">
            <v>13873</v>
          </cell>
          <cell r="C230" t="str">
            <v>Alcaldía de Villanueva (Bolívar)</v>
          </cell>
        </row>
        <row r="231">
          <cell r="B231" t="str">
            <v>13894</v>
          </cell>
          <cell r="C231" t="str">
            <v>Alcaldía de Zambrano (Bolívar)</v>
          </cell>
        </row>
        <row r="232">
          <cell r="B232" t="str">
            <v>15001</v>
          </cell>
          <cell r="C232" t="str">
            <v>Alcaldía de Tunja (Boyacá)</v>
          </cell>
        </row>
        <row r="233">
          <cell r="B233" t="str">
            <v>15022</v>
          </cell>
          <cell r="C233" t="str">
            <v>Alcaldía de Almeida (Boyacá)</v>
          </cell>
        </row>
        <row r="234">
          <cell r="B234" t="str">
            <v>15047</v>
          </cell>
          <cell r="C234" t="str">
            <v>Alcaldía de Aquitania (Boyacá)</v>
          </cell>
        </row>
        <row r="235">
          <cell r="B235" t="str">
            <v>15051</v>
          </cell>
          <cell r="C235" t="str">
            <v>Alcaldía de Arcabuco (Boyacá)</v>
          </cell>
        </row>
        <row r="236">
          <cell r="B236" t="str">
            <v>15087</v>
          </cell>
          <cell r="C236" t="str">
            <v>Alcaldía de Belén (Boyacá)</v>
          </cell>
        </row>
        <row r="237">
          <cell r="B237" t="str">
            <v>15090</v>
          </cell>
          <cell r="C237" t="str">
            <v>Alcaldía de Berbeo (Boyacá)</v>
          </cell>
        </row>
        <row r="238">
          <cell r="B238" t="str">
            <v>15092</v>
          </cell>
          <cell r="C238" t="str">
            <v>Alcaldía de Betéitiva (Boyacá)</v>
          </cell>
        </row>
        <row r="239">
          <cell r="B239" t="str">
            <v>15097</v>
          </cell>
          <cell r="C239" t="str">
            <v>Alcaldía de Boavita (Boyacá)</v>
          </cell>
        </row>
        <row r="240">
          <cell r="B240" t="str">
            <v>15104</v>
          </cell>
          <cell r="C240" t="str">
            <v>Alcaldía de Boyacá (Boyacá)</v>
          </cell>
        </row>
        <row r="241">
          <cell r="B241" t="str">
            <v>15106</v>
          </cell>
          <cell r="C241" t="str">
            <v>Alcaldía de Briceño (Boyacá)</v>
          </cell>
        </row>
        <row r="242">
          <cell r="B242" t="str">
            <v>15109</v>
          </cell>
          <cell r="C242" t="str">
            <v>Alcaldía de Buenavista (Boyacá)</v>
          </cell>
        </row>
        <row r="243">
          <cell r="B243" t="str">
            <v>15114</v>
          </cell>
          <cell r="C243" t="str">
            <v>Alcaldía de Busbanzá (Boyacá)</v>
          </cell>
        </row>
        <row r="244">
          <cell r="B244" t="str">
            <v>15131</v>
          </cell>
          <cell r="C244" t="str">
            <v>Alcaldía de Caldas (Boyacá)</v>
          </cell>
        </row>
        <row r="245">
          <cell r="B245" t="str">
            <v>15135</v>
          </cell>
          <cell r="C245" t="str">
            <v>Alcaldía de Campohermoso (Boyacá)</v>
          </cell>
        </row>
        <row r="246">
          <cell r="B246" t="str">
            <v>15162</v>
          </cell>
          <cell r="C246" t="str">
            <v>Alcaldía de Cerinza (Boyacá)</v>
          </cell>
        </row>
        <row r="247">
          <cell r="B247" t="str">
            <v>15172</v>
          </cell>
          <cell r="C247" t="str">
            <v>Alcaldía de Chinavita (Boyacá)</v>
          </cell>
        </row>
        <row r="248">
          <cell r="B248" t="str">
            <v>15176</v>
          </cell>
          <cell r="C248" t="str">
            <v>Alcaldía de Chiquinquirá (Boyacá)</v>
          </cell>
        </row>
        <row r="249">
          <cell r="B249" t="str">
            <v>15180</v>
          </cell>
          <cell r="C249" t="str">
            <v>Alcaldía de Chiscas (Boyacá)</v>
          </cell>
        </row>
        <row r="250">
          <cell r="B250" t="str">
            <v>15183</v>
          </cell>
          <cell r="C250" t="str">
            <v>Alcaldía de Chita (Boyacá)</v>
          </cell>
        </row>
        <row r="251">
          <cell r="B251" t="str">
            <v>15185</v>
          </cell>
          <cell r="C251" t="str">
            <v>Alcaldía de Chitaraque (Boyacá)</v>
          </cell>
        </row>
        <row r="252">
          <cell r="B252" t="str">
            <v>15187</v>
          </cell>
          <cell r="C252" t="str">
            <v>Alcaldía de Chivatá (Boyacá)</v>
          </cell>
        </row>
        <row r="253">
          <cell r="B253" t="str">
            <v>15189</v>
          </cell>
          <cell r="C253" t="str">
            <v>Alcaldía de Ciénega (Boyacá)</v>
          </cell>
        </row>
        <row r="254">
          <cell r="B254" t="str">
            <v>15204</v>
          </cell>
          <cell r="C254" t="str">
            <v>Alcaldía de Cómbita (Boyacá)</v>
          </cell>
        </row>
        <row r="255">
          <cell r="B255" t="str">
            <v>15212</v>
          </cell>
          <cell r="C255" t="str">
            <v>Alcaldía de Coper (Boyacá)</v>
          </cell>
        </row>
        <row r="256">
          <cell r="B256" t="str">
            <v>15215</v>
          </cell>
          <cell r="C256" t="str">
            <v>Alcaldía de Corrales (Boyacá)</v>
          </cell>
        </row>
        <row r="257">
          <cell r="B257" t="str">
            <v>15218</v>
          </cell>
          <cell r="C257" t="str">
            <v>Alcaldía de Covarachía (Boyacá)</v>
          </cell>
        </row>
        <row r="258">
          <cell r="B258" t="str">
            <v>15223</v>
          </cell>
          <cell r="C258" t="str">
            <v>Alcaldía de Cubará (Boyacá)</v>
          </cell>
        </row>
        <row r="259">
          <cell r="B259" t="str">
            <v>15224</v>
          </cell>
          <cell r="C259" t="str">
            <v>Alcaldía de Cucaita (Boyacá)</v>
          </cell>
        </row>
        <row r="260">
          <cell r="B260" t="str">
            <v>15226</v>
          </cell>
          <cell r="C260" t="str">
            <v>Alcaldía de Cuítiva (Boyacá)</v>
          </cell>
        </row>
        <row r="261">
          <cell r="B261" t="str">
            <v>15232</v>
          </cell>
          <cell r="C261" t="str">
            <v>Alcaldía de Chíquiza (Boyacá)</v>
          </cell>
        </row>
        <row r="262">
          <cell r="B262" t="str">
            <v>15236</v>
          </cell>
          <cell r="C262" t="str">
            <v>Alcaldía de Chivor (Boyacá)</v>
          </cell>
        </row>
        <row r="263">
          <cell r="B263" t="str">
            <v>15238</v>
          </cell>
          <cell r="C263" t="str">
            <v>Alcaldía de Duitama (Boyacá)</v>
          </cell>
        </row>
        <row r="264">
          <cell r="B264" t="str">
            <v>15244</v>
          </cell>
          <cell r="C264" t="str">
            <v>Alcaldía de El Cocuy (Boyacá)</v>
          </cell>
        </row>
        <row r="265">
          <cell r="B265" t="str">
            <v>15248</v>
          </cell>
          <cell r="C265" t="str">
            <v>Alcaldía de El Espino (Boyacá)</v>
          </cell>
        </row>
        <row r="266">
          <cell r="B266" t="str">
            <v>15272</v>
          </cell>
          <cell r="C266" t="str">
            <v>Alcaldía de Firavitoba (Boyacá)</v>
          </cell>
        </row>
        <row r="267">
          <cell r="B267" t="str">
            <v>15276</v>
          </cell>
          <cell r="C267" t="str">
            <v>Alcaldía de Floresta (Boyacá)</v>
          </cell>
        </row>
        <row r="268">
          <cell r="B268" t="str">
            <v>15293</v>
          </cell>
          <cell r="C268" t="str">
            <v>Alcaldía de Gachantivá (Boyacá)</v>
          </cell>
        </row>
        <row r="269">
          <cell r="B269" t="str">
            <v>15296</v>
          </cell>
          <cell r="C269" t="str">
            <v>Alcaldía de Gameza (Boyacá)</v>
          </cell>
        </row>
        <row r="270">
          <cell r="B270" t="str">
            <v>15299</v>
          </cell>
          <cell r="C270" t="str">
            <v>Alcaldía de Garagoa (Boyacá)</v>
          </cell>
        </row>
        <row r="271">
          <cell r="B271" t="str">
            <v>15317</v>
          </cell>
          <cell r="C271" t="str">
            <v>Alcaldía de Guacamayas (Boyacá)</v>
          </cell>
        </row>
        <row r="272">
          <cell r="B272" t="str">
            <v>15322</v>
          </cell>
          <cell r="C272" t="str">
            <v>Alcaldía de Guateque (Boyacá)</v>
          </cell>
        </row>
        <row r="273">
          <cell r="B273" t="str">
            <v>15325</v>
          </cell>
          <cell r="C273" t="str">
            <v>Alcaldía de Guayatá (Boyacá)</v>
          </cell>
        </row>
        <row r="274">
          <cell r="B274" t="str">
            <v>15332</v>
          </cell>
          <cell r="C274" t="str">
            <v>Alcaldía de Güicán (Boyacá)</v>
          </cell>
        </row>
        <row r="275">
          <cell r="B275" t="str">
            <v>15362</v>
          </cell>
          <cell r="C275" t="str">
            <v>Alcaldía de Iza (Boyacá)</v>
          </cell>
        </row>
        <row r="276">
          <cell r="B276" t="str">
            <v>15367</v>
          </cell>
          <cell r="C276" t="str">
            <v>Alcaldía de Jenesano (Boyacá)</v>
          </cell>
        </row>
        <row r="277">
          <cell r="B277" t="str">
            <v>15368</v>
          </cell>
          <cell r="C277" t="str">
            <v>Alcaldía de Jericó (Boyacá)</v>
          </cell>
        </row>
        <row r="278">
          <cell r="B278" t="str">
            <v>15377</v>
          </cell>
          <cell r="C278" t="str">
            <v>Alcaldía de Labranzagrande (Boyacá)</v>
          </cell>
        </row>
        <row r="279">
          <cell r="B279" t="str">
            <v>15380</v>
          </cell>
          <cell r="C279" t="str">
            <v>Alcaldía de La Capilla (Boyacá)</v>
          </cell>
        </row>
        <row r="280">
          <cell r="B280" t="str">
            <v>15401</v>
          </cell>
          <cell r="C280" t="str">
            <v>Alcaldía de La Victoria (Boyacá)</v>
          </cell>
        </row>
        <row r="281">
          <cell r="B281" t="str">
            <v>15403</v>
          </cell>
          <cell r="C281" t="str">
            <v>Alcaldía de La Uvita (Boyacá)</v>
          </cell>
        </row>
        <row r="282">
          <cell r="B282" t="str">
            <v>15407</v>
          </cell>
          <cell r="C282" t="str">
            <v>Alcaldía de Villa de Leyva (Boyacá)</v>
          </cell>
        </row>
        <row r="283">
          <cell r="B283" t="str">
            <v>15425</v>
          </cell>
          <cell r="C283" t="str">
            <v>Alcaldía de Macanal (Boyacá)</v>
          </cell>
        </row>
        <row r="284">
          <cell r="B284" t="str">
            <v>15442</v>
          </cell>
          <cell r="C284" t="str">
            <v>Alcaldía de Maripí (Boyacá)</v>
          </cell>
        </row>
        <row r="285">
          <cell r="B285" t="str">
            <v>15455</v>
          </cell>
          <cell r="C285" t="str">
            <v>Alcaldía de Miraflores (Boyacá)</v>
          </cell>
        </row>
        <row r="286">
          <cell r="B286" t="str">
            <v>15464</v>
          </cell>
          <cell r="C286" t="str">
            <v>Alcaldía de Mongua (Boyacá)</v>
          </cell>
        </row>
        <row r="287">
          <cell r="B287" t="str">
            <v>15466</v>
          </cell>
          <cell r="C287" t="str">
            <v>Alcaldía de Monguí (Boyacá)</v>
          </cell>
        </row>
        <row r="288">
          <cell r="B288" t="str">
            <v>15469</v>
          </cell>
          <cell r="C288" t="str">
            <v>Alcaldía de Moniquirá (Boyacá)</v>
          </cell>
        </row>
        <row r="289">
          <cell r="B289" t="str">
            <v>15476</v>
          </cell>
          <cell r="C289" t="str">
            <v>Alcaldía de Motavita (Boyacá)</v>
          </cell>
        </row>
        <row r="290">
          <cell r="B290" t="str">
            <v>15480</v>
          </cell>
          <cell r="C290" t="str">
            <v>Alcaldía de Muzo (Boyacá)</v>
          </cell>
        </row>
        <row r="291">
          <cell r="B291" t="str">
            <v>15491</v>
          </cell>
          <cell r="C291" t="str">
            <v>Alcaldía de Nobsa (Boyacá)</v>
          </cell>
        </row>
        <row r="292">
          <cell r="B292" t="str">
            <v>15494</v>
          </cell>
          <cell r="C292" t="str">
            <v>Alcaldía de Nuevo Colón (Boyacá)</v>
          </cell>
        </row>
        <row r="293">
          <cell r="B293" t="str">
            <v>15500</v>
          </cell>
          <cell r="C293" t="str">
            <v>Alcaldía de Oicatá (Boyacá)</v>
          </cell>
        </row>
        <row r="294">
          <cell r="B294" t="str">
            <v>15507</v>
          </cell>
          <cell r="C294" t="str">
            <v>Alcaldía de Otanche (Boyacá)</v>
          </cell>
        </row>
        <row r="295">
          <cell r="B295" t="str">
            <v>15511</v>
          </cell>
          <cell r="C295" t="str">
            <v>Alcaldía de Pachavita (Boyacá)</v>
          </cell>
        </row>
        <row r="296">
          <cell r="B296" t="str">
            <v>15514</v>
          </cell>
          <cell r="C296" t="str">
            <v>Alcaldía de Páez (Boyacá)</v>
          </cell>
        </row>
        <row r="297">
          <cell r="B297" t="str">
            <v>15516</v>
          </cell>
          <cell r="C297" t="str">
            <v>Alcaldía de Paipa (Boyacá)</v>
          </cell>
        </row>
        <row r="298">
          <cell r="B298" t="str">
            <v>15518</v>
          </cell>
          <cell r="C298" t="str">
            <v>Alcaldía de Pajarito (Boyacá)</v>
          </cell>
        </row>
        <row r="299">
          <cell r="B299" t="str">
            <v>15522</v>
          </cell>
          <cell r="C299" t="str">
            <v>Alcaldía de Panqueba (Boyacá)</v>
          </cell>
        </row>
        <row r="300">
          <cell r="B300" t="str">
            <v>15531</v>
          </cell>
          <cell r="C300" t="str">
            <v>Alcaldía de Pauna (Boyacá)</v>
          </cell>
        </row>
        <row r="301">
          <cell r="B301" t="str">
            <v>15533</v>
          </cell>
          <cell r="C301" t="str">
            <v>Alcaldía de Paya (Boyacá)</v>
          </cell>
        </row>
        <row r="302">
          <cell r="B302" t="str">
            <v>15537</v>
          </cell>
          <cell r="C302" t="str">
            <v>Alcaldía de Paz de Río (Boyacá)</v>
          </cell>
        </row>
        <row r="303">
          <cell r="B303" t="str">
            <v>15542</v>
          </cell>
          <cell r="C303" t="str">
            <v>Alcaldía de Pesca (Boyacá)</v>
          </cell>
        </row>
        <row r="304">
          <cell r="B304" t="str">
            <v>15550</v>
          </cell>
          <cell r="C304" t="str">
            <v>Alcaldía de Pisba (Boyacá)</v>
          </cell>
        </row>
        <row r="305">
          <cell r="B305" t="str">
            <v>15572</v>
          </cell>
          <cell r="C305" t="str">
            <v>Alcaldía de Puerto Boyacá (Boyacá)</v>
          </cell>
        </row>
        <row r="306">
          <cell r="B306" t="str">
            <v>15580</v>
          </cell>
          <cell r="C306" t="str">
            <v>Alcaldía de Quípama (Boyacá)</v>
          </cell>
        </row>
        <row r="307">
          <cell r="B307" t="str">
            <v>15599</v>
          </cell>
          <cell r="C307" t="str">
            <v>Alcaldía de Ramiriquí (Boyacá)</v>
          </cell>
        </row>
        <row r="308">
          <cell r="B308" t="str">
            <v>15600</v>
          </cell>
          <cell r="C308" t="str">
            <v>Alcaldía de Ráquira (Boyacá)</v>
          </cell>
        </row>
        <row r="309">
          <cell r="B309" t="str">
            <v>15621</v>
          </cell>
          <cell r="C309" t="str">
            <v>Alcaldía de Rondón (Boyacá)</v>
          </cell>
        </row>
        <row r="310">
          <cell r="B310" t="str">
            <v>15632</v>
          </cell>
          <cell r="C310" t="str">
            <v>Alcaldía de Saboyá (Boyacá)</v>
          </cell>
        </row>
        <row r="311">
          <cell r="B311" t="str">
            <v>15638</v>
          </cell>
          <cell r="C311" t="str">
            <v>Alcaldía de Sáchica (Boyacá)</v>
          </cell>
        </row>
        <row r="312">
          <cell r="B312" t="str">
            <v>15646</v>
          </cell>
          <cell r="C312" t="str">
            <v>Alcaldía de Samacá (Boyacá)</v>
          </cell>
        </row>
        <row r="313">
          <cell r="B313" t="str">
            <v>15660</v>
          </cell>
          <cell r="C313" t="str">
            <v>Alcaldía de San Eduardo (Boyacá)</v>
          </cell>
        </row>
        <row r="314">
          <cell r="B314" t="str">
            <v>15664</v>
          </cell>
          <cell r="C314" t="str">
            <v>Alcaldía de San José de Pare (Boyacá)</v>
          </cell>
        </row>
        <row r="315">
          <cell r="B315" t="str">
            <v>15667</v>
          </cell>
          <cell r="C315" t="str">
            <v>Alcaldía de San Luis de Gaceno (Boyacá)</v>
          </cell>
        </row>
        <row r="316">
          <cell r="B316" t="str">
            <v>15673</v>
          </cell>
          <cell r="C316" t="str">
            <v>Alcaldía de San Mateo (Boyacá)</v>
          </cell>
        </row>
        <row r="317">
          <cell r="B317" t="str">
            <v>15676</v>
          </cell>
          <cell r="C317" t="str">
            <v>Alcaldía de San Miguel de Sema (Boyacá)</v>
          </cell>
        </row>
        <row r="318">
          <cell r="B318" t="str">
            <v>15681</v>
          </cell>
          <cell r="C318" t="str">
            <v>Alcaldía de San Pablo de Borbur (Boyacá)</v>
          </cell>
        </row>
        <row r="319">
          <cell r="B319" t="str">
            <v>15686</v>
          </cell>
          <cell r="C319" t="str">
            <v>Alcaldía de Santana (Boyacá)</v>
          </cell>
        </row>
        <row r="320">
          <cell r="B320" t="str">
            <v>15690</v>
          </cell>
          <cell r="C320" t="str">
            <v>Alcaldía de Santa María (Boyacá)</v>
          </cell>
        </row>
        <row r="321">
          <cell r="B321" t="str">
            <v>15693</v>
          </cell>
          <cell r="C321" t="str">
            <v>Alcaldía de Santa Rosa de Viterbo (Boyacá)</v>
          </cell>
        </row>
        <row r="322">
          <cell r="B322" t="str">
            <v>15696</v>
          </cell>
          <cell r="C322" t="str">
            <v>Alcaldía de Santa Sofía (Boyacá)</v>
          </cell>
        </row>
        <row r="323">
          <cell r="B323" t="str">
            <v>15720</v>
          </cell>
          <cell r="C323" t="str">
            <v>Alcaldía de Sativanorte (Boyacá)</v>
          </cell>
        </row>
        <row r="324">
          <cell r="B324" t="str">
            <v>15723</v>
          </cell>
          <cell r="C324" t="str">
            <v>Alcaldía de Sativasur (Boyacá)</v>
          </cell>
        </row>
        <row r="325">
          <cell r="B325" t="str">
            <v>15740</v>
          </cell>
          <cell r="C325" t="str">
            <v>Alcaldía de Siachoque (Boyacá)</v>
          </cell>
        </row>
        <row r="326">
          <cell r="B326" t="str">
            <v>15753</v>
          </cell>
          <cell r="C326" t="str">
            <v>Alcaldía de Soatá (Boyacá)</v>
          </cell>
        </row>
        <row r="327">
          <cell r="B327" t="str">
            <v>15755</v>
          </cell>
          <cell r="C327" t="str">
            <v>Alcaldía de Socotá (Boyacá)</v>
          </cell>
        </row>
        <row r="328">
          <cell r="B328" t="str">
            <v>15757</v>
          </cell>
          <cell r="C328" t="str">
            <v>Alcaldía de Socha (Boyacá)</v>
          </cell>
        </row>
        <row r="329">
          <cell r="B329" t="str">
            <v>15759</v>
          </cell>
          <cell r="C329" t="str">
            <v>Alcaldía de Sogamoso (Boyacá)</v>
          </cell>
        </row>
        <row r="330">
          <cell r="B330" t="str">
            <v>15761</v>
          </cell>
          <cell r="C330" t="str">
            <v>Alcaldía de Somondoco (Boyacá)</v>
          </cell>
        </row>
        <row r="331">
          <cell r="B331" t="str">
            <v>15762</v>
          </cell>
          <cell r="C331" t="str">
            <v>Alcaldía de Sora (Boyacá)</v>
          </cell>
        </row>
        <row r="332">
          <cell r="B332" t="str">
            <v>15763</v>
          </cell>
          <cell r="C332" t="str">
            <v>Alcaldía de Sotaquirá (Boyacá)</v>
          </cell>
        </row>
        <row r="333">
          <cell r="B333" t="str">
            <v>15764</v>
          </cell>
          <cell r="C333" t="str">
            <v>Alcaldía de Soracá (Boyacá)</v>
          </cell>
        </row>
        <row r="334">
          <cell r="B334" t="str">
            <v>15774</v>
          </cell>
          <cell r="C334" t="str">
            <v>Alcaldía de Susacón (Boyacá)</v>
          </cell>
        </row>
        <row r="335">
          <cell r="B335" t="str">
            <v>15776</v>
          </cell>
          <cell r="C335" t="str">
            <v>Alcaldía de Sutamarchán (Boyacá)</v>
          </cell>
        </row>
        <row r="336">
          <cell r="B336" t="str">
            <v>15778</v>
          </cell>
          <cell r="C336" t="str">
            <v>Alcaldía de Sutatenza (Boyacá)</v>
          </cell>
        </row>
        <row r="337">
          <cell r="B337" t="str">
            <v>15790</v>
          </cell>
          <cell r="C337" t="str">
            <v>Alcaldía de Tasco (Boyacá)</v>
          </cell>
        </row>
        <row r="338">
          <cell r="B338" t="str">
            <v>15798</v>
          </cell>
          <cell r="C338" t="str">
            <v>Alcaldía de Tenza (Boyacá)</v>
          </cell>
        </row>
        <row r="339">
          <cell r="B339" t="str">
            <v>15804</v>
          </cell>
          <cell r="C339" t="str">
            <v>Alcaldía de Tibaná (Boyacá)</v>
          </cell>
        </row>
        <row r="340">
          <cell r="B340" t="str">
            <v>15806</v>
          </cell>
          <cell r="C340" t="str">
            <v>Alcaldía de Tibasosa (Boyacá)</v>
          </cell>
        </row>
        <row r="341">
          <cell r="B341" t="str">
            <v>15808</v>
          </cell>
          <cell r="C341" t="str">
            <v>Alcaldía de Tinjacá (Boyacá)</v>
          </cell>
        </row>
        <row r="342">
          <cell r="B342" t="str">
            <v>15810</v>
          </cell>
          <cell r="C342" t="str">
            <v>Alcaldía de Tipacoque (Boyacá)</v>
          </cell>
        </row>
        <row r="343">
          <cell r="B343" t="str">
            <v>15814</v>
          </cell>
          <cell r="C343" t="str">
            <v>Alcaldía de Toca (Boyacá)</v>
          </cell>
        </row>
        <row r="344">
          <cell r="B344" t="str">
            <v>15816</v>
          </cell>
          <cell r="C344" t="str">
            <v>Alcaldía de Togüí (Boyacá)</v>
          </cell>
        </row>
        <row r="345">
          <cell r="B345" t="str">
            <v>15820</v>
          </cell>
          <cell r="C345" t="str">
            <v>Alcaldía de Tópaga (Boyacá)</v>
          </cell>
        </row>
        <row r="346">
          <cell r="B346" t="str">
            <v>15822</v>
          </cell>
          <cell r="C346" t="str">
            <v>Alcaldía de Tota (Boyacá)</v>
          </cell>
        </row>
        <row r="347">
          <cell r="B347" t="str">
            <v>15832</v>
          </cell>
          <cell r="C347" t="str">
            <v>Alcaldía de Tununguá (Boyacá)</v>
          </cell>
        </row>
        <row r="348">
          <cell r="B348" t="str">
            <v>15835</v>
          </cell>
          <cell r="C348" t="str">
            <v>Alcaldía de Turmequé (Boyacá)</v>
          </cell>
        </row>
        <row r="349">
          <cell r="B349" t="str">
            <v>15837</v>
          </cell>
          <cell r="C349" t="str">
            <v>Alcaldía de Tuta (Boyacá)</v>
          </cell>
        </row>
        <row r="350">
          <cell r="B350" t="str">
            <v>15839</v>
          </cell>
          <cell r="C350" t="str">
            <v>Alcaldía de Tutazá (Boyacá)</v>
          </cell>
        </row>
        <row r="351">
          <cell r="B351" t="str">
            <v>15842</v>
          </cell>
          <cell r="C351" t="str">
            <v>Alcaldía de Umbita (Boyacá)</v>
          </cell>
        </row>
        <row r="352">
          <cell r="B352" t="str">
            <v>15861</v>
          </cell>
          <cell r="C352" t="str">
            <v>Alcaldía de Ventaquemada (Boyacá)</v>
          </cell>
        </row>
        <row r="353">
          <cell r="B353" t="str">
            <v>15879</v>
          </cell>
          <cell r="C353" t="str">
            <v>Alcaldía de Viracachá (Boyacá)</v>
          </cell>
        </row>
        <row r="354">
          <cell r="B354" t="str">
            <v>15897</v>
          </cell>
          <cell r="C354" t="str">
            <v>Alcaldía de Zetaquira (Boyacá)</v>
          </cell>
        </row>
        <row r="355">
          <cell r="B355" t="str">
            <v>17001</v>
          </cell>
          <cell r="C355" t="str">
            <v>Alcaldía de Manizales (Caldas)</v>
          </cell>
        </row>
        <row r="356">
          <cell r="B356" t="str">
            <v>17013</v>
          </cell>
          <cell r="C356" t="str">
            <v>Alcaldía de Aguadas (Caldas)</v>
          </cell>
        </row>
        <row r="357">
          <cell r="B357" t="str">
            <v>17042</v>
          </cell>
          <cell r="C357" t="str">
            <v>Alcaldía de Anserma (Caldas)</v>
          </cell>
        </row>
        <row r="358">
          <cell r="B358" t="str">
            <v>17050</v>
          </cell>
          <cell r="C358" t="str">
            <v>Alcaldía de Aranzazu (Caldas)</v>
          </cell>
        </row>
        <row r="359">
          <cell r="B359" t="str">
            <v>17088</v>
          </cell>
          <cell r="C359" t="str">
            <v>Alcaldía de Belalcázar (Caldas)</v>
          </cell>
        </row>
        <row r="360">
          <cell r="B360" t="str">
            <v>17174</v>
          </cell>
          <cell r="C360" t="str">
            <v>Alcaldía de Chinchiná (Caldas)</v>
          </cell>
        </row>
        <row r="361">
          <cell r="B361" t="str">
            <v>17272</v>
          </cell>
          <cell r="C361" t="str">
            <v>Alcaldía de Filadelfia (Caldas)</v>
          </cell>
        </row>
        <row r="362">
          <cell r="B362" t="str">
            <v>17380</v>
          </cell>
          <cell r="C362" t="str">
            <v>Alcaldía de La Dorada (Caldas)</v>
          </cell>
        </row>
        <row r="363">
          <cell r="B363" t="str">
            <v>17388</v>
          </cell>
          <cell r="C363" t="str">
            <v>Alcaldía de La Merced (Caldas)</v>
          </cell>
        </row>
        <row r="364">
          <cell r="B364" t="str">
            <v>17433</v>
          </cell>
          <cell r="C364" t="str">
            <v>Alcaldía de Manzanares (Caldas)</v>
          </cell>
        </row>
        <row r="365">
          <cell r="B365" t="str">
            <v>17442</v>
          </cell>
          <cell r="C365" t="str">
            <v>Alcaldía de Marmato (Caldas)</v>
          </cell>
        </row>
        <row r="366">
          <cell r="B366" t="str">
            <v>17444</v>
          </cell>
          <cell r="C366" t="str">
            <v>Alcaldía de Marquetalia (Caldas)</v>
          </cell>
        </row>
        <row r="367">
          <cell r="B367" t="str">
            <v>17446</v>
          </cell>
          <cell r="C367" t="str">
            <v>Alcaldía de Marulanda (Caldas)</v>
          </cell>
        </row>
        <row r="368">
          <cell r="B368" t="str">
            <v>17486</v>
          </cell>
          <cell r="C368" t="str">
            <v>Alcaldía de Neira (Caldas)</v>
          </cell>
        </row>
        <row r="369">
          <cell r="B369" t="str">
            <v>17495</v>
          </cell>
          <cell r="C369" t="str">
            <v>Alcaldía de Norcasia (Caldas)</v>
          </cell>
        </row>
        <row r="370">
          <cell r="B370" t="str">
            <v>17513</v>
          </cell>
          <cell r="C370" t="str">
            <v>Alcaldía de Pácora (Caldas)</v>
          </cell>
        </row>
        <row r="371">
          <cell r="B371" t="str">
            <v>17524</v>
          </cell>
          <cell r="C371" t="str">
            <v>Alcaldía de Palestina (Caldas)</v>
          </cell>
        </row>
        <row r="372">
          <cell r="B372" t="str">
            <v>17541</v>
          </cell>
          <cell r="C372" t="str">
            <v>Alcaldía de Pensilvania (Caldas)</v>
          </cell>
        </row>
        <row r="373">
          <cell r="B373" t="str">
            <v>17614</v>
          </cell>
          <cell r="C373" t="str">
            <v>Alcaldía de Riosucio (Caldas)</v>
          </cell>
        </row>
        <row r="374">
          <cell r="B374" t="str">
            <v>17616</v>
          </cell>
          <cell r="C374" t="str">
            <v>Alcaldía de Risaralda (Caldas)</v>
          </cell>
        </row>
        <row r="375">
          <cell r="B375" t="str">
            <v>17653</v>
          </cell>
          <cell r="C375" t="str">
            <v>Alcaldía de Salamina (Caldas)</v>
          </cell>
        </row>
        <row r="376">
          <cell r="B376" t="str">
            <v>17662</v>
          </cell>
          <cell r="C376" t="str">
            <v>Alcaldía de Samaná (Caldas)</v>
          </cell>
        </row>
        <row r="377">
          <cell r="B377" t="str">
            <v>17665</v>
          </cell>
          <cell r="C377" t="str">
            <v>Alcaldía de San José (Caldas)</v>
          </cell>
        </row>
        <row r="378">
          <cell r="B378" t="str">
            <v>17777</v>
          </cell>
          <cell r="C378" t="str">
            <v>Alcaldía de Supía (Caldas)</v>
          </cell>
        </row>
        <row r="379">
          <cell r="B379" t="str">
            <v>17867</v>
          </cell>
          <cell r="C379" t="str">
            <v>Alcaldía de Victoria (Caldas)</v>
          </cell>
        </row>
        <row r="380">
          <cell r="B380" t="str">
            <v>17873</v>
          </cell>
          <cell r="C380" t="str">
            <v>Alcaldía de Villamaría (Caldas)</v>
          </cell>
        </row>
        <row r="381">
          <cell r="B381" t="str">
            <v>17877</v>
          </cell>
          <cell r="C381" t="str">
            <v>Alcaldía de Viterbo (Caldas)</v>
          </cell>
        </row>
        <row r="382">
          <cell r="B382" t="str">
            <v>18001</v>
          </cell>
          <cell r="C382" t="str">
            <v>Alcaldía de Florencia (Caquetá)</v>
          </cell>
        </row>
        <row r="383">
          <cell r="B383" t="str">
            <v>18029</v>
          </cell>
          <cell r="C383" t="str">
            <v>Alcaldía de Albania (Caquetá)</v>
          </cell>
        </row>
        <row r="384">
          <cell r="B384" t="str">
            <v>18094</v>
          </cell>
          <cell r="C384" t="str">
            <v>Alcaldía de Belén de Los Andaquies (Caquetá)</v>
          </cell>
        </row>
        <row r="385">
          <cell r="B385" t="str">
            <v>18150</v>
          </cell>
          <cell r="C385" t="str">
            <v>Alcaldía de Cartagena del Chairá (Caquetá)</v>
          </cell>
        </row>
        <row r="386">
          <cell r="B386" t="str">
            <v>18205</v>
          </cell>
          <cell r="C386" t="str">
            <v>Alcaldía de Curillo (Caquetá)</v>
          </cell>
        </row>
        <row r="387">
          <cell r="B387" t="str">
            <v>18247</v>
          </cell>
          <cell r="C387" t="str">
            <v>Alcaldía de El Doncello (Caquetá)</v>
          </cell>
        </row>
        <row r="388">
          <cell r="B388" t="str">
            <v>18256</v>
          </cell>
          <cell r="C388" t="str">
            <v>Alcaldía de El Paujil (Caquetá)</v>
          </cell>
        </row>
        <row r="389">
          <cell r="B389" t="str">
            <v>18410</v>
          </cell>
          <cell r="C389" t="str">
            <v>Alcaldía de La Montañita (Caquetá)</v>
          </cell>
        </row>
        <row r="390">
          <cell r="B390" t="str">
            <v>18460</v>
          </cell>
          <cell r="C390" t="str">
            <v>Alcaldía de Milán (Caquetá)</v>
          </cell>
        </row>
        <row r="391">
          <cell r="B391" t="str">
            <v>18479</v>
          </cell>
          <cell r="C391" t="str">
            <v>Alcaldía de Morelia (Caquetá)</v>
          </cell>
        </row>
        <row r="392">
          <cell r="B392" t="str">
            <v>18592</v>
          </cell>
          <cell r="C392" t="str">
            <v>Alcaldía de Puerto Rico (Caquetá)</v>
          </cell>
        </row>
        <row r="393">
          <cell r="B393" t="str">
            <v>18610</v>
          </cell>
          <cell r="C393" t="str">
            <v>Alcaldía de San José del Fragua (Caquetá)</v>
          </cell>
        </row>
        <row r="394">
          <cell r="B394" t="str">
            <v>18753</v>
          </cell>
          <cell r="C394" t="str">
            <v>Alcaldía de San Vicente del Caguán (Caquetá)</v>
          </cell>
        </row>
        <row r="395">
          <cell r="B395" t="str">
            <v>18756</v>
          </cell>
          <cell r="C395" t="str">
            <v>Alcaldía de Solano (Caquetá)</v>
          </cell>
        </row>
        <row r="396">
          <cell r="B396" t="str">
            <v>18785</v>
          </cell>
          <cell r="C396" t="str">
            <v>Alcaldía de Solita (Caquetá)</v>
          </cell>
        </row>
        <row r="397">
          <cell r="B397" t="str">
            <v>18860</v>
          </cell>
          <cell r="C397" t="str">
            <v>Alcaldía de Valparaíso (Caquetá)</v>
          </cell>
        </row>
        <row r="398">
          <cell r="B398" t="str">
            <v>19001</v>
          </cell>
          <cell r="C398" t="str">
            <v>Alcaldía de Popayán (Cauca)</v>
          </cell>
        </row>
        <row r="399">
          <cell r="B399" t="str">
            <v>19022</v>
          </cell>
          <cell r="C399" t="str">
            <v>Alcaldía de Almaguer (Cauca)</v>
          </cell>
        </row>
        <row r="400">
          <cell r="B400" t="str">
            <v>19050</v>
          </cell>
          <cell r="C400" t="str">
            <v>Alcaldía de Argelia (Cauca)</v>
          </cell>
        </row>
        <row r="401">
          <cell r="B401" t="str">
            <v>19075</v>
          </cell>
          <cell r="C401" t="str">
            <v>Alcaldía de Balboa (Cauca)</v>
          </cell>
        </row>
        <row r="402">
          <cell r="B402" t="str">
            <v>19100</v>
          </cell>
          <cell r="C402" t="str">
            <v>Alcaldía de Bolívar (Cauca)</v>
          </cell>
        </row>
        <row r="403">
          <cell r="B403" t="str">
            <v>19110</v>
          </cell>
          <cell r="C403" t="str">
            <v>Alcaldía de Buenos Aires (Cauca)</v>
          </cell>
        </row>
        <row r="404">
          <cell r="B404" t="str">
            <v>19130</v>
          </cell>
          <cell r="C404" t="str">
            <v>Alcaldía de Cajibío (Cauca)</v>
          </cell>
        </row>
        <row r="405">
          <cell r="B405" t="str">
            <v>19137</v>
          </cell>
          <cell r="C405" t="str">
            <v>Alcaldía de Caldono (Cauca)</v>
          </cell>
        </row>
        <row r="406">
          <cell r="B406" t="str">
            <v>19142</v>
          </cell>
          <cell r="C406" t="str">
            <v>Alcaldía de Caloto (Cauca)</v>
          </cell>
        </row>
        <row r="407">
          <cell r="B407" t="str">
            <v>19212</v>
          </cell>
          <cell r="C407" t="str">
            <v>Alcaldía de Corinto (Cauca)</v>
          </cell>
        </row>
        <row r="408">
          <cell r="B408" t="str">
            <v>19256</v>
          </cell>
          <cell r="C408" t="str">
            <v>Alcaldía de El Tambo (Cauca)</v>
          </cell>
        </row>
        <row r="409">
          <cell r="B409" t="str">
            <v>19290</v>
          </cell>
          <cell r="C409" t="str">
            <v>Alcaldía de Florencia (Cauca)</v>
          </cell>
        </row>
        <row r="410">
          <cell r="B410" t="str">
            <v>19300</v>
          </cell>
          <cell r="C410" t="str">
            <v>Alcaldía de Guachené (Cauca)</v>
          </cell>
        </row>
        <row r="411">
          <cell r="B411" t="str">
            <v>19318</v>
          </cell>
          <cell r="C411" t="str">
            <v>Alcaldía de Guapi (Cauca)</v>
          </cell>
        </row>
        <row r="412">
          <cell r="B412" t="str">
            <v>19355</v>
          </cell>
          <cell r="C412" t="str">
            <v>Alcaldía de Inzá (Cauca)</v>
          </cell>
        </row>
        <row r="413">
          <cell r="B413" t="str">
            <v>19364</v>
          </cell>
          <cell r="C413" t="str">
            <v>Alcaldía de Jambaló (Cauca)</v>
          </cell>
        </row>
        <row r="414">
          <cell r="B414" t="str">
            <v>19392</v>
          </cell>
          <cell r="C414" t="str">
            <v>Alcaldía de La Sierra (Cauca)</v>
          </cell>
        </row>
        <row r="415">
          <cell r="B415" t="str">
            <v>19397</v>
          </cell>
          <cell r="C415" t="str">
            <v>Alcaldía de La Vega (Cauca)</v>
          </cell>
        </row>
        <row r="416">
          <cell r="B416" t="str">
            <v>19418</v>
          </cell>
          <cell r="C416" t="str">
            <v>Alcaldía de López (Cauca)</v>
          </cell>
        </row>
        <row r="417">
          <cell r="B417" t="str">
            <v>19450</v>
          </cell>
          <cell r="C417" t="str">
            <v>Alcaldía de Mercaderes (Cauca)</v>
          </cell>
        </row>
        <row r="418">
          <cell r="B418" t="str">
            <v>19455</v>
          </cell>
          <cell r="C418" t="str">
            <v>Alcaldía de Miranda (Cauca)</v>
          </cell>
        </row>
        <row r="419">
          <cell r="B419" t="str">
            <v>19473</v>
          </cell>
          <cell r="C419" t="str">
            <v>Alcaldía de Morales (Cauca)</v>
          </cell>
        </row>
        <row r="420">
          <cell r="B420" t="str">
            <v>19513</v>
          </cell>
          <cell r="C420" t="str">
            <v>Alcaldía de Padilla (Cauca)</v>
          </cell>
        </row>
        <row r="421">
          <cell r="B421" t="str">
            <v>19517</v>
          </cell>
          <cell r="C421" t="str">
            <v>Alcaldía de Paez (Cauca)</v>
          </cell>
        </row>
        <row r="422">
          <cell r="B422" t="str">
            <v>19532</v>
          </cell>
          <cell r="C422" t="str">
            <v>Alcaldía de Patía (Cauca)</v>
          </cell>
        </row>
        <row r="423">
          <cell r="B423" t="str">
            <v>19533</v>
          </cell>
          <cell r="C423" t="str">
            <v>Alcaldía de Piamonte (Cauca)</v>
          </cell>
        </row>
        <row r="424">
          <cell r="B424" t="str">
            <v>19548</v>
          </cell>
          <cell r="C424" t="str">
            <v>Alcaldía de Piendamó (Cauca)</v>
          </cell>
        </row>
        <row r="425">
          <cell r="B425" t="str">
            <v>19573</v>
          </cell>
          <cell r="C425" t="str">
            <v>Alcaldía de Puerto Tejada (Cauca)</v>
          </cell>
        </row>
        <row r="426">
          <cell r="B426" t="str">
            <v>19585</v>
          </cell>
          <cell r="C426" t="str">
            <v>Alcaldía de Puracé (Cauca)</v>
          </cell>
        </row>
        <row r="427">
          <cell r="B427" t="str">
            <v>19622</v>
          </cell>
          <cell r="C427" t="str">
            <v>Alcaldía de Rosas (Cauca)</v>
          </cell>
        </row>
        <row r="428">
          <cell r="B428" t="str">
            <v>19693</v>
          </cell>
          <cell r="C428" t="str">
            <v>Alcaldía de San Sebastián (Cauca)</v>
          </cell>
        </row>
        <row r="429">
          <cell r="B429" t="str">
            <v>19698</v>
          </cell>
          <cell r="C429" t="str">
            <v>Alcaldía de Santander de Quilichao (Cauca)</v>
          </cell>
        </row>
        <row r="430">
          <cell r="B430" t="str">
            <v>19701</v>
          </cell>
          <cell r="C430" t="str">
            <v>Alcaldía de Santa Rosa (Cauca)</v>
          </cell>
        </row>
        <row r="431">
          <cell r="B431" t="str">
            <v>19743</v>
          </cell>
          <cell r="C431" t="str">
            <v>Alcaldía de Silvia (Cauca)</v>
          </cell>
        </row>
        <row r="432">
          <cell r="B432" t="str">
            <v>19760</v>
          </cell>
          <cell r="C432" t="str">
            <v>Alcaldía de Sotara (Cauca)</v>
          </cell>
        </row>
        <row r="433">
          <cell r="B433" t="str">
            <v>19780</v>
          </cell>
          <cell r="C433" t="str">
            <v>Alcaldía de Suárez (Cauca)</v>
          </cell>
        </row>
        <row r="434">
          <cell r="B434" t="str">
            <v>19785</v>
          </cell>
          <cell r="C434" t="str">
            <v>Alcaldía de Sucre (Cauca)</v>
          </cell>
        </row>
        <row r="435">
          <cell r="B435" t="str">
            <v>19807</v>
          </cell>
          <cell r="C435" t="str">
            <v>Alcaldía de Timbío (Cauca)</v>
          </cell>
        </row>
        <row r="436">
          <cell r="B436" t="str">
            <v>19809</v>
          </cell>
          <cell r="C436" t="str">
            <v>Alcaldía de Timbiquí (Cauca)</v>
          </cell>
        </row>
        <row r="437">
          <cell r="B437" t="str">
            <v>19821</v>
          </cell>
          <cell r="C437" t="str">
            <v>Alcaldía de Toribio (Cauca)</v>
          </cell>
        </row>
        <row r="438">
          <cell r="B438" t="str">
            <v>19824</v>
          </cell>
          <cell r="C438" t="str">
            <v>Alcaldía de Totoró (Cauca)</v>
          </cell>
        </row>
        <row r="439">
          <cell r="B439" t="str">
            <v>19845</v>
          </cell>
          <cell r="C439" t="str">
            <v>Alcaldía de Villa Rica (Cauca)</v>
          </cell>
        </row>
        <row r="440">
          <cell r="B440" t="str">
            <v>20001</v>
          </cell>
          <cell r="C440" t="str">
            <v>Alcaldía de Valledupar (Cesar)</v>
          </cell>
        </row>
        <row r="441">
          <cell r="B441" t="str">
            <v>20011</v>
          </cell>
          <cell r="C441" t="str">
            <v>Alcaldía de Aguachica (Cesar)</v>
          </cell>
        </row>
        <row r="442">
          <cell r="B442" t="str">
            <v>20013</v>
          </cell>
          <cell r="C442" t="str">
            <v>Alcaldía de Agustín Codazzi (Cesar)</v>
          </cell>
        </row>
        <row r="443">
          <cell r="B443" t="str">
            <v>20032</v>
          </cell>
          <cell r="C443" t="str">
            <v>Alcaldía de Astrea (Cesar)</v>
          </cell>
        </row>
        <row r="444">
          <cell r="B444" t="str">
            <v>20045</v>
          </cell>
          <cell r="C444" t="str">
            <v>Alcaldía de Becerril (Cesar)</v>
          </cell>
        </row>
        <row r="445">
          <cell r="B445" t="str">
            <v>20060</v>
          </cell>
          <cell r="C445" t="str">
            <v>Alcaldía de Bosconia (Cesar)</v>
          </cell>
        </row>
        <row r="446">
          <cell r="B446" t="str">
            <v>20175</v>
          </cell>
          <cell r="C446" t="str">
            <v>Alcaldía de Chimichagua (Cesar)</v>
          </cell>
        </row>
        <row r="447">
          <cell r="B447" t="str">
            <v>20178</v>
          </cell>
          <cell r="C447" t="str">
            <v>Alcaldía de Chiriguaná (Cesar)</v>
          </cell>
        </row>
        <row r="448">
          <cell r="B448" t="str">
            <v>20228</v>
          </cell>
          <cell r="C448" t="str">
            <v>Alcaldía de Curumaní (Cesar)</v>
          </cell>
        </row>
        <row r="449">
          <cell r="B449" t="str">
            <v>20238</v>
          </cell>
          <cell r="C449" t="str">
            <v>Alcaldía de El Copey (Cesar)</v>
          </cell>
        </row>
        <row r="450">
          <cell r="B450" t="str">
            <v>20250</v>
          </cell>
          <cell r="C450" t="str">
            <v>Alcaldía de El Paso (Cesar)</v>
          </cell>
        </row>
        <row r="451">
          <cell r="B451" t="str">
            <v>20295</v>
          </cell>
          <cell r="C451" t="str">
            <v>Alcaldía de Gamarra (Cesar)</v>
          </cell>
        </row>
        <row r="452">
          <cell r="B452" t="str">
            <v>20310</v>
          </cell>
          <cell r="C452" t="str">
            <v>Alcaldía de González (Cesar)</v>
          </cell>
        </row>
        <row r="453">
          <cell r="B453" t="str">
            <v>20383</v>
          </cell>
          <cell r="C453" t="str">
            <v>Alcaldía de La Gloria (Cesar)</v>
          </cell>
        </row>
        <row r="454">
          <cell r="B454" t="str">
            <v>20400</v>
          </cell>
          <cell r="C454" t="str">
            <v>Alcaldía de La Jagua de Ibirico (Cesar)</v>
          </cell>
        </row>
        <row r="455">
          <cell r="B455" t="str">
            <v>20443</v>
          </cell>
          <cell r="C455" t="str">
            <v>Alcaldía de Manaure (Cesar)</v>
          </cell>
        </row>
        <row r="456">
          <cell r="B456" t="str">
            <v>20517</v>
          </cell>
          <cell r="C456" t="str">
            <v>Alcaldía de Pailitas (Cesar)</v>
          </cell>
        </row>
        <row r="457">
          <cell r="B457" t="str">
            <v>20550</v>
          </cell>
          <cell r="C457" t="str">
            <v>Alcaldía de Pelaya (Cesar)</v>
          </cell>
        </row>
        <row r="458">
          <cell r="B458" t="str">
            <v>20570</v>
          </cell>
          <cell r="C458" t="str">
            <v>Alcaldía de Pueblo Bello (Cesar)</v>
          </cell>
        </row>
        <row r="459">
          <cell r="B459" t="str">
            <v>20614</v>
          </cell>
          <cell r="C459" t="str">
            <v>Alcaldía de Río de Oro (Cesar)</v>
          </cell>
        </row>
        <row r="460">
          <cell r="B460" t="str">
            <v>20621</v>
          </cell>
          <cell r="C460" t="str">
            <v>Alcaldía de La Paz (Cesar)</v>
          </cell>
        </row>
        <row r="461">
          <cell r="B461" t="str">
            <v>20710</v>
          </cell>
          <cell r="C461" t="str">
            <v>Alcaldía de San Alberto (Cesar)</v>
          </cell>
        </row>
        <row r="462">
          <cell r="B462" t="str">
            <v>20750</v>
          </cell>
          <cell r="C462" t="str">
            <v>Alcaldía de San Diego (Cesar)</v>
          </cell>
        </row>
        <row r="463">
          <cell r="B463" t="str">
            <v>20770</v>
          </cell>
          <cell r="C463" t="str">
            <v>Alcaldía de San Martín (Cesar)</v>
          </cell>
        </row>
        <row r="464">
          <cell r="B464" t="str">
            <v>20787</v>
          </cell>
          <cell r="C464" t="str">
            <v>Alcaldía de Tamalameque (Cesar)</v>
          </cell>
        </row>
        <row r="465">
          <cell r="B465" t="str">
            <v>23001</v>
          </cell>
          <cell r="C465" t="str">
            <v>Alcaldía de Montería (Córdoba)</v>
          </cell>
        </row>
        <row r="466">
          <cell r="B466" t="str">
            <v>23068</v>
          </cell>
          <cell r="C466" t="str">
            <v>Alcaldía de Ayapel (Córdoba)</v>
          </cell>
        </row>
        <row r="467">
          <cell r="B467" t="str">
            <v>23079</v>
          </cell>
          <cell r="C467" t="str">
            <v>Alcaldía de Buenavista (Córdoba)</v>
          </cell>
        </row>
        <row r="468">
          <cell r="B468" t="str">
            <v>23090</v>
          </cell>
          <cell r="C468" t="str">
            <v>Alcaldía de Canalete (Córdoba)</v>
          </cell>
        </row>
        <row r="469">
          <cell r="B469" t="str">
            <v>23162</v>
          </cell>
          <cell r="C469" t="str">
            <v>Alcaldía de Cereté (Córdoba)</v>
          </cell>
        </row>
        <row r="470">
          <cell r="B470" t="str">
            <v>23168</v>
          </cell>
          <cell r="C470" t="str">
            <v>Alcaldía de Chimá (Córdoba)</v>
          </cell>
        </row>
        <row r="471">
          <cell r="B471" t="str">
            <v>23182</v>
          </cell>
          <cell r="C471" t="str">
            <v>Alcaldía de Chinú (Córdoba)</v>
          </cell>
        </row>
        <row r="472">
          <cell r="B472" t="str">
            <v>23189</v>
          </cell>
          <cell r="C472" t="str">
            <v>Alcaldía de Ciénaga de Oro (Córdoba)</v>
          </cell>
        </row>
        <row r="473">
          <cell r="B473" t="str">
            <v>23300</v>
          </cell>
          <cell r="C473" t="str">
            <v>Alcaldía de Cotorra (Córdoba)</v>
          </cell>
        </row>
        <row r="474">
          <cell r="B474" t="str">
            <v>23350</v>
          </cell>
          <cell r="C474" t="str">
            <v>Alcaldía de La Apartada (Córdoba)</v>
          </cell>
        </row>
        <row r="475">
          <cell r="B475" t="str">
            <v>23417</v>
          </cell>
          <cell r="C475" t="str">
            <v>Alcaldía de Lorica (Córdoba)</v>
          </cell>
        </row>
        <row r="476">
          <cell r="B476" t="str">
            <v>23419</v>
          </cell>
          <cell r="C476" t="str">
            <v>Alcaldía de Los Córdobas (Córdoba)</v>
          </cell>
        </row>
        <row r="477">
          <cell r="B477" t="str">
            <v>23464</v>
          </cell>
          <cell r="C477" t="str">
            <v>Alcaldía de Momil (Córdoba)</v>
          </cell>
        </row>
        <row r="478">
          <cell r="B478" t="str">
            <v>23466</v>
          </cell>
          <cell r="C478" t="str">
            <v>Alcaldía de Montelíbano (Córdoba)</v>
          </cell>
        </row>
        <row r="479">
          <cell r="B479" t="str">
            <v>23500</v>
          </cell>
          <cell r="C479" t="str">
            <v>Alcaldía de Moñitos (Córdoba)</v>
          </cell>
        </row>
        <row r="480">
          <cell r="B480" t="str">
            <v>23555</v>
          </cell>
          <cell r="C480" t="str">
            <v>Alcaldía de Planeta Rica (Córdoba)</v>
          </cell>
        </row>
        <row r="481">
          <cell r="B481" t="str">
            <v>23570</v>
          </cell>
          <cell r="C481" t="str">
            <v>Alcaldía de Pueblo Nuevo (Córdoba)</v>
          </cell>
        </row>
        <row r="482">
          <cell r="B482" t="str">
            <v>23574</v>
          </cell>
          <cell r="C482" t="str">
            <v>Alcaldía de Puerto Escondido (Córdoba)</v>
          </cell>
        </row>
        <row r="483">
          <cell r="B483" t="str">
            <v>23580</v>
          </cell>
          <cell r="C483" t="str">
            <v>Alcaldía de Puerto Libertador (Córdoba)</v>
          </cell>
        </row>
        <row r="484">
          <cell r="B484" t="str">
            <v>23586</v>
          </cell>
          <cell r="C484" t="str">
            <v>Alcaldía de Purísima (Córdoba)</v>
          </cell>
        </row>
        <row r="485">
          <cell r="B485" t="str">
            <v>23660</v>
          </cell>
          <cell r="C485" t="str">
            <v>Alcaldía de Sahagún (Córdoba)</v>
          </cell>
        </row>
        <row r="486">
          <cell r="B486" t="str">
            <v>23670</v>
          </cell>
          <cell r="C486" t="str">
            <v>Alcaldía de San Andrés Sotavento (Córdoba)</v>
          </cell>
        </row>
        <row r="487">
          <cell r="B487" t="str">
            <v>23672</v>
          </cell>
          <cell r="C487" t="str">
            <v>Alcaldía de San Antero (Córdoba)</v>
          </cell>
        </row>
        <row r="488">
          <cell r="B488" t="str">
            <v>23675</v>
          </cell>
          <cell r="C488" t="str">
            <v>Alcaldía de San Bernardo del Viento (Córdoba)</v>
          </cell>
        </row>
        <row r="489">
          <cell r="B489" t="str">
            <v>23678</v>
          </cell>
          <cell r="C489" t="str">
            <v>Alcaldía de San Carlos (Córdoba)</v>
          </cell>
        </row>
        <row r="490">
          <cell r="B490" t="str">
            <v>23682</v>
          </cell>
          <cell r="C490" t="str">
            <v>Alcaldía de San José de Uré (Córdoba)</v>
          </cell>
        </row>
        <row r="491">
          <cell r="B491" t="str">
            <v>23686</v>
          </cell>
          <cell r="C491" t="str">
            <v>Alcaldía de San Pelayo (Córdoba)</v>
          </cell>
        </row>
        <row r="492">
          <cell r="B492" t="str">
            <v>23807</v>
          </cell>
          <cell r="C492" t="str">
            <v>Alcaldía de Tierralta (Córdoba)</v>
          </cell>
        </row>
        <row r="493">
          <cell r="B493" t="str">
            <v>23815</v>
          </cell>
          <cell r="C493" t="str">
            <v>Alcaldía de Tuchín (Córdoba)</v>
          </cell>
        </row>
        <row r="494">
          <cell r="B494" t="str">
            <v>23855</v>
          </cell>
          <cell r="C494" t="str">
            <v>Alcaldía de Valencia (Córdoba)</v>
          </cell>
        </row>
        <row r="495">
          <cell r="B495" t="str">
            <v>25001</v>
          </cell>
          <cell r="C495" t="str">
            <v>Alcaldía de Agua de Dios (Cundinamarca)</v>
          </cell>
        </row>
        <row r="496">
          <cell r="B496" t="str">
            <v>25019</v>
          </cell>
          <cell r="C496" t="str">
            <v>Alcaldía de Albán (Cundinamarca)</v>
          </cell>
        </row>
        <row r="497">
          <cell r="B497" t="str">
            <v>25035</v>
          </cell>
          <cell r="C497" t="str">
            <v>Alcaldía de Anapoima (Cundinamarca)</v>
          </cell>
        </row>
        <row r="498">
          <cell r="B498" t="str">
            <v>25040</v>
          </cell>
          <cell r="C498" t="str">
            <v>Alcaldía de Anolaima (Cundinamarca)</v>
          </cell>
        </row>
        <row r="499">
          <cell r="B499" t="str">
            <v>25053</v>
          </cell>
          <cell r="C499" t="str">
            <v>Alcaldía de Arbeláez (Cundinamarca)</v>
          </cell>
        </row>
        <row r="500">
          <cell r="B500" t="str">
            <v>25086</v>
          </cell>
          <cell r="C500" t="str">
            <v>Alcaldía de Beltrán (Cundinamarca)</v>
          </cell>
        </row>
        <row r="501">
          <cell r="B501" t="str">
            <v>25095</v>
          </cell>
          <cell r="C501" t="str">
            <v>Alcaldía de Bituima (Cundinamarca)</v>
          </cell>
        </row>
        <row r="502">
          <cell r="B502" t="str">
            <v>25099</v>
          </cell>
          <cell r="C502" t="str">
            <v>Alcaldía de Bojacá (Cundinamarca)</v>
          </cell>
        </row>
        <row r="503">
          <cell r="B503" t="str">
            <v>25120</v>
          </cell>
          <cell r="C503" t="str">
            <v>Alcaldía de Cabrera (Cundinamarca)</v>
          </cell>
        </row>
        <row r="504">
          <cell r="B504" t="str">
            <v>25123</v>
          </cell>
          <cell r="C504" t="str">
            <v>Alcaldía de Cachipay (Cundinamarca)</v>
          </cell>
        </row>
        <row r="505">
          <cell r="B505" t="str">
            <v>25126</v>
          </cell>
          <cell r="C505" t="str">
            <v>Alcaldía de Cajicá (Cundinamarca)</v>
          </cell>
        </row>
        <row r="506">
          <cell r="B506" t="str">
            <v>25148</v>
          </cell>
          <cell r="C506" t="str">
            <v>Alcaldía de Caparrapí (Cundinamarca)</v>
          </cell>
        </row>
        <row r="507">
          <cell r="B507" t="str">
            <v>25151</v>
          </cell>
          <cell r="C507" t="str">
            <v>Alcaldía de Caqueza (Cundinamarca)</v>
          </cell>
        </row>
        <row r="508">
          <cell r="B508" t="str">
            <v>25154</v>
          </cell>
          <cell r="C508" t="str">
            <v>Alcaldía de Carmen de Carupa (Cundinamarca)</v>
          </cell>
        </row>
        <row r="509">
          <cell r="B509" t="str">
            <v>25168</v>
          </cell>
          <cell r="C509" t="str">
            <v>Alcaldía de Chaguaní (Cundinamarca)</v>
          </cell>
        </row>
        <row r="510">
          <cell r="B510" t="str">
            <v>25175</v>
          </cell>
          <cell r="C510" t="str">
            <v>Alcaldía de Chía (Cundinamarca)</v>
          </cell>
        </row>
        <row r="511">
          <cell r="B511" t="str">
            <v>25178</v>
          </cell>
          <cell r="C511" t="str">
            <v>Alcaldía de Chipaque (Cundinamarca)</v>
          </cell>
        </row>
        <row r="512">
          <cell r="B512" t="str">
            <v>25181</v>
          </cell>
          <cell r="C512" t="str">
            <v>Alcaldía de Choachí (Cundinamarca)</v>
          </cell>
        </row>
        <row r="513">
          <cell r="B513" t="str">
            <v>25183</v>
          </cell>
          <cell r="C513" t="str">
            <v>Alcaldía de Chocontá (Cundinamarca)</v>
          </cell>
        </row>
        <row r="514">
          <cell r="B514" t="str">
            <v>25200</v>
          </cell>
          <cell r="C514" t="str">
            <v>Alcaldía de Cogua (Cundinamarca)</v>
          </cell>
        </row>
        <row r="515">
          <cell r="B515" t="str">
            <v>25214</v>
          </cell>
          <cell r="C515" t="str">
            <v>Alcaldía de Cota (Cundinamarca)</v>
          </cell>
        </row>
        <row r="516">
          <cell r="B516" t="str">
            <v>25224</v>
          </cell>
          <cell r="C516" t="str">
            <v>Alcaldía de Cucunubá (Cundinamarca)</v>
          </cell>
        </row>
        <row r="517">
          <cell r="B517" t="str">
            <v>25245</v>
          </cell>
          <cell r="C517" t="str">
            <v>Alcaldía de El Colegio (Cundinamarca)</v>
          </cell>
        </row>
        <row r="518">
          <cell r="B518" t="str">
            <v>25258</v>
          </cell>
          <cell r="C518" t="str">
            <v>Alcaldía de El Peñón (Cundinamarca)</v>
          </cell>
        </row>
        <row r="519">
          <cell r="B519" t="str">
            <v>25260</v>
          </cell>
          <cell r="C519" t="str">
            <v>Alcaldía de El Rosal (Cundinamarca)</v>
          </cell>
        </row>
        <row r="520">
          <cell r="B520" t="str">
            <v>25269</v>
          </cell>
          <cell r="C520" t="str">
            <v>Alcaldía de Facatativá (Cundinamarca)</v>
          </cell>
        </row>
        <row r="521">
          <cell r="B521" t="str">
            <v>25279</v>
          </cell>
          <cell r="C521" t="str">
            <v>Alcaldía de Fomeque (Cundinamarca)</v>
          </cell>
        </row>
        <row r="522">
          <cell r="B522" t="str">
            <v>25281</v>
          </cell>
          <cell r="C522" t="str">
            <v>Alcaldía de Fosca (Cundinamarca)</v>
          </cell>
        </row>
        <row r="523">
          <cell r="B523" t="str">
            <v>25286</v>
          </cell>
          <cell r="C523" t="str">
            <v>Alcaldía de Funza (Cundinamarca)</v>
          </cell>
        </row>
        <row r="524">
          <cell r="B524" t="str">
            <v>25288</v>
          </cell>
          <cell r="C524" t="str">
            <v>Alcaldía de Fúquene (Cundinamarca)</v>
          </cell>
        </row>
        <row r="525">
          <cell r="B525" t="str">
            <v>25290</v>
          </cell>
          <cell r="C525" t="str">
            <v>Alcaldía de Fusagasugá (Cundinamarca)</v>
          </cell>
        </row>
        <row r="526">
          <cell r="B526" t="str">
            <v>25293</v>
          </cell>
          <cell r="C526" t="str">
            <v>Alcaldía de Gachala (Cundinamarca)</v>
          </cell>
        </row>
        <row r="527">
          <cell r="B527" t="str">
            <v>25295</v>
          </cell>
          <cell r="C527" t="str">
            <v>Alcaldía de Gachancipá (Cundinamarca)</v>
          </cell>
        </row>
        <row r="528">
          <cell r="B528" t="str">
            <v>25297</v>
          </cell>
          <cell r="C528" t="str">
            <v>Alcaldía de Gachetá (Cundinamarca)</v>
          </cell>
        </row>
        <row r="529">
          <cell r="B529" t="str">
            <v>25299</v>
          </cell>
          <cell r="C529" t="str">
            <v>Alcaldía de Gama (Cundinamarca)</v>
          </cell>
        </row>
        <row r="530">
          <cell r="B530" t="str">
            <v>25307</v>
          </cell>
          <cell r="C530" t="str">
            <v>Alcaldía de Girardot (Cundinamarca)</v>
          </cell>
        </row>
        <row r="531">
          <cell r="B531" t="str">
            <v>25312</v>
          </cell>
          <cell r="C531" t="str">
            <v>Alcaldía de Granada (Cundinamarca)</v>
          </cell>
        </row>
        <row r="532">
          <cell r="B532" t="str">
            <v>25317</v>
          </cell>
          <cell r="C532" t="str">
            <v>Alcaldía de Guachetá (Cundinamarca)</v>
          </cell>
        </row>
        <row r="533">
          <cell r="B533" t="str">
            <v>25320</v>
          </cell>
          <cell r="C533" t="str">
            <v>Alcaldía de Guaduas (Cundinamarca)</v>
          </cell>
        </row>
        <row r="534">
          <cell r="B534" t="str">
            <v>25322</v>
          </cell>
          <cell r="C534" t="str">
            <v>Alcaldía de Guasca (Cundinamarca)</v>
          </cell>
        </row>
        <row r="535">
          <cell r="B535" t="str">
            <v>25324</v>
          </cell>
          <cell r="C535" t="str">
            <v>Alcaldía de Guataquí (Cundinamarca)</v>
          </cell>
        </row>
        <row r="536">
          <cell r="B536" t="str">
            <v>25326</v>
          </cell>
          <cell r="C536" t="str">
            <v>Alcaldía de Guatavita (Cundinamarca)</v>
          </cell>
        </row>
        <row r="537">
          <cell r="B537" t="str">
            <v>25328</v>
          </cell>
          <cell r="C537" t="str">
            <v>Alcaldía de Guayabal de Siquima (Cundinamarca)</v>
          </cell>
        </row>
        <row r="538">
          <cell r="B538" t="str">
            <v>25335</v>
          </cell>
          <cell r="C538" t="str">
            <v>Alcaldía de Guayabetal (Cundinamarca)</v>
          </cell>
        </row>
        <row r="539">
          <cell r="B539" t="str">
            <v>25339</v>
          </cell>
          <cell r="C539" t="str">
            <v>Alcaldía de Gutiérrez (Cundinamarca)</v>
          </cell>
        </row>
        <row r="540">
          <cell r="B540" t="str">
            <v>25368</v>
          </cell>
          <cell r="C540" t="str">
            <v>Alcaldía de Jerusalén (Cundinamarca)</v>
          </cell>
        </row>
        <row r="541">
          <cell r="B541" t="str">
            <v>25372</v>
          </cell>
          <cell r="C541" t="str">
            <v>Alcaldía de Junín (Cundinamarca)</v>
          </cell>
        </row>
        <row r="542">
          <cell r="B542" t="str">
            <v>25377</v>
          </cell>
          <cell r="C542" t="str">
            <v>Alcaldía de La Calera (Cundinamarca)</v>
          </cell>
        </row>
        <row r="543">
          <cell r="B543" t="str">
            <v>25386</v>
          </cell>
          <cell r="C543" t="str">
            <v>Alcaldía de La Mesa (Cundinamarca)</v>
          </cell>
        </row>
        <row r="544">
          <cell r="B544" t="str">
            <v>25394</v>
          </cell>
          <cell r="C544" t="str">
            <v>Alcaldía de La Palma (Cundinamarca)</v>
          </cell>
        </row>
        <row r="545">
          <cell r="B545" t="str">
            <v>25398</v>
          </cell>
          <cell r="C545" t="str">
            <v>Alcaldía de La Peña (Cundinamarca)</v>
          </cell>
        </row>
        <row r="546">
          <cell r="B546" t="str">
            <v>25402</v>
          </cell>
          <cell r="C546" t="str">
            <v>Alcaldía de La Vega (Cundinamarca)</v>
          </cell>
        </row>
        <row r="547">
          <cell r="B547" t="str">
            <v>25407</v>
          </cell>
          <cell r="C547" t="str">
            <v>Alcaldía de Lenguazaque (Cundinamarca)</v>
          </cell>
        </row>
        <row r="548">
          <cell r="B548" t="str">
            <v>25426</v>
          </cell>
          <cell r="C548" t="str">
            <v>Alcaldía de Macheta (Cundinamarca)</v>
          </cell>
        </row>
        <row r="549">
          <cell r="B549" t="str">
            <v>25430</v>
          </cell>
          <cell r="C549" t="str">
            <v>Alcaldía de Madrid (Cundinamarca)</v>
          </cell>
        </row>
        <row r="550">
          <cell r="B550" t="str">
            <v>25436</v>
          </cell>
          <cell r="C550" t="str">
            <v>Alcaldía de Manta (Cundinamarca)</v>
          </cell>
        </row>
        <row r="551">
          <cell r="B551" t="str">
            <v>25438</v>
          </cell>
          <cell r="C551" t="str">
            <v>Alcaldía de Medina (Cundinamarca)</v>
          </cell>
        </row>
        <row r="552">
          <cell r="B552" t="str">
            <v>25473</v>
          </cell>
          <cell r="C552" t="str">
            <v>Alcaldía de Mosquera (Cundinamarca)</v>
          </cell>
        </row>
        <row r="553">
          <cell r="B553" t="str">
            <v>25483</v>
          </cell>
          <cell r="C553" t="str">
            <v>Alcaldía de Nariño (Cundinamarca)</v>
          </cell>
        </row>
        <row r="554">
          <cell r="B554" t="str">
            <v>25486</v>
          </cell>
          <cell r="C554" t="str">
            <v>Alcaldía de Nemocón (Cundinamarca)</v>
          </cell>
        </row>
        <row r="555">
          <cell r="B555" t="str">
            <v>25488</v>
          </cell>
          <cell r="C555" t="str">
            <v>Alcaldía de Nilo (Cundinamarca)</v>
          </cell>
        </row>
        <row r="556">
          <cell r="B556" t="str">
            <v>25489</v>
          </cell>
          <cell r="C556" t="str">
            <v>Alcaldía de Nimaima (Cundinamarca)</v>
          </cell>
        </row>
        <row r="557">
          <cell r="B557" t="str">
            <v>25491</v>
          </cell>
          <cell r="C557" t="str">
            <v>Alcaldía de Nocaima (Cundinamarca)</v>
          </cell>
        </row>
        <row r="558">
          <cell r="B558" t="str">
            <v>25506</v>
          </cell>
          <cell r="C558" t="str">
            <v>Alcaldía de Venecia (Cundinamarca)</v>
          </cell>
        </row>
        <row r="559">
          <cell r="B559" t="str">
            <v>25513</v>
          </cell>
          <cell r="C559" t="str">
            <v>Alcaldía de Pacho (Cundinamarca)</v>
          </cell>
        </row>
        <row r="560">
          <cell r="B560" t="str">
            <v>25518</v>
          </cell>
          <cell r="C560" t="str">
            <v>Alcaldía de Paime (Cundinamarca)</v>
          </cell>
        </row>
        <row r="561">
          <cell r="B561" t="str">
            <v>25524</v>
          </cell>
          <cell r="C561" t="str">
            <v>Alcaldía de Pandi (Cundinamarca)</v>
          </cell>
        </row>
        <row r="562">
          <cell r="B562" t="str">
            <v>25530</v>
          </cell>
          <cell r="C562" t="str">
            <v>Alcaldía de Paratebueno (Cundinamarca)</v>
          </cell>
        </row>
        <row r="563">
          <cell r="B563" t="str">
            <v>25535</v>
          </cell>
          <cell r="C563" t="str">
            <v>Alcaldía de Pasca (Cundinamarca)</v>
          </cell>
        </row>
        <row r="564">
          <cell r="B564" t="str">
            <v>25572</v>
          </cell>
          <cell r="C564" t="str">
            <v>Alcaldía de Puerto Salgar (Cundinamarca)</v>
          </cell>
        </row>
        <row r="565">
          <cell r="B565" t="str">
            <v>25580</v>
          </cell>
          <cell r="C565" t="str">
            <v>Alcaldía de Pulí (Cundinamarca)</v>
          </cell>
        </row>
        <row r="566">
          <cell r="B566" t="str">
            <v>25592</v>
          </cell>
          <cell r="C566" t="str">
            <v>Alcaldía de Quebradanegra (Cundinamarca)</v>
          </cell>
        </row>
        <row r="567">
          <cell r="B567" t="str">
            <v>25594</v>
          </cell>
          <cell r="C567" t="str">
            <v>Alcaldía de Quetame (Cundinamarca)</v>
          </cell>
        </row>
        <row r="568">
          <cell r="B568" t="str">
            <v>25596</v>
          </cell>
          <cell r="C568" t="str">
            <v>Alcaldía de Quipile (Cundinamarca)</v>
          </cell>
        </row>
        <row r="569">
          <cell r="B569" t="str">
            <v>25599</v>
          </cell>
          <cell r="C569" t="str">
            <v>Alcaldía de Apulo (Cundinamarca)</v>
          </cell>
        </row>
        <row r="570">
          <cell r="B570" t="str">
            <v>25612</v>
          </cell>
          <cell r="C570" t="str">
            <v>Alcaldía de Ricaurte (Cundinamarca)</v>
          </cell>
        </row>
        <row r="571">
          <cell r="B571" t="str">
            <v>25645</v>
          </cell>
          <cell r="C571" t="str">
            <v>Alcaldía de San Antonio del Tequendama (Cundinamarca)</v>
          </cell>
        </row>
        <row r="572">
          <cell r="B572" t="str">
            <v>25649</v>
          </cell>
          <cell r="C572" t="str">
            <v>Alcaldía de San Bernardo (Cundinamarca)</v>
          </cell>
        </row>
        <row r="573">
          <cell r="B573" t="str">
            <v>25653</v>
          </cell>
          <cell r="C573" t="str">
            <v>Alcaldía de San Cayetano (Cundinamarca)</v>
          </cell>
        </row>
        <row r="574">
          <cell r="B574" t="str">
            <v>25658</v>
          </cell>
          <cell r="C574" t="str">
            <v>Alcaldía de San Francisco (Cundinamarca)</v>
          </cell>
        </row>
        <row r="575">
          <cell r="B575" t="str">
            <v>25662</v>
          </cell>
          <cell r="C575" t="str">
            <v>Alcaldía de San Juan de Río Seco (Cundinamarca)</v>
          </cell>
        </row>
        <row r="576">
          <cell r="B576" t="str">
            <v>25718</v>
          </cell>
          <cell r="C576" t="str">
            <v>Alcaldía de Sasaima (Cundinamarca)</v>
          </cell>
        </row>
        <row r="577">
          <cell r="B577" t="str">
            <v>25736</v>
          </cell>
          <cell r="C577" t="str">
            <v>Alcaldía de Sesquilé (Cundinamarca)</v>
          </cell>
        </row>
        <row r="578">
          <cell r="B578" t="str">
            <v>25740</v>
          </cell>
          <cell r="C578" t="str">
            <v>Alcaldía de Sibaté (Cundinamarca)</v>
          </cell>
        </row>
        <row r="579">
          <cell r="B579" t="str">
            <v>25743</v>
          </cell>
          <cell r="C579" t="str">
            <v>Alcaldía de Silvania (Cundinamarca)</v>
          </cell>
        </row>
        <row r="580">
          <cell r="B580" t="str">
            <v>25745</v>
          </cell>
          <cell r="C580" t="str">
            <v>Alcaldía de Simijaca (Cundinamarca)</v>
          </cell>
        </row>
        <row r="581">
          <cell r="B581" t="str">
            <v>25754</v>
          </cell>
          <cell r="C581" t="str">
            <v>Alcaldía de Soacha (Cundinamarca)</v>
          </cell>
        </row>
        <row r="582">
          <cell r="B582" t="str">
            <v>25758</v>
          </cell>
          <cell r="C582" t="str">
            <v>Alcaldía de Sopó (Cundinamarca)</v>
          </cell>
        </row>
        <row r="583">
          <cell r="B583" t="str">
            <v>25769</v>
          </cell>
          <cell r="C583" t="str">
            <v>Alcaldía de Subachoque (Cundinamarca)</v>
          </cell>
        </row>
        <row r="584">
          <cell r="B584" t="str">
            <v>25772</v>
          </cell>
          <cell r="C584" t="str">
            <v>Alcaldía de Suesca (Cundinamarca)</v>
          </cell>
        </row>
        <row r="585">
          <cell r="B585" t="str">
            <v>25777</v>
          </cell>
          <cell r="C585" t="str">
            <v>Alcaldía de Supatá (Cundinamarca)</v>
          </cell>
        </row>
        <row r="586">
          <cell r="B586" t="str">
            <v>25779</v>
          </cell>
          <cell r="C586" t="str">
            <v>Alcaldía de Susa (Cundinamarca)</v>
          </cell>
        </row>
        <row r="587">
          <cell r="B587" t="str">
            <v>25781</v>
          </cell>
          <cell r="C587" t="str">
            <v>Alcaldía de Sutatausa (Cundinamarca)</v>
          </cell>
        </row>
        <row r="588">
          <cell r="B588" t="str">
            <v>25785</v>
          </cell>
          <cell r="C588" t="str">
            <v>Alcaldía de Tabio (Cundinamarca)</v>
          </cell>
        </row>
        <row r="589">
          <cell r="B589" t="str">
            <v>25793</v>
          </cell>
          <cell r="C589" t="str">
            <v>Alcaldía de Tausa (Cundinamarca)</v>
          </cell>
        </row>
        <row r="590">
          <cell r="B590" t="str">
            <v>25797</v>
          </cell>
          <cell r="C590" t="str">
            <v>Alcaldía de Tena (Cundinamarca)</v>
          </cell>
        </row>
        <row r="591">
          <cell r="B591" t="str">
            <v>25799</v>
          </cell>
          <cell r="C591" t="str">
            <v>Alcaldía de Tenjo (Cundinamarca)</v>
          </cell>
        </row>
        <row r="592">
          <cell r="B592" t="str">
            <v>25805</v>
          </cell>
          <cell r="C592" t="str">
            <v>Alcaldía de Tibacuy (Cundinamarca)</v>
          </cell>
        </row>
        <row r="593">
          <cell r="B593" t="str">
            <v>25807</v>
          </cell>
          <cell r="C593" t="str">
            <v>Alcaldía de Tibirita (Cundinamarca)</v>
          </cell>
        </row>
        <row r="594">
          <cell r="B594" t="str">
            <v>25815</v>
          </cell>
          <cell r="C594" t="str">
            <v>Alcaldía de Tocaima (Cundinamarca)</v>
          </cell>
        </row>
        <row r="595">
          <cell r="B595" t="str">
            <v>25817</v>
          </cell>
          <cell r="C595" t="str">
            <v>Alcaldía de Tocancipá (Cundinamarca)</v>
          </cell>
        </row>
        <row r="596">
          <cell r="B596" t="str">
            <v>25823</v>
          </cell>
          <cell r="C596" t="str">
            <v>Alcaldía de Topaipí (Cundinamarca)</v>
          </cell>
        </row>
        <row r="597">
          <cell r="B597" t="str">
            <v>25839</v>
          </cell>
          <cell r="C597" t="str">
            <v>Alcaldía de Ubalá (Cundinamarca)</v>
          </cell>
        </row>
        <row r="598">
          <cell r="B598" t="str">
            <v>25841</v>
          </cell>
          <cell r="C598" t="str">
            <v>Alcaldía de Ubaque (Cundinamarca)</v>
          </cell>
        </row>
        <row r="599">
          <cell r="B599" t="str">
            <v>25843</v>
          </cell>
          <cell r="C599" t="str">
            <v>Alcaldía de Villa de San Diego de Ubate (Cundinamarca)</v>
          </cell>
        </row>
        <row r="600">
          <cell r="B600" t="str">
            <v>25845</v>
          </cell>
          <cell r="C600" t="str">
            <v>Alcaldía de Une (Cundinamarca)</v>
          </cell>
        </row>
        <row r="601">
          <cell r="B601" t="str">
            <v>25851</v>
          </cell>
          <cell r="C601" t="str">
            <v>Alcaldía de Útica (Cundinamarca)</v>
          </cell>
        </row>
        <row r="602">
          <cell r="B602" t="str">
            <v>25862</v>
          </cell>
          <cell r="C602" t="str">
            <v>Alcaldía de Vergara (Cundinamarca)</v>
          </cell>
        </row>
        <row r="603">
          <cell r="B603" t="str">
            <v>25867</v>
          </cell>
          <cell r="C603" t="str">
            <v>Alcaldía de Vianí (Cundinamarca)</v>
          </cell>
        </row>
        <row r="604">
          <cell r="B604" t="str">
            <v>25871</v>
          </cell>
          <cell r="C604" t="str">
            <v>Alcaldía de Villagómez (Cundinamarca)</v>
          </cell>
        </row>
        <row r="605">
          <cell r="B605" t="str">
            <v>25873</v>
          </cell>
          <cell r="C605" t="str">
            <v>Alcaldía de Villapinzón (Cundinamarca)</v>
          </cell>
        </row>
        <row r="606">
          <cell r="B606" t="str">
            <v>25875</v>
          </cell>
          <cell r="C606" t="str">
            <v>Alcaldía de Villeta (Cundinamarca)</v>
          </cell>
        </row>
        <row r="607">
          <cell r="B607" t="str">
            <v>25878</v>
          </cell>
          <cell r="C607" t="str">
            <v>Alcaldía de Viotá (Cundinamarca)</v>
          </cell>
        </row>
        <row r="608">
          <cell r="B608" t="str">
            <v>25885</v>
          </cell>
          <cell r="C608" t="str">
            <v>Alcaldía de Yacopí (Cundinamarca)</v>
          </cell>
        </row>
        <row r="609">
          <cell r="B609" t="str">
            <v>25898</v>
          </cell>
          <cell r="C609" t="str">
            <v>Alcaldía de Zipacón (Cundinamarca)</v>
          </cell>
        </row>
        <row r="610">
          <cell r="B610" t="str">
            <v>25899</v>
          </cell>
          <cell r="C610" t="str">
            <v>Alcaldía de Zipaquirá (Cundinamarca)</v>
          </cell>
        </row>
        <row r="611">
          <cell r="B611" t="str">
            <v>27001</v>
          </cell>
          <cell r="C611" t="str">
            <v>Alcaldía de Quibdó (Chocó)</v>
          </cell>
        </row>
        <row r="612">
          <cell r="B612" t="str">
            <v>27006</v>
          </cell>
          <cell r="C612" t="str">
            <v>Alcaldía de Acandí (Chocó)</v>
          </cell>
        </row>
        <row r="613">
          <cell r="B613" t="str">
            <v>27025</v>
          </cell>
          <cell r="C613" t="str">
            <v>Alcaldía de Alto Baudo (Chocó)</v>
          </cell>
        </row>
        <row r="614">
          <cell r="B614" t="str">
            <v>27050</v>
          </cell>
          <cell r="C614" t="str">
            <v>Alcaldía de Atrato (Chocó)</v>
          </cell>
        </row>
        <row r="615">
          <cell r="B615" t="str">
            <v>27073</v>
          </cell>
          <cell r="C615" t="str">
            <v>Alcaldía de Bagadó (Chocó)</v>
          </cell>
        </row>
        <row r="616">
          <cell r="B616" t="str">
            <v>27075</v>
          </cell>
          <cell r="C616" t="str">
            <v>Alcaldía de Bahía Solano (Chocó)</v>
          </cell>
        </row>
        <row r="617">
          <cell r="B617" t="str">
            <v>27077</v>
          </cell>
          <cell r="C617" t="str">
            <v>Alcaldía de Bajo Baudó (Chocó)</v>
          </cell>
        </row>
        <row r="618">
          <cell r="B618" t="str">
            <v>27099</v>
          </cell>
          <cell r="C618" t="str">
            <v>Alcaldía de Bojaya (Chocó)</v>
          </cell>
        </row>
        <row r="619">
          <cell r="B619" t="str">
            <v>27135</v>
          </cell>
          <cell r="C619" t="str">
            <v>Alcaldía de El Cantón del San Pablo (Chocó)</v>
          </cell>
        </row>
        <row r="620">
          <cell r="B620" t="str">
            <v>27150</v>
          </cell>
          <cell r="C620" t="str">
            <v>Alcaldía de Carmen del Darien (Chocó)</v>
          </cell>
        </row>
        <row r="621">
          <cell r="B621" t="str">
            <v>27160</v>
          </cell>
          <cell r="C621" t="str">
            <v>Alcaldía de Cértegui (Chocó)</v>
          </cell>
        </row>
        <row r="622">
          <cell r="B622" t="str">
            <v>27205</v>
          </cell>
          <cell r="C622" t="str">
            <v>Alcaldía de Condoto (Chocó)</v>
          </cell>
        </row>
        <row r="623">
          <cell r="B623" t="str">
            <v>27245</v>
          </cell>
          <cell r="C623" t="str">
            <v>Alcaldía de El Carmen de Atrato (Chocó)</v>
          </cell>
        </row>
        <row r="624">
          <cell r="B624" t="str">
            <v>27250</v>
          </cell>
          <cell r="C624" t="str">
            <v>Alcaldía de El Litoral del San Juan (Chocó)</v>
          </cell>
        </row>
        <row r="625">
          <cell r="B625" t="str">
            <v>27361</v>
          </cell>
          <cell r="C625" t="str">
            <v>Alcaldía de Istmina (Chocó)</v>
          </cell>
        </row>
        <row r="626">
          <cell r="B626" t="str">
            <v>27372</v>
          </cell>
          <cell r="C626" t="str">
            <v>Alcaldía de Juradó (Chocó)</v>
          </cell>
        </row>
        <row r="627">
          <cell r="B627" t="str">
            <v>27413</v>
          </cell>
          <cell r="C627" t="str">
            <v>Alcaldía de Lloró (Chocó)</v>
          </cell>
        </row>
        <row r="628">
          <cell r="B628" t="str">
            <v>27425</v>
          </cell>
          <cell r="C628" t="str">
            <v>Alcaldía de Medio Atrato (Chocó)</v>
          </cell>
        </row>
        <row r="629">
          <cell r="B629" t="str">
            <v>27430</v>
          </cell>
          <cell r="C629" t="str">
            <v>Alcaldía de Medio Baudó (Chocó)</v>
          </cell>
        </row>
        <row r="630">
          <cell r="B630" t="str">
            <v>27450</v>
          </cell>
          <cell r="C630" t="str">
            <v>Alcaldía de Medio San Juan (Chocó)</v>
          </cell>
        </row>
        <row r="631">
          <cell r="B631" t="str">
            <v>27491</v>
          </cell>
          <cell r="C631" t="str">
            <v>Alcaldía de Nóvita (Chocó)</v>
          </cell>
        </row>
        <row r="632">
          <cell r="B632" t="str">
            <v>27495</v>
          </cell>
          <cell r="C632" t="str">
            <v>Alcaldía de Nuquí (Chocó)</v>
          </cell>
        </row>
        <row r="633">
          <cell r="B633" t="str">
            <v>27580</v>
          </cell>
          <cell r="C633" t="str">
            <v>Alcaldía de Río Iro (Chocó)</v>
          </cell>
        </row>
        <row r="634">
          <cell r="B634" t="str">
            <v>27600</v>
          </cell>
          <cell r="C634" t="str">
            <v>Alcaldía de Río Quito (Chocó)</v>
          </cell>
        </row>
        <row r="635">
          <cell r="B635" t="str">
            <v>27615</v>
          </cell>
          <cell r="C635" t="str">
            <v>Alcaldía de Riosucio (Chocó)</v>
          </cell>
        </row>
        <row r="636">
          <cell r="B636" t="str">
            <v>27660</v>
          </cell>
          <cell r="C636" t="str">
            <v>Alcaldía de San José del Palmar (Chocó)</v>
          </cell>
        </row>
        <row r="637">
          <cell r="B637" t="str">
            <v>27745</v>
          </cell>
          <cell r="C637" t="str">
            <v>Alcaldía de Sipí (Chocó)</v>
          </cell>
        </row>
        <row r="638">
          <cell r="B638" t="str">
            <v>27787</v>
          </cell>
          <cell r="C638" t="str">
            <v>Alcaldía de Tadó (Chocó)</v>
          </cell>
        </row>
        <row r="639">
          <cell r="B639" t="str">
            <v>27800</v>
          </cell>
          <cell r="C639" t="str">
            <v>Alcaldía de Unguía (Chocó)</v>
          </cell>
        </row>
        <row r="640">
          <cell r="B640" t="str">
            <v>27810</v>
          </cell>
          <cell r="C640" t="str">
            <v>Alcaldía de Unión Panamericana (Chocó)</v>
          </cell>
        </row>
        <row r="641">
          <cell r="B641" t="str">
            <v>41001</v>
          </cell>
          <cell r="C641" t="str">
            <v>Alcaldía de Neiva (Huila)</v>
          </cell>
        </row>
        <row r="642">
          <cell r="B642" t="str">
            <v>41006</v>
          </cell>
          <cell r="C642" t="str">
            <v>Alcaldía de Acevedo (Huila)</v>
          </cell>
        </row>
        <row r="643">
          <cell r="B643" t="str">
            <v>41013</v>
          </cell>
          <cell r="C643" t="str">
            <v>Alcaldía de Agrado (Huila)</v>
          </cell>
        </row>
        <row r="644">
          <cell r="B644" t="str">
            <v>41016</v>
          </cell>
          <cell r="C644" t="str">
            <v>Alcaldía de Aipe (Huila)</v>
          </cell>
        </row>
        <row r="645">
          <cell r="B645" t="str">
            <v>41020</v>
          </cell>
          <cell r="C645" t="str">
            <v>Alcaldía de Algeciras (Huila)</v>
          </cell>
        </row>
        <row r="646">
          <cell r="B646" t="str">
            <v>41026</v>
          </cell>
          <cell r="C646" t="str">
            <v>Alcaldía de Altamira (Huila)</v>
          </cell>
        </row>
        <row r="647">
          <cell r="B647" t="str">
            <v>41078</v>
          </cell>
          <cell r="C647" t="str">
            <v>Alcaldía de Baraya (Huila)</v>
          </cell>
        </row>
        <row r="648">
          <cell r="B648" t="str">
            <v>41132</v>
          </cell>
          <cell r="C648" t="str">
            <v>Alcaldía de Campoalegre (Huila)</v>
          </cell>
        </row>
        <row r="649">
          <cell r="B649" t="str">
            <v>41206</v>
          </cell>
          <cell r="C649" t="str">
            <v>Alcaldía de Colombia (Huila)</v>
          </cell>
        </row>
        <row r="650">
          <cell r="B650" t="str">
            <v>41244</v>
          </cell>
          <cell r="C650" t="str">
            <v>Alcaldía de Elías (Huila)</v>
          </cell>
        </row>
        <row r="651">
          <cell r="B651" t="str">
            <v>41298</v>
          </cell>
          <cell r="C651" t="str">
            <v>Alcaldía de Garzón (Huila)</v>
          </cell>
        </row>
        <row r="652">
          <cell r="B652" t="str">
            <v>41306</v>
          </cell>
          <cell r="C652" t="str">
            <v>Alcaldía de Gigante (Huila)</v>
          </cell>
        </row>
        <row r="653">
          <cell r="B653" t="str">
            <v>41319</v>
          </cell>
          <cell r="C653" t="str">
            <v>Alcaldía de Guadalupe (Huila)</v>
          </cell>
        </row>
        <row r="654">
          <cell r="B654" t="str">
            <v>41349</v>
          </cell>
          <cell r="C654" t="str">
            <v>Alcaldía de Hobo (Huila)</v>
          </cell>
        </row>
        <row r="655">
          <cell r="B655" t="str">
            <v>41357</v>
          </cell>
          <cell r="C655" t="str">
            <v>Alcaldía de Iquira (Huila)</v>
          </cell>
        </row>
        <row r="656">
          <cell r="B656" t="str">
            <v>41359</v>
          </cell>
          <cell r="C656" t="str">
            <v>Alcaldía de Isnos (Huila)</v>
          </cell>
        </row>
        <row r="657">
          <cell r="B657" t="str">
            <v>41378</v>
          </cell>
          <cell r="C657" t="str">
            <v>Alcaldía de La Argentina (Huila)</v>
          </cell>
        </row>
        <row r="658">
          <cell r="B658" t="str">
            <v>41396</v>
          </cell>
          <cell r="C658" t="str">
            <v>Alcaldía de La Plata (Huila)</v>
          </cell>
        </row>
        <row r="659">
          <cell r="B659" t="str">
            <v>41483</v>
          </cell>
          <cell r="C659" t="str">
            <v>Alcaldía de Nátaga (Huila)</v>
          </cell>
        </row>
        <row r="660">
          <cell r="B660" t="str">
            <v>41503</v>
          </cell>
          <cell r="C660" t="str">
            <v>Alcaldía de Oporapa (Huila)</v>
          </cell>
        </row>
        <row r="661">
          <cell r="B661" t="str">
            <v>41518</v>
          </cell>
          <cell r="C661" t="str">
            <v>Alcaldía de Paicol (Huila)</v>
          </cell>
        </row>
        <row r="662">
          <cell r="B662" t="str">
            <v>41524</v>
          </cell>
          <cell r="C662" t="str">
            <v>Alcaldía de Palermo (Huila)</v>
          </cell>
        </row>
        <row r="663">
          <cell r="B663" t="str">
            <v>41530</v>
          </cell>
          <cell r="C663" t="str">
            <v>Alcaldía de Palestina (Huila)</v>
          </cell>
        </row>
        <row r="664">
          <cell r="B664" t="str">
            <v>41548</v>
          </cell>
          <cell r="C664" t="str">
            <v>Alcaldía de Pital (Huila)</v>
          </cell>
        </row>
        <row r="665">
          <cell r="B665" t="str">
            <v>41551</v>
          </cell>
          <cell r="C665" t="str">
            <v>Alcaldía de Pitalito (Huila)</v>
          </cell>
        </row>
        <row r="666">
          <cell r="B666" t="str">
            <v>41615</v>
          </cell>
          <cell r="C666" t="str">
            <v>Alcaldía de Rivera (Huila)</v>
          </cell>
        </row>
        <row r="667">
          <cell r="B667" t="str">
            <v>41660</v>
          </cell>
          <cell r="C667" t="str">
            <v>Alcaldía de Saladoblanco (Huila)</v>
          </cell>
        </row>
        <row r="668">
          <cell r="B668" t="str">
            <v>41668</v>
          </cell>
          <cell r="C668" t="str">
            <v>Alcaldía de San Agustín (Huila)</v>
          </cell>
        </row>
        <row r="669">
          <cell r="B669" t="str">
            <v>41676</v>
          </cell>
          <cell r="C669" t="str">
            <v>Alcaldía de Santa María (Huila)</v>
          </cell>
        </row>
        <row r="670">
          <cell r="B670" t="str">
            <v>41770</v>
          </cell>
          <cell r="C670" t="str">
            <v>Alcaldía de Suaza (Huila)</v>
          </cell>
        </row>
        <row r="671">
          <cell r="B671" t="str">
            <v>41791</v>
          </cell>
          <cell r="C671" t="str">
            <v>Alcaldía de Tarqui (Huila)</v>
          </cell>
        </row>
        <row r="672">
          <cell r="B672" t="str">
            <v>41797</v>
          </cell>
          <cell r="C672" t="str">
            <v>Alcaldía de Tesalia (Huila)</v>
          </cell>
        </row>
        <row r="673">
          <cell r="B673" t="str">
            <v>41799</v>
          </cell>
          <cell r="C673" t="str">
            <v>Alcaldía de Tello (Huila)</v>
          </cell>
        </row>
        <row r="674">
          <cell r="B674" t="str">
            <v>41801</v>
          </cell>
          <cell r="C674" t="str">
            <v>Alcaldía de Teruel (Huila)</v>
          </cell>
        </row>
        <row r="675">
          <cell r="B675" t="str">
            <v>41807</v>
          </cell>
          <cell r="C675" t="str">
            <v>Alcaldía de Timaná (Huila)</v>
          </cell>
        </row>
        <row r="676">
          <cell r="B676" t="str">
            <v>41872</v>
          </cell>
          <cell r="C676" t="str">
            <v>Alcaldía de Villavieja (Huila)</v>
          </cell>
        </row>
        <row r="677">
          <cell r="B677" t="str">
            <v>41885</v>
          </cell>
          <cell r="C677" t="str">
            <v>Alcaldía de Yaguará (Huila)</v>
          </cell>
        </row>
        <row r="678">
          <cell r="B678" t="str">
            <v>44001</v>
          </cell>
          <cell r="C678" t="str">
            <v>Alcaldía de Riohacha (La Guajira)</v>
          </cell>
        </row>
        <row r="679">
          <cell r="B679" t="str">
            <v>44035</v>
          </cell>
          <cell r="C679" t="str">
            <v>Alcaldía de Albania (La Guajira)</v>
          </cell>
        </row>
        <row r="680">
          <cell r="B680" t="str">
            <v>44078</v>
          </cell>
          <cell r="C680" t="str">
            <v>Alcaldía de Barrancas (La Guajira)</v>
          </cell>
        </row>
        <row r="681">
          <cell r="B681" t="str">
            <v>44090</v>
          </cell>
          <cell r="C681" t="str">
            <v>Alcaldía de Dibulla (La Guajira)</v>
          </cell>
        </row>
        <row r="682">
          <cell r="B682" t="str">
            <v>44098</v>
          </cell>
          <cell r="C682" t="str">
            <v>Alcaldía de Distracción (La Guajira)</v>
          </cell>
        </row>
        <row r="683">
          <cell r="B683" t="str">
            <v>44110</v>
          </cell>
          <cell r="C683" t="str">
            <v>Alcaldía de El Molino (La Guajira)</v>
          </cell>
        </row>
        <row r="684">
          <cell r="B684" t="str">
            <v>44279</v>
          </cell>
          <cell r="C684" t="str">
            <v>Alcaldía de Fonseca (La Guajira)</v>
          </cell>
        </row>
        <row r="685">
          <cell r="B685" t="str">
            <v>44378</v>
          </cell>
          <cell r="C685" t="str">
            <v>Alcaldía de Hatonuevo (La Guajira)</v>
          </cell>
        </row>
        <row r="686">
          <cell r="B686" t="str">
            <v>44420</v>
          </cell>
          <cell r="C686" t="str">
            <v>Alcaldía de La Jagua del Pilar (La Guajira)</v>
          </cell>
        </row>
        <row r="687">
          <cell r="B687" t="str">
            <v>44430</v>
          </cell>
          <cell r="C687" t="str">
            <v>Alcaldía de Maicao (La Guajira)</v>
          </cell>
        </row>
        <row r="688">
          <cell r="B688" t="str">
            <v>44560</v>
          </cell>
          <cell r="C688" t="str">
            <v>Alcaldía de Manaure (La Guajira)</v>
          </cell>
        </row>
        <row r="689">
          <cell r="B689" t="str">
            <v>44650</v>
          </cell>
          <cell r="C689" t="str">
            <v>Alcaldía de San Juan del Cesar (La Guajira)</v>
          </cell>
        </row>
        <row r="690">
          <cell r="B690" t="str">
            <v>44847</v>
          </cell>
          <cell r="C690" t="str">
            <v>Alcaldía de Uribia (La Guajira)</v>
          </cell>
        </row>
        <row r="691">
          <cell r="B691" t="str">
            <v>44855</v>
          </cell>
          <cell r="C691" t="str">
            <v>Alcaldía de Urumita (La Guajira)</v>
          </cell>
        </row>
        <row r="692">
          <cell r="B692" t="str">
            <v>44874</v>
          </cell>
          <cell r="C692" t="str">
            <v>Alcaldía de Villanueva (La Guajira)</v>
          </cell>
        </row>
        <row r="693">
          <cell r="B693" t="str">
            <v>47001</v>
          </cell>
          <cell r="C693" t="str">
            <v>Alcaldía de Santa Marta (Magdalena)</v>
          </cell>
        </row>
        <row r="694">
          <cell r="B694" t="str">
            <v>47030</v>
          </cell>
          <cell r="C694" t="str">
            <v>Alcaldía de Algarrobo (Magdalena)</v>
          </cell>
        </row>
        <row r="695">
          <cell r="B695" t="str">
            <v>47053</v>
          </cell>
          <cell r="C695" t="str">
            <v>Alcaldía de Aracataca (Magdalena)</v>
          </cell>
        </row>
        <row r="696">
          <cell r="B696" t="str">
            <v>47058</v>
          </cell>
          <cell r="C696" t="str">
            <v>Alcaldía de Ariguaní (Magdalena)</v>
          </cell>
        </row>
        <row r="697">
          <cell r="B697" t="str">
            <v>47161</v>
          </cell>
          <cell r="C697" t="str">
            <v>Alcaldía de Cerro San Antonio (Magdalena)</v>
          </cell>
        </row>
        <row r="698">
          <cell r="B698" t="str">
            <v>47170</v>
          </cell>
          <cell r="C698" t="str">
            <v>Alcaldía de Chivolo (Magdalena)</v>
          </cell>
        </row>
        <row r="699">
          <cell r="B699" t="str">
            <v>47189</v>
          </cell>
          <cell r="C699" t="str">
            <v>Alcaldía de Ciénaga (Magdalena)</v>
          </cell>
        </row>
        <row r="700">
          <cell r="B700" t="str">
            <v>47205</v>
          </cell>
          <cell r="C700" t="str">
            <v>Alcaldía de Concordia (Magdalena)</v>
          </cell>
        </row>
        <row r="701">
          <cell r="B701" t="str">
            <v>47245</v>
          </cell>
          <cell r="C701" t="str">
            <v>Alcaldía de El Banco (Magdalena)</v>
          </cell>
        </row>
        <row r="702">
          <cell r="B702" t="str">
            <v>47258</v>
          </cell>
          <cell r="C702" t="str">
            <v>Alcaldía de El Piñon (Magdalena)</v>
          </cell>
        </row>
        <row r="703">
          <cell r="B703" t="str">
            <v>47268</v>
          </cell>
          <cell r="C703" t="str">
            <v>Alcaldía de El Retén (Magdalena)</v>
          </cell>
        </row>
        <row r="704">
          <cell r="B704" t="str">
            <v>47288</v>
          </cell>
          <cell r="C704" t="str">
            <v>Alcaldía de Fundación (Magdalena)</v>
          </cell>
        </row>
        <row r="705">
          <cell r="B705" t="str">
            <v>47318</v>
          </cell>
          <cell r="C705" t="str">
            <v>Alcaldía de Guamal (Magdalena)</v>
          </cell>
        </row>
        <row r="706">
          <cell r="B706" t="str">
            <v>47460</v>
          </cell>
          <cell r="C706" t="str">
            <v>Alcaldía de Nueva Granada (Magdalena)</v>
          </cell>
        </row>
        <row r="707">
          <cell r="B707" t="str">
            <v>47541</v>
          </cell>
          <cell r="C707" t="str">
            <v>Alcaldía de Pedraza (Magdalena)</v>
          </cell>
        </row>
        <row r="708">
          <cell r="B708" t="str">
            <v>47545</v>
          </cell>
          <cell r="C708" t="str">
            <v>Alcaldía de Pijiño del Carmen (Magdalena)</v>
          </cell>
        </row>
        <row r="709">
          <cell r="B709" t="str">
            <v>47551</v>
          </cell>
          <cell r="C709" t="str">
            <v>Alcaldía de Pivijay (Magdalena)</v>
          </cell>
        </row>
        <row r="710">
          <cell r="B710" t="str">
            <v>47555</v>
          </cell>
          <cell r="C710" t="str">
            <v>Alcaldía de Plato (Magdalena)</v>
          </cell>
        </row>
        <row r="711">
          <cell r="B711" t="str">
            <v>47570</v>
          </cell>
          <cell r="C711" t="str">
            <v>Alcaldía de Puebloviejo (Magdalena)</v>
          </cell>
        </row>
        <row r="712">
          <cell r="B712" t="str">
            <v>47605</v>
          </cell>
          <cell r="C712" t="str">
            <v>Alcaldía de Remolino (Magdalena)</v>
          </cell>
        </row>
        <row r="713">
          <cell r="B713" t="str">
            <v>47660</v>
          </cell>
          <cell r="C713" t="str">
            <v>Alcaldía de Sabanas de San Angel (Magdalena)</v>
          </cell>
        </row>
        <row r="714">
          <cell r="B714" t="str">
            <v>47675</v>
          </cell>
          <cell r="C714" t="str">
            <v>Alcaldía de Salamina (Magdalena)</v>
          </cell>
        </row>
        <row r="715">
          <cell r="B715" t="str">
            <v>47692</v>
          </cell>
          <cell r="C715" t="str">
            <v>Alcaldía de San Sebastián de Buenavista (Magdalena)</v>
          </cell>
        </row>
        <row r="716">
          <cell r="B716" t="str">
            <v>47703</v>
          </cell>
          <cell r="C716" t="str">
            <v>Alcaldía de San Zenón (Magdalena)</v>
          </cell>
        </row>
        <row r="717">
          <cell r="B717" t="str">
            <v>47707</v>
          </cell>
          <cell r="C717" t="str">
            <v>Alcaldía de Santa Ana (Magdalena)</v>
          </cell>
        </row>
        <row r="718">
          <cell r="B718" t="str">
            <v>47720</v>
          </cell>
          <cell r="C718" t="str">
            <v>Alcaldía de Santa Bárbara de Pinto (Magdalena)</v>
          </cell>
        </row>
        <row r="719">
          <cell r="B719" t="str">
            <v>47745</v>
          </cell>
          <cell r="C719" t="str">
            <v>Alcaldía de Sitionuevo (Magdalena)</v>
          </cell>
        </row>
        <row r="720">
          <cell r="B720" t="str">
            <v>47798</v>
          </cell>
          <cell r="C720" t="str">
            <v>Alcaldía de Tenerife (Magdalena)</v>
          </cell>
        </row>
        <row r="721">
          <cell r="B721" t="str">
            <v>47960</v>
          </cell>
          <cell r="C721" t="str">
            <v>Alcaldía de Zapayán (Magdalena)</v>
          </cell>
        </row>
        <row r="722">
          <cell r="B722" t="str">
            <v>47980</v>
          </cell>
          <cell r="C722" t="str">
            <v>Alcaldía de Zona Bananera (Magdalena)</v>
          </cell>
        </row>
        <row r="723">
          <cell r="B723" t="str">
            <v>50001</v>
          </cell>
          <cell r="C723" t="str">
            <v>Alcaldía de Villavicencio (Meta)</v>
          </cell>
        </row>
        <row r="724">
          <cell r="B724" t="str">
            <v>50006</v>
          </cell>
          <cell r="C724" t="str">
            <v>Alcaldía de Acacías (Meta)</v>
          </cell>
        </row>
        <row r="725">
          <cell r="B725" t="str">
            <v>50110</v>
          </cell>
          <cell r="C725" t="str">
            <v>Alcaldía de Barranca de Upía (Meta)</v>
          </cell>
        </row>
        <row r="726">
          <cell r="B726" t="str">
            <v>50124</v>
          </cell>
          <cell r="C726" t="str">
            <v>Alcaldía de Cabuyaro (Meta)</v>
          </cell>
        </row>
        <row r="727">
          <cell r="B727" t="str">
            <v>50150</v>
          </cell>
          <cell r="C727" t="str">
            <v>Alcaldía de Castilla la Nueva (Meta)</v>
          </cell>
        </row>
        <row r="728">
          <cell r="B728" t="str">
            <v>50223</v>
          </cell>
          <cell r="C728" t="str">
            <v>Alcaldía de Cubarral (Meta)</v>
          </cell>
        </row>
        <row r="729">
          <cell r="B729" t="str">
            <v>50226</v>
          </cell>
          <cell r="C729" t="str">
            <v>Alcaldía de Cumaral (Meta)</v>
          </cell>
        </row>
        <row r="730">
          <cell r="B730" t="str">
            <v>50245</v>
          </cell>
          <cell r="C730" t="str">
            <v>Alcaldía de El Calvario (Meta)</v>
          </cell>
        </row>
        <row r="731">
          <cell r="B731" t="str">
            <v>50251</v>
          </cell>
          <cell r="C731" t="str">
            <v>Alcaldía de El Castillo (Meta)</v>
          </cell>
        </row>
        <row r="732">
          <cell r="B732" t="str">
            <v>50270</v>
          </cell>
          <cell r="C732" t="str">
            <v>Alcaldía de El Dorado (Meta)</v>
          </cell>
        </row>
        <row r="733">
          <cell r="B733" t="str">
            <v>50287</v>
          </cell>
          <cell r="C733" t="str">
            <v>Alcaldía de Fuente de Oro (Meta)</v>
          </cell>
        </row>
        <row r="734">
          <cell r="B734" t="str">
            <v>50313</v>
          </cell>
          <cell r="C734" t="str">
            <v>Alcaldía de Granada (Meta)</v>
          </cell>
        </row>
        <row r="735">
          <cell r="B735" t="str">
            <v>50318</v>
          </cell>
          <cell r="C735" t="str">
            <v>Alcaldía de Guamal (Meta)</v>
          </cell>
        </row>
        <row r="736">
          <cell r="B736" t="str">
            <v>50325</v>
          </cell>
          <cell r="C736" t="str">
            <v>Alcaldía de Mapiripán (Meta)</v>
          </cell>
        </row>
        <row r="737">
          <cell r="B737" t="str">
            <v>50330</v>
          </cell>
          <cell r="C737" t="str">
            <v>Alcaldía de Mesetas (Meta)</v>
          </cell>
        </row>
        <row r="738">
          <cell r="B738" t="str">
            <v>50350</v>
          </cell>
          <cell r="C738" t="str">
            <v>Alcaldía de La Macarena (Meta)</v>
          </cell>
        </row>
        <row r="739">
          <cell r="B739" t="str">
            <v>50370</v>
          </cell>
          <cell r="C739" t="str">
            <v>Alcaldía de Uribe (Meta)</v>
          </cell>
        </row>
        <row r="740">
          <cell r="B740" t="str">
            <v>50400</v>
          </cell>
          <cell r="C740" t="str">
            <v>Alcaldía de Lejanías (Meta)</v>
          </cell>
        </row>
        <row r="741">
          <cell r="B741" t="str">
            <v>50450</v>
          </cell>
          <cell r="C741" t="str">
            <v>Alcaldía de Puerto Concordia (Meta)</v>
          </cell>
        </row>
        <row r="742">
          <cell r="B742" t="str">
            <v>50568</v>
          </cell>
          <cell r="C742" t="str">
            <v>Alcaldía de Puerto Gaitán (Meta)</v>
          </cell>
        </row>
        <row r="743">
          <cell r="B743" t="str">
            <v>50573</v>
          </cell>
          <cell r="C743" t="str">
            <v>Alcaldía de Puerto López (Meta)</v>
          </cell>
        </row>
        <row r="744">
          <cell r="B744" t="str">
            <v>50577</v>
          </cell>
          <cell r="C744" t="str">
            <v>Alcaldía de Puerto Lleras (Meta)</v>
          </cell>
        </row>
        <row r="745">
          <cell r="B745" t="str">
            <v>50590</v>
          </cell>
          <cell r="C745" t="str">
            <v>Alcaldía de Puerto Rico (Meta)</v>
          </cell>
        </row>
        <row r="746">
          <cell r="B746" t="str">
            <v>50606</v>
          </cell>
          <cell r="C746" t="str">
            <v>Alcaldía de Restrepo (Meta)</v>
          </cell>
        </row>
        <row r="747">
          <cell r="B747" t="str">
            <v>50680</v>
          </cell>
          <cell r="C747" t="str">
            <v>Alcaldía de San Carlos de Guaroa (Meta)</v>
          </cell>
        </row>
        <row r="748">
          <cell r="B748" t="str">
            <v>50683</v>
          </cell>
          <cell r="C748" t="str">
            <v>Alcaldía de San Juan de Arama (Meta)</v>
          </cell>
        </row>
        <row r="749">
          <cell r="B749" t="str">
            <v>50686</v>
          </cell>
          <cell r="C749" t="str">
            <v>Alcaldía de San Juanito (Meta)</v>
          </cell>
        </row>
        <row r="750">
          <cell r="B750" t="str">
            <v>50689</v>
          </cell>
          <cell r="C750" t="str">
            <v>Alcaldía de San Martín (Meta)</v>
          </cell>
        </row>
        <row r="751">
          <cell r="B751" t="str">
            <v>50711</v>
          </cell>
          <cell r="C751" t="str">
            <v>Alcaldía de Vistahermosa (Meta)</v>
          </cell>
        </row>
        <row r="752">
          <cell r="B752" t="str">
            <v>52001</v>
          </cell>
          <cell r="C752" t="str">
            <v>Alcaldía de Pasto (Nariño)</v>
          </cell>
        </row>
        <row r="753">
          <cell r="B753" t="str">
            <v>52019</v>
          </cell>
          <cell r="C753" t="str">
            <v>Alcaldía de Albán (Nariño)</v>
          </cell>
        </row>
        <row r="754">
          <cell r="B754" t="str">
            <v>52022</v>
          </cell>
          <cell r="C754" t="str">
            <v>Alcaldía de Aldana (Nariño)</v>
          </cell>
        </row>
        <row r="755">
          <cell r="B755" t="str">
            <v>52036</v>
          </cell>
          <cell r="C755" t="str">
            <v>Alcaldía de Ancuyá (Nariño)</v>
          </cell>
        </row>
        <row r="756">
          <cell r="B756" t="str">
            <v>52051</v>
          </cell>
          <cell r="C756" t="str">
            <v>Alcaldía de Arboleda (Nariño)</v>
          </cell>
        </row>
        <row r="757">
          <cell r="B757" t="str">
            <v>52079</v>
          </cell>
          <cell r="C757" t="str">
            <v>Alcaldía de Barbacoas (Nariño)</v>
          </cell>
        </row>
        <row r="758">
          <cell r="B758" t="str">
            <v>52083</v>
          </cell>
          <cell r="C758" t="str">
            <v>Alcaldía de Belén (Nariño)</v>
          </cell>
        </row>
        <row r="759">
          <cell r="B759" t="str">
            <v>52110</v>
          </cell>
          <cell r="C759" t="str">
            <v>Alcaldía de Buesaco (Nariño)</v>
          </cell>
        </row>
        <row r="760">
          <cell r="B760" t="str">
            <v>52203</v>
          </cell>
          <cell r="C760" t="str">
            <v>Alcaldía de Colón (Nariño)</v>
          </cell>
        </row>
        <row r="761">
          <cell r="B761" t="str">
            <v>52207</v>
          </cell>
          <cell r="C761" t="str">
            <v>Alcaldía de Consaca (Nariño)</v>
          </cell>
        </row>
        <row r="762">
          <cell r="B762" t="str">
            <v>52210</v>
          </cell>
          <cell r="C762" t="str">
            <v>Alcaldía de Contadero (Nariño)</v>
          </cell>
        </row>
        <row r="763">
          <cell r="B763" t="str">
            <v>52215</v>
          </cell>
          <cell r="C763" t="str">
            <v>Alcaldía de Córdoba (Nariño)</v>
          </cell>
        </row>
        <row r="764">
          <cell r="B764" t="str">
            <v>52224</v>
          </cell>
          <cell r="C764" t="str">
            <v>Alcaldía de Cuaspud (Nariño)</v>
          </cell>
        </row>
        <row r="765">
          <cell r="B765" t="str">
            <v>52227</v>
          </cell>
          <cell r="C765" t="str">
            <v>Alcaldía de Cumbal (Nariño)</v>
          </cell>
        </row>
        <row r="766">
          <cell r="B766" t="str">
            <v>52233</v>
          </cell>
          <cell r="C766" t="str">
            <v>Alcaldía de Cumbitara (Nariño)</v>
          </cell>
        </row>
        <row r="767">
          <cell r="B767" t="str">
            <v>52240</v>
          </cell>
          <cell r="C767" t="str">
            <v>Alcaldía de Chachagüí (Nariño)</v>
          </cell>
        </row>
        <row r="768">
          <cell r="B768" t="str">
            <v>52250</v>
          </cell>
          <cell r="C768" t="str">
            <v>Alcaldía de El Charco (Nariño)</v>
          </cell>
        </row>
        <row r="769">
          <cell r="B769" t="str">
            <v>52254</v>
          </cell>
          <cell r="C769" t="str">
            <v>Alcaldía de El Peñol (Nariño)</v>
          </cell>
        </row>
        <row r="770">
          <cell r="B770" t="str">
            <v>52256</v>
          </cell>
          <cell r="C770" t="str">
            <v>Alcaldía de El Rosario (Nariño)</v>
          </cell>
        </row>
        <row r="771">
          <cell r="B771" t="str">
            <v>52258</v>
          </cell>
          <cell r="C771" t="str">
            <v>Alcaldía de El Tablón de Gómez (Nariño)</v>
          </cell>
        </row>
        <row r="772">
          <cell r="B772" t="str">
            <v>52260</v>
          </cell>
          <cell r="C772" t="str">
            <v>Alcaldía de El Tambo (Nariño)</v>
          </cell>
        </row>
        <row r="773">
          <cell r="B773" t="str">
            <v>52287</v>
          </cell>
          <cell r="C773" t="str">
            <v>Alcaldía de Funes (Nariño)</v>
          </cell>
        </row>
        <row r="774">
          <cell r="B774" t="str">
            <v>52317</v>
          </cell>
          <cell r="C774" t="str">
            <v>Alcaldía de Guachucal (Nariño)</v>
          </cell>
        </row>
        <row r="775">
          <cell r="B775" t="str">
            <v>52320</v>
          </cell>
          <cell r="C775" t="str">
            <v>Alcaldía de Guaitarilla (Nariño)</v>
          </cell>
        </row>
        <row r="776">
          <cell r="B776" t="str">
            <v>52323</v>
          </cell>
          <cell r="C776" t="str">
            <v>Alcaldía de Gualmatán (Nariño)</v>
          </cell>
        </row>
        <row r="777">
          <cell r="B777" t="str">
            <v>52352</v>
          </cell>
          <cell r="C777" t="str">
            <v>Alcaldía de Iles (Nariño)</v>
          </cell>
        </row>
        <row r="778">
          <cell r="B778" t="str">
            <v>52354</v>
          </cell>
          <cell r="C778" t="str">
            <v>Alcaldía de Imués (Nariño)</v>
          </cell>
        </row>
        <row r="779">
          <cell r="B779" t="str">
            <v>52356</v>
          </cell>
          <cell r="C779" t="str">
            <v>Alcaldía de Ipiales (Nariño)</v>
          </cell>
        </row>
        <row r="780">
          <cell r="B780" t="str">
            <v>52378</v>
          </cell>
          <cell r="C780" t="str">
            <v>Alcaldía de La Cruz (Nariño)</v>
          </cell>
        </row>
        <row r="781">
          <cell r="B781" t="str">
            <v>52381</v>
          </cell>
          <cell r="C781" t="str">
            <v>Alcaldía de La Florida (Nariño)</v>
          </cell>
        </row>
        <row r="782">
          <cell r="B782" t="str">
            <v>52385</v>
          </cell>
          <cell r="C782" t="str">
            <v>Alcaldía de La Llanada (Nariño)</v>
          </cell>
        </row>
        <row r="783">
          <cell r="B783" t="str">
            <v>52390</v>
          </cell>
          <cell r="C783" t="str">
            <v>Alcaldía de La Tola (Nariño)</v>
          </cell>
        </row>
        <row r="784">
          <cell r="B784" t="str">
            <v>52399</v>
          </cell>
          <cell r="C784" t="str">
            <v>Alcaldía de La Unión (Nariño)</v>
          </cell>
        </row>
        <row r="785">
          <cell r="B785" t="str">
            <v>52405</v>
          </cell>
          <cell r="C785" t="str">
            <v>Alcaldía de Leiva (Nariño)</v>
          </cell>
        </row>
        <row r="786">
          <cell r="B786" t="str">
            <v>52411</v>
          </cell>
          <cell r="C786" t="str">
            <v>Alcaldía de Linares (Nariño)</v>
          </cell>
        </row>
        <row r="787">
          <cell r="B787" t="str">
            <v>52418</v>
          </cell>
          <cell r="C787" t="str">
            <v>Alcaldía de Los Andes (Nariño)</v>
          </cell>
        </row>
        <row r="788">
          <cell r="B788" t="str">
            <v>52427</v>
          </cell>
          <cell r="C788" t="str">
            <v>Alcaldía de Magüi (Nariño)</v>
          </cell>
        </row>
        <row r="789">
          <cell r="B789" t="str">
            <v>52435</v>
          </cell>
          <cell r="C789" t="str">
            <v>Alcaldía de Mallama (Nariño)</v>
          </cell>
        </row>
        <row r="790">
          <cell r="B790" t="str">
            <v>52473</v>
          </cell>
          <cell r="C790" t="str">
            <v>Alcaldía de Mosquera (Nariño)</v>
          </cell>
        </row>
        <row r="791">
          <cell r="B791" t="str">
            <v>52480</v>
          </cell>
          <cell r="C791" t="str">
            <v>Alcaldía de Nariño (Nariño)</v>
          </cell>
        </row>
        <row r="792">
          <cell r="B792" t="str">
            <v>52490</v>
          </cell>
          <cell r="C792" t="str">
            <v>Alcaldía de Olaya Herrera (Nariño)</v>
          </cell>
        </row>
        <row r="793">
          <cell r="B793" t="str">
            <v>52506</v>
          </cell>
          <cell r="C793" t="str">
            <v>Alcaldía de Ospina (Nariño)</v>
          </cell>
        </row>
        <row r="794">
          <cell r="B794" t="str">
            <v>52520</v>
          </cell>
          <cell r="C794" t="str">
            <v>Alcaldía de Francisco Pizarro (Nariño)</v>
          </cell>
        </row>
        <row r="795">
          <cell r="B795" t="str">
            <v>52540</v>
          </cell>
          <cell r="C795" t="str">
            <v>Alcaldía de Policarpa (Nariño)</v>
          </cell>
        </row>
        <row r="796">
          <cell r="B796" t="str">
            <v>52560</v>
          </cell>
          <cell r="C796" t="str">
            <v>Alcaldía de Potosí (Nariño)</v>
          </cell>
        </row>
        <row r="797">
          <cell r="B797" t="str">
            <v>52565</v>
          </cell>
          <cell r="C797" t="str">
            <v>Alcaldía de Providencia (Nariño)</v>
          </cell>
        </row>
        <row r="798">
          <cell r="B798" t="str">
            <v>52573</v>
          </cell>
          <cell r="C798" t="str">
            <v>Alcaldía de Puerres (Nariño)</v>
          </cell>
        </row>
        <row r="799">
          <cell r="B799" t="str">
            <v>52585</v>
          </cell>
          <cell r="C799" t="str">
            <v>Alcaldía de Pupiales (Nariño)</v>
          </cell>
        </row>
        <row r="800">
          <cell r="B800" t="str">
            <v>52612</v>
          </cell>
          <cell r="C800" t="str">
            <v>Alcaldía de Ricaurte (Nariño)</v>
          </cell>
        </row>
        <row r="801">
          <cell r="B801" t="str">
            <v>52621</v>
          </cell>
          <cell r="C801" t="str">
            <v>Alcaldía de Roberto Payán (Nariño)</v>
          </cell>
        </row>
        <row r="802">
          <cell r="B802" t="str">
            <v>52678</v>
          </cell>
          <cell r="C802" t="str">
            <v>Alcaldía de Samaniego (Nariño)</v>
          </cell>
        </row>
        <row r="803">
          <cell r="B803" t="str">
            <v>52683</v>
          </cell>
          <cell r="C803" t="str">
            <v>Alcaldía de Sandoná (Nariño)</v>
          </cell>
        </row>
        <row r="804">
          <cell r="B804" t="str">
            <v>52685</v>
          </cell>
          <cell r="C804" t="str">
            <v>Alcaldía de San Bernardo (Nariño)</v>
          </cell>
        </row>
        <row r="805">
          <cell r="B805" t="str">
            <v>52687</v>
          </cell>
          <cell r="C805" t="str">
            <v>Alcaldía de San Lorenzo (Nariño)</v>
          </cell>
        </row>
        <row r="806">
          <cell r="B806" t="str">
            <v>52693</v>
          </cell>
          <cell r="C806" t="str">
            <v>Alcaldía de San Pablo (Nariño)</v>
          </cell>
        </row>
        <row r="807">
          <cell r="B807" t="str">
            <v>52694</v>
          </cell>
          <cell r="C807" t="str">
            <v>Alcaldía de San Pedro de Cartago (Nariño)</v>
          </cell>
        </row>
        <row r="808">
          <cell r="B808" t="str">
            <v>52696</v>
          </cell>
          <cell r="C808" t="str">
            <v>Alcaldía de Santa Bárbara (Nariño)</v>
          </cell>
        </row>
        <row r="809">
          <cell r="B809" t="str">
            <v>52699</v>
          </cell>
          <cell r="C809" t="str">
            <v>Alcaldía de Santacruz (Nariño)</v>
          </cell>
        </row>
        <row r="810">
          <cell r="B810" t="str">
            <v>52720</v>
          </cell>
          <cell r="C810" t="str">
            <v>Alcaldía de Sapuyes (Nariño)</v>
          </cell>
        </row>
        <row r="811">
          <cell r="B811" t="str">
            <v>52786</v>
          </cell>
          <cell r="C811" t="str">
            <v>Alcaldía de Taminango (Nariño)</v>
          </cell>
        </row>
        <row r="812">
          <cell r="B812" t="str">
            <v>52788</v>
          </cell>
          <cell r="C812" t="str">
            <v>Alcaldía de Tangua (Nariño)</v>
          </cell>
        </row>
        <row r="813">
          <cell r="B813" t="str">
            <v>52835</v>
          </cell>
          <cell r="C813" t="str">
            <v>Alcaldía de San Andres de Tumaco (Nariño)</v>
          </cell>
        </row>
        <row r="814">
          <cell r="B814" t="str">
            <v>52838</v>
          </cell>
          <cell r="C814" t="str">
            <v>Alcaldía de Túquerres (Nariño)</v>
          </cell>
        </row>
        <row r="815">
          <cell r="B815" t="str">
            <v>52885</v>
          </cell>
          <cell r="C815" t="str">
            <v>Alcaldía de Yacuanquer (Nariño)</v>
          </cell>
        </row>
        <row r="816">
          <cell r="B816" t="str">
            <v>54001</v>
          </cell>
          <cell r="C816" t="str">
            <v>Alcaldía de Cúcuta (Norte de Santander)</v>
          </cell>
        </row>
        <row r="817">
          <cell r="B817" t="str">
            <v>54003</v>
          </cell>
          <cell r="C817" t="str">
            <v>Alcaldía de Abrego (Norte de Santander)</v>
          </cell>
        </row>
        <row r="818">
          <cell r="B818" t="str">
            <v>54051</v>
          </cell>
          <cell r="C818" t="str">
            <v>Alcaldía de Arboledas (Norte de Santander)</v>
          </cell>
        </row>
        <row r="819">
          <cell r="B819" t="str">
            <v>54099</v>
          </cell>
          <cell r="C819" t="str">
            <v>Alcaldía de Bochalema (Norte de Santander)</v>
          </cell>
        </row>
        <row r="820">
          <cell r="B820" t="str">
            <v>54109</v>
          </cell>
          <cell r="C820" t="str">
            <v>Alcaldía de Bucarasica (Norte de Santander)</v>
          </cell>
        </row>
        <row r="821">
          <cell r="B821" t="str">
            <v>54125</v>
          </cell>
          <cell r="C821" t="str">
            <v>Alcaldía de Cácota (Norte de Santander)</v>
          </cell>
        </row>
        <row r="822">
          <cell r="B822" t="str">
            <v>54128</v>
          </cell>
          <cell r="C822" t="str">
            <v>Alcaldía de Cachirá (Norte de Santander)</v>
          </cell>
        </row>
        <row r="823">
          <cell r="B823" t="str">
            <v>54172</v>
          </cell>
          <cell r="C823" t="str">
            <v>Alcaldía de Chinácota (Norte de Santander)</v>
          </cell>
        </row>
        <row r="824">
          <cell r="B824" t="str">
            <v>54174</v>
          </cell>
          <cell r="C824" t="str">
            <v>Alcaldía de Chitagá (Norte de Santander)</v>
          </cell>
        </row>
        <row r="825">
          <cell r="B825" t="str">
            <v>54206</v>
          </cell>
          <cell r="C825" t="str">
            <v>Alcaldía de Convención (Norte de Santander)</v>
          </cell>
        </row>
        <row r="826">
          <cell r="B826" t="str">
            <v>54223</v>
          </cell>
          <cell r="C826" t="str">
            <v>Alcaldía de Cucutilla (Norte de Santander)</v>
          </cell>
        </row>
        <row r="827">
          <cell r="B827" t="str">
            <v>54239</v>
          </cell>
          <cell r="C827" t="str">
            <v>Alcaldía de Durania (Norte de Santander)</v>
          </cell>
        </row>
        <row r="828">
          <cell r="B828" t="str">
            <v>54245</v>
          </cell>
          <cell r="C828" t="str">
            <v>Alcaldía de El Carmen (Norte de Santander)</v>
          </cell>
        </row>
        <row r="829">
          <cell r="B829" t="str">
            <v>54250</v>
          </cell>
          <cell r="C829" t="str">
            <v>Alcaldía de El Tarra (Norte de Santander)</v>
          </cell>
        </row>
        <row r="830">
          <cell r="B830" t="str">
            <v>54261</v>
          </cell>
          <cell r="C830" t="str">
            <v>Alcaldía de El Zulia (Norte de Santander)</v>
          </cell>
        </row>
        <row r="831">
          <cell r="B831" t="str">
            <v>54313</v>
          </cell>
          <cell r="C831" t="str">
            <v>Alcaldía de Gramalote (Norte de Santander)</v>
          </cell>
        </row>
        <row r="832">
          <cell r="B832" t="str">
            <v>54344</v>
          </cell>
          <cell r="C832" t="str">
            <v>Alcaldía de Hacarí (Norte de Santander)</v>
          </cell>
        </row>
        <row r="833">
          <cell r="B833" t="str">
            <v>54347</v>
          </cell>
          <cell r="C833" t="str">
            <v>Alcaldía de Herrán (Norte de Santander)</v>
          </cell>
        </row>
        <row r="834">
          <cell r="B834" t="str">
            <v>54377</v>
          </cell>
          <cell r="C834" t="str">
            <v>Alcaldía de Labateca (Norte de Santander)</v>
          </cell>
        </row>
        <row r="835">
          <cell r="B835" t="str">
            <v>54385</v>
          </cell>
          <cell r="C835" t="str">
            <v>Alcaldía de La Esperanza (Norte de Santander)</v>
          </cell>
        </row>
        <row r="836">
          <cell r="B836" t="str">
            <v>54398</v>
          </cell>
          <cell r="C836" t="str">
            <v>Alcaldía de La Playa (Norte de Santander)</v>
          </cell>
        </row>
        <row r="837">
          <cell r="B837" t="str">
            <v>54405</v>
          </cell>
          <cell r="C837" t="str">
            <v>Alcaldía de Los Patios (Norte de Santander)</v>
          </cell>
        </row>
        <row r="838">
          <cell r="B838" t="str">
            <v>54418</v>
          </cell>
          <cell r="C838" t="str">
            <v>Alcaldía de Lourdes (Norte de Santander)</v>
          </cell>
        </row>
        <row r="839">
          <cell r="B839" t="str">
            <v>54480</v>
          </cell>
          <cell r="C839" t="str">
            <v>Alcaldía de Mutiscua (Norte de Santander)</v>
          </cell>
        </row>
        <row r="840">
          <cell r="B840" t="str">
            <v>54498</v>
          </cell>
          <cell r="C840" t="str">
            <v>Alcaldía de Ocaña (Norte de Santander)</v>
          </cell>
        </row>
        <row r="841">
          <cell r="B841" t="str">
            <v>54518</v>
          </cell>
          <cell r="C841" t="str">
            <v>Alcaldía de Pamplona (Norte de Santander)</v>
          </cell>
        </row>
        <row r="842">
          <cell r="B842" t="str">
            <v>54520</v>
          </cell>
          <cell r="C842" t="str">
            <v>Alcaldía de Pamplonita (Norte de Santander)</v>
          </cell>
        </row>
        <row r="843">
          <cell r="B843" t="str">
            <v>54553</v>
          </cell>
          <cell r="C843" t="str">
            <v>Alcaldía de Puerto Santander (Norte de Santander)</v>
          </cell>
        </row>
        <row r="844">
          <cell r="B844" t="str">
            <v>54599</v>
          </cell>
          <cell r="C844" t="str">
            <v>Alcaldía de Ragonvalia (Norte de Santander)</v>
          </cell>
        </row>
        <row r="845">
          <cell r="B845" t="str">
            <v>54660</v>
          </cell>
          <cell r="C845" t="str">
            <v>Alcaldía de Salazar (Norte de Santander)</v>
          </cell>
        </row>
        <row r="846">
          <cell r="B846" t="str">
            <v>54670</v>
          </cell>
          <cell r="C846" t="str">
            <v>Alcaldía de San Calixto (Norte de Santander)</v>
          </cell>
        </row>
        <row r="847">
          <cell r="B847" t="str">
            <v>54673</v>
          </cell>
          <cell r="C847" t="str">
            <v>Alcaldía de San Cayetano (Norte de Santander)</v>
          </cell>
        </row>
        <row r="848">
          <cell r="B848" t="str">
            <v>54680</v>
          </cell>
          <cell r="C848" t="str">
            <v>Alcaldía de Santiago (Norte de Santander)</v>
          </cell>
        </row>
        <row r="849">
          <cell r="B849" t="str">
            <v>54720</v>
          </cell>
          <cell r="C849" t="str">
            <v>Alcaldía de Sardinata (Norte de Santander)</v>
          </cell>
        </row>
        <row r="850">
          <cell r="B850" t="str">
            <v>54743</v>
          </cell>
          <cell r="C850" t="str">
            <v>Alcaldía de Silos (Norte de Santander)</v>
          </cell>
        </row>
        <row r="851">
          <cell r="B851" t="str">
            <v>54800</v>
          </cell>
          <cell r="C851" t="str">
            <v>Alcaldía de Teorama (Norte de Santander)</v>
          </cell>
        </row>
        <row r="852">
          <cell r="B852" t="str">
            <v>54810</v>
          </cell>
          <cell r="C852" t="str">
            <v>Alcaldía de Tibú (Norte de Santander)</v>
          </cell>
        </row>
        <row r="853">
          <cell r="B853" t="str">
            <v>54820</v>
          </cell>
          <cell r="C853" t="str">
            <v>Alcaldía de Toledo (Norte de Santander)</v>
          </cell>
        </row>
        <row r="854">
          <cell r="B854" t="str">
            <v>54871</v>
          </cell>
          <cell r="C854" t="str">
            <v>Alcaldía de Villa Caro (Norte de Santander)</v>
          </cell>
        </row>
        <row r="855">
          <cell r="B855" t="str">
            <v>54874</v>
          </cell>
          <cell r="C855" t="str">
            <v>Alcaldía de Villa del Rosario (Norte de Santander)</v>
          </cell>
        </row>
        <row r="856">
          <cell r="B856" t="str">
            <v>63001</v>
          </cell>
          <cell r="C856" t="str">
            <v>Alcaldía de Armenia (Quindio)</v>
          </cell>
        </row>
        <row r="857">
          <cell r="B857" t="str">
            <v>63111</v>
          </cell>
          <cell r="C857" t="str">
            <v>Alcaldía de Buenavista (Quindio)</v>
          </cell>
        </row>
        <row r="858">
          <cell r="B858" t="str">
            <v>63130</v>
          </cell>
          <cell r="C858" t="str">
            <v>Alcaldía de Calarca (Quindio)</v>
          </cell>
        </row>
        <row r="859">
          <cell r="B859" t="str">
            <v>63190</v>
          </cell>
          <cell r="C859" t="str">
            <v>Alcaldía de Circasia (Quindio)</v>
          </cell>
        </row>
        <row r="860">
          <cell r="B860" t="str">
            <v>63212</v>
          </cell>
          <cell r="C860" t="str">
            <v>Alcaldía de Córdoba (Quindio)</v>
          </cell>
        </row>
        <row r="861">
          <cell r="B861" t="str">
            <v>63272</v>
          </cell>
          <cell r="C861" t="str">
            <v>Alcaldía de Filandia (Quindio)</v>
          </cell>
        </row>
        <row r="862">
          <cell r="B862" t="str">
            <v>63302</v>
          </cell>
          <cell r="C862" t="str">
            <v>Alcaldía de Génova (Quindio)</v>
          </cell>
        </row>
        <row r="863">
          <cell r="B863" t="str">
            <v>63401</v>
          </cell>
          <cell r="C863" t="str">
            <v>Alcaldía de La Tebaida (Quindio)</v>
          </cell>
        </row>
        <row r="864">
          <cell r="B864" t="str">
            <v>63470</v>
          </cell>
          <cell r="C864" t="str">
            <v>Alcaldía de Montenegro (Quindio)</v>
          </cell>
        </row>
        <row r="865">
          <cell r="B865" t="str">
            <v>63548</v>
          </cell>
          <cell r="C865" t="str">
            <v>Alcaldía de Pijao (Quindio)</v>
          </cell>
        </row>
        <row r="866">
          <cell r="B866" t="str">
            <v>63594</v>
          </cell>
          <cell r="C866" t="str">
            <v>Alcaldía de Quimbaya (Quindio)</v>
          </cell>
        </row>
        <row r="867">
          <cell r="B867" t="str">
            <v>63690</v>
          </cell>
          <cell r="C867" t="str">
            <v>Alcaldía de Salento (Quindio)</v>
          </cell>
        </row>
        <row r="868">
          <cell r="B868" t="str">
            <v>66001</v>
          </cell>
          <cell r="C868" t="str">
            <v>Alcaldía de Pereira (Risaralda)</v>
          </cell>
        </row>
        <row r="869">
          <cell r="B869" t="str">
            <v>66045</v>
          </cell>
          <cell r="C869" t="str">
            <v>Alcaldía de Apía (Risaralda)</v>
          </cell>
        </row>
        <row r="870">
          <cell r="B870" t="str">
            <v>66075</v>
          </cell>
          <cell r="C870" t="str">
            <v>Alcaldía de Balboa (Risaralda)</v>
          </cell>
        </row>
        <row r="871">
          <cell r="B871" t="str">
            <v>66088</v>
          </cell>
          <cell r="C871" t="str">
            <v>Alcaldía de Belén de Umbría (Risaralda)</v>
          </cell>
        </row>
        <row r="872">
          <cell r="B872" t="str">
            <v>66170</v>
          </cell>
          <cell r="C872" t="str">
            <v>Alcaldía de Dosquebradas (Risaralda)</v>
          </cell>
        </row>
        <row r="873">
          <cell r="B873" t="str">
            <v>66318</v>
          </cell>
          <cell r="C873" t="str">
            <v>Alcaldía de Guática (Risaralda)</v>
          </cell>
        </row>
        <row r="874">
          <cell r="B874" t="str">
            <v>66383</v>
          </cell>
          <cell r="C874" t="str">
            <v>Alcaldía de La Celia (Risaralda)</v>
          </cell>
        </row>
        <row r="875">
          <cell r="B875" t="str">
            <v>66400</v>
          </cell>
          <cell r="C875" t="str">
            <v>Alcaldía de La Virginia (Risaralda)</v>
          </cell>
        </row>
        <row r="876">
          <cell r="B876" t="str">
            <v>66440</v>
          </cell>
          <cell r="C876" t="str">
            <v>Alcaldía de Marsella (Risaralda)</v>
          </cell>
        </row>
        <row r="877">
          <cell r="B877" t="str">
            <v>66456</v>
          </cell>
          <cell r="C877" t="str">
            <v>Alcaldía de Mistrató (Risaralda)</v>
          </cell>
        </row>
        <row r="878">
          <cell r="B878" t="str">
            <v>66572</v>
          </cell>
          <cell r="C878" t="str">
            <v>Alcaldía de Pueblo Rico (Risaralda)</v>
          </cell>
        </row>
        <row r="879">
          <cell r="B879" t="str">
            <v>66594</v>
          </cell>
          <cell r="C879" t="str">
            <v>Alcaldía de Quinchía (Risaralda)</v>
          </cell>
        </row>
        <row r="880">
          <cell r="B880" t="str">
            <v>66682</v>
          </cell>
          <cell r="C880" t="str">
            <v>Alcaldía de Santa Rosa de Cabal (Risaralda)</v>
          </cell>
        </row>
        <row r="881">
          <cell r="B881" t="str">
            <v>66687</v>
          </cell>
          <cell r="C881" t="str">
            <v>Alcaldía de Santuario (Risaralda)</v>
          </cell>
        </row>
        <row r="882">
          <cell r="B882" t="str">
            <v>68001</v>
          </cell>
          <cell r="C882" t="str">
            <v>Alcaldía de Bucaramanga (Santander)</v>
          </cell>
        </row>
        <row r="883">
          <cell r="B883" t="str">
            <v>68013</v>
          </cell>
          <cell r="C883" t="str">
            <v>Alcaldía de Aguada (Santander)</v>
          </cell>
        </row>
        <row r="884">
          <cell r="B884" t="str">
            <v>68020</v>
          </cell>
          <cell r="C884" t="str">
            <v>Alcaldía de Albania (Santander)</v>
          </cell>
        </row>
        <row r="885">
          <cell r="B885" t="str">
            <v>68051</v>
          </cell>
          <cell r="C885" t="str">
            <v>Alcaldía de Aratoca (Santander)</v>
          </cell>
        </row>
        <row r="886">
          <cell r="B886" t="str">
            <v>68077</v>
          </cell>
          <cell r="C886" t="str">
            <v>Alcaldía de Barbosa (Santander)</v>
          </cell>
        </row>
        <row r="887">
          <cell r="B887" t="str">
            <v>68079</v>
          </cell>
          <cell r="C887" t="str">
            <v>Alcaldía de Barichara (Santander)</v>
          </cell>
        </row>
        <row r="888">
          <cell r="B888" t="str">
            <v>68081</v>
          </cell>
          <cell r="C888" t="str">
            <v>Alcaldía de Barrancabermeja (Santander)</v>
          </cell>
        </row>
        <row r="889">
          <cell r="B889" t="str">
            <v>68092</v>
          </cell>
          <cell r="C889" t="str">
            <v>Alcaldía de Betulia (Santander)</v>
          </cell>
        </row>
        <row r="890">
          <cell r="B890" t="str">
            <v>68101</v>
          </cell>
          <cell r="C890" t="str">
            <v>Alcaldía de Bolívar (Santander)</v>
          </cell>
        </row>
        <row r="891">
          <cell r="B891" t="str">
            <v>68121</v>
          </cell>
          <cell r="C891" t="str">
            <v>Alcaldía de Cabrera (Santander)</v>
          </cell>
        </row>
        <row r="892">
          <cell r="B892" t="str">
            <v>68132</v>
          </cell>
          <cell r="C892" t="str">
            <v>Alcaldía de California (Santander)</v>
          </cell>
        </row>
        <row r="893">
          <cell r="B893" t="str">
            <v>68147</v>
          </cell>
          <cell r="C893" t="str">
            <v>Alcaldía de Capitanejo (Santander)</v>
          </cell>
        </row>
        <row r="894">
          <cell r="B894" t="str">
            <v>68152</v>
          </cell>
          <cell r="C894" t="str">
            <v>Alcaldía de Carcasí (Santander)</v>
          </cell>
        </row>
        <row r="895">
          <cell r="B895" t="str">
            <v>68160</v>
          </cell>
          <cell r="C895" t="str">
            <v>Alcaldía de Cepitá (Santander)</v>
          </cell>
        </row>
        <row r="896">
          <cell r="B896" t="str">
            <v>68162</v>
          </cell>
          <cell r="C896" t="str">
            <v>Alcaldía de Cerrito (Santander)</v>
          </cell>
        </row>
        <row r="897">
          <cell r="B897" t="str">
            <v>68167</v>
          </cell>
          <cell r="C897" t="str">
            <v>Alcaldía de Charalá (Santander)</v>
          </cell>
        </row>
        <row r="898">
          <cell r="B898" t="str">
            <v>68169</v>
          </cell>
          <cell r="C898" t="str">
            <v>Alcaldía de Charta (Santander)</v>
          </cell>
        </row>
        <row r="899">
          <cell r="B899" t="str">
            <v>68176</v>
          </cell>
          <cell r="C899" t="str">
            <v>Alcaldía de Chima (Santander)</v>
          </cell>
        </row>
        <row r="900">
          <cell r="B900" t="str">
            <v>68179</v>
          </cell>
          <cell r="C900" t="str">
            <v>Alcaldía de Chipatá (Santander)</v>
          </cell>
        </row>
        <row r="901">
          <cell r="B901" t="str">
            <v>68190</v>
          </cell>
          <cell r="C901" t="str">
            <v>Alcaldía de Cimitarra (Santander)</v>
          </cell>
        </row>
        <row r="902">
          <cell r="B902" t="str">
            <v>68207</v>
          </cell>
          <cell r="C902" t="str">
            <v>Alcaldía de Concepción (Santander)</v>
          </cell>
        </row>
        <row r="903">
          <cell r="B903" t="str">
            <v>68209</v>
          </cell>
          <cell r="C903" t="str">
            <v>Alcaldía de Confines (Santander)</v>
          </cell>
        </row>
        <row r="904">
          <cell r="B904" t="str">
            <v>68211</v>
          </cell>
          <cell r="C904" t="str">
            <v>Alcaldía de Contratación (Santander)</v>
          </cell>
        </row>
        <row r="905">
          <cell r="B905" t="str">
            <v>68217</v>
          </cell>
          <cell r="C905" t="str">
            <v>Alcaldía de Coromoro (Santander)</v>
          </cell>
        </row>
        <row r="906">
          <cell r="B906" t="str">
            <v>68229</v>
          </cell>
          <cell r="C906" t="str">
            <v>Alcaldía de Curití (Santander)</v>
          </cell>
        </row>
        <row r="907">
          <cell r="B907" t="str">
            <v>68235</v>
          </cell>
          <cell r="C907" t="str">
            <v>Alcaldía de El Carmen de Chucurí (Santander)</v>
          </cell>
        </row>
        <row r="908">
          <cell r="B908" t="str">
            <v>68245</v>
          </cell>
          <cell r="C908" t="str">
            <v>Alcaldía de El Guacamayo (Santander)</v>
          </cell>
        </row>
        <row r="909">
          <cell r="B909" t="str">
            <v>68250</v>
          </cell>
          <cell r="C909" t="str">
            <v>Alcaldía de El Peñón (Santander)</v>
          </cell>
        </row>
        <row r="910">
          <cell r="B910" t="str">
            <v>68255</v>
          </cell>
          <cell r="C910" t="str">
            <v>Alcaldía de El Playón (Santander)</v>
          </cell>
        </row>
        <row r="911">
          <cell r="B911" t="str">
            <v>68264</v>
          </cell>
          <cell r="C911" t="str">
            <v>Alcaldía de Encino (Santander)</v>
          </cell>
        </row>
        <row r="912">
          <cell r="B912" t="str">
            <v>68266</v>
          </cell>
          <cell r="C912" t="str">
            <v>Alcaldía de Enciso (Santander)</v>
          </cell>
        </row>
        <row r="913">
          <cell r="B913" t="str">
            <v>68271</v>
          </cell>
          <cell r="C913" t="str">
            <v>Alcaldía de Florián (Santander)</v>
          </cell>
        </row>
        <row r="914">
          <cell r="B914" t="str">
            <v>68276</v>
          </cell>
          <cell r="C914" t="str">
            <v>Alcaldía de Floridablanca (Santander)</v>
          </cell>
        </row>
        <row r="915">
          <cell r="B915" t="str">
            <v>68296</v>
          </cell>
          <cell r="C915" t="str">
            <v>Alcaldía de Galán (Santander)</v>
          </cell>
        </row>
        <row r="916">
          <cell r="B916" t="str">
            <v>68298</v>
          </cell>
          <cell r="C916" t="str">
            <v>Alcaldía de Gambita (Santander)</v>
          </cell>
        </row>
        <row r="917">
          <cell r="B917" t="str">
            <v>68307</v>
          </cell>
          <cell r="C917" t="str">
            <v>Alcaldía de Girón (Santander)</v>
          </cell>
        </row>
        <row r="918">
          <cell r="B918" t="str">
            <v>68318</v>
          </cell>
          <cell r="C918" t="str">
            <v>Alcaldía de Guaca (Santander)</v>
          </cell>
        </row>
        <row r="919">
          <cell r="B919" t="str">
            <v>68320</v>
          </cell>
          <cell r="C919" t="str">
            <v>Alcaldía de Guadalupe (Santander)</v>
          </cell>
        </row>
        <row r="920">
          <cell r="B920" t="str">
            <v>68322</v>
          </cell>
          <cell r="C920" t="str">
            <v>Alcaldía de Guapotá (Santander)</v>
          </cell>
        </row>
        <row r="921">
          <cell r="B921" t="str">
            <v>68324</v>
          </cell>
          <cell r="C921" t="str">
            <v>Alcaldía de Guavatá (Santander)</v>
          </cell>
        </row>
        <row r="922">
          <cell r="B922" t="str">
            <v>68327</v>
          </cell>
          <cell r="C922" t="str">
            <v>Alcaldía de Güepsa (Santander)</v>
          </cell>
        </row>
        <row r="923">
          <cell r="B923" t="str">
            <v>68344</v>
          </cell>
          <cell r="C923" t="str">
            <v>Alcaldía de Hato (Santander)</v>
          </cell>
        </row>
        <row r="924">
          <cell r="B924" t="str">
            <v>68368</v>
          </cell>
          <cell r="C924" t="str">
            <v>Alcaldía de Jesús María (Santander)</v>
          </cell>
        </row>
        <row r="925">
          <cell r="B925" t="str">
            <v>68370</v>
          </cell>
          <cell r="C925" t="str">
            <v>Alcaldía de Jordán (Santander)</v>
          </cell>
        </row>
        <row r="926">
          <cell r="B926" t="str">
            <v>68377</v>
          </cell>
          <cell r="C926" t="str">
            <v>Alcaldía de La Belleza (Santander)</v>
          </cell>
        </row>
        <row r="927">
          <cell r="B927" t="str">
            <v>68385</v>
          </cell>
          <cell r="C927" t="str">
            <v>Alcaldía de Landázuri (Santander)</v>
          </cell>
        </row>
        <row r="928">
          <cell r="B928" t="str">
            <v>68397</v>
          </cell>
          <cell r="C928" t="str">
            <v>Alcaldía de La Paz (Santander)</v>
          </cell>
        </row>
        <row r="929">
          <cell r="B929" t="str">
            <v>68406</v>
          </cell>
          <cell r="C929" t="str">
            <v>Alcaldía de Lebríja (Santander)</v>
          </cell>
        </row>
        <row r="930">
          <cell r="B930" t="str">
            <v>68418</v>
          </cell>
          <cell r="C930" t="str">
            <v>Alcaldía de Los Santos (Santander)</v>
          </cell>
        </row>
        <row r="931">
          <cell r="B931" t="str">
            <v>68425</v>
          </cell>
          <cell r="C931" t="str">
            <v>Alcaldía de Macaravita (Santander)</v>
          </cell>
        </row>
        <row r="932">
          <cell r="B932" t="str">
            <v>68432</v>
          </cell>
          <cell r="C932" t="str">
            <v>Alcaldía de Málaga (Santander)</v>
          </cell>
        </row>
        <row r="933">
          <cell r="B933" t="str">
            <v>68444</v>
          </cell>
          <cell r="C933" t="str">
            <v>Alcaldía de Matanza (Santander)</v>
          </cell>
        </row>
        <row r="934">
          <cell r="B934" t="str">
            <v>68464</v>
          </cell>
          <cell r="C934" t="str">
            <v>Alcaldía de Mogotes (Santander)</v>
          </cell>
        </row>
        <row r="935">
          <cell r="B935" t="str">
            <v>68468</v>
          </cell>
          <cell r="C935" t="str">
            <v>Alcaldía de Molagavita (Santander)</v>
          </cell>
        </row>
        <row r="936">
          <cell r="B936" t="str">
            <v>68498</v>
          </cell>
          <cell r="C936" t="str">
            <v>Alcaldía de Ocamonte (Santander)</v>
          </cell>
        </row>
        <row r="937">
          <cell r="B937" t="str">
            <v>68500</v>
          </cell>
          <cell r="C937" t="str">
            <v>Alcaldía de Oiba (Santander)</v>
          </cell>
        </row>
        <row r="938">
          <cell r="B938" t="str">
            <v>68502</v>
          </cell>
          <cell r="C938" t="str">
            <v>Alcaldía de Onzaga (Santander)</v>
          </cell>
        </row>
        <row r="939">
          <cell r="B939" t="str">
            <v>68522</v>
          </cell>
          <cell r="C939" t="str">
            <v>Alcaldía de Palmar (Santander)</v>
          </cell>
        </row>
        <row r="940">
          <cell r="B940" t="str">
            <v>68524</v>
          </cell>
          <cell r="C940" t="str">
            <v>Alcaldía de Palmas del Socorro (Santander)</v>
          </cell>
        </row>
        <row r="941">
          <cell r="B941" t="str">
            <v>68533</v>
          </cell>
          <cell r="C941" t="str">
            <v>Alcaldía de Páramo (Santander)</v>
          </cell>
        </row>
        <row r="942">
          <cell r="B942" t="str">
            <v>68547</v>
          </cell>
          <cell r="C942" t="str">
            <v>Alcaldía de Piedecuesta (Santander)</v>
          </cell>
        </row>
        <row r="943">
          <cell r="B943" t="str">
            <v>68549</v>
          </cell>
          <cell r="C943" t="str">
            <v>Alcaldía de Pinchote (Santander)</v>
          </cell>
        </row>
        <row r="944">
          <cell r="B944" t="str">
            <v>68572</v>
          </cell>
          <cell r="C944" t="str">
            <v>Alcaldía de Puente Nacional (Santander)</v>
          </cell>
        </row>
        <row r="945">
          <cell r="B945" t="str">
            <v>68573</v>
          </cell>
          <cell r="C945" t="str">
            <v>Alcaldía de Puerto Parra (Santander)</v>
          </cell>
        </row>
        <row r="946">
          <cell r="B946" t="str">
            <v>68575</v>
          </cell>
          <cell r="C946" t="str">
            <v>Alcaldía de Puerto Wilches (Santander)</v>
          </cell>
        </row>
        <row r="947">
          <cell r="B947" t="str">
            <v>68615</v>
          </cell>
          <cell r="C947" t="str">
            <v>Alcaldía de Rionegro (Santander)</v>
          </cell>
        </row>
        <row r="948">
          <cell r="B948" t="str">
            <v>68655</v>
          </cell>
          <cell r="C948" t="str">
            <v>Alcaldía de Sabana de Torres (Santander)</v>
          </cell>
        </row>
        <row r="949">
          <cell r="B949" t="str">
            <v>68669</v>
          </cell>
          <cell r="C949" t="str">
            <v>Alcaldía de San Andrés (Santander)</v>
          </cell>
        </row>
        <row r="950">
          <cell r="B950" t="str">
            <v>68673</v>
          </cell>
          <cell r="C950" t="str">
            <v>Alcaldía de San Benito (Santander)</v>
          </cell>
        </row>
        <row r="951">
          <cell r="B951" t="str">
            <v>68679</v>
          </cell>
          <cell r="C951" t="str">
            <v>Alcaldía de San Gil (Santander)</v>
          </cell>
        </row>
        <row r="952">
          <cell r="B952" t="str">
            <v>68682</v>
          </cell>
          <cell r="C952" t="str">
            <v>Alcaldía de San Joaquín (Santander)</v>
          </cell>
        </row>
        <row r="953">
          <cell r="B953" t="str">
            <v>68684</v>
          </cell>
          <cell r="C953" t="str">
            <v>Alcaldía de San José de Miranda (Santander)</v>
          </cell>
        </row>
        <row r="954">
          <cell r="B954" t="str">
            <v>68686</v>
          </cell>
          <cell r="C954" t="str">
            <v>Alcaldía de San Miguel (Santander)</v>
          </cell>
        </row>
        <row r="955">
          <cell r="B955" t="str">
            <v>68689</v>
          </cell>
          <cell r="C955" t="str">
            <v>Alcaldía de San Vicente de Chucurí (Santander)</v>
          </cell>
        </row>
        <row r="956">
          <cell r="B956" t="str">
            <v>68705</v>
          </cell>
          <cell r="C956" t="str">
            <v>Alcaldía de Santa Bárbara (Santander)</v>
          </cell>
        </row>
        <row r="957">
          <cell r="B957" t="str">
            <v>68720</v>
          </cell>
          <cell r="C957" t="str">
            <v>Alcaldía de Santa Helena del Opón (Santander)</v>
          </cell>
        </row>
        <row r="958">
          <cell r="B958" t="str">
            <v>68745</v>
          </cell>
          <cell r="C958" t="str">
            <v>Alcaldía de Simacota (Santander)</v>
          </cell>
        </row>
        <row r="959">
          <cell r="B959" t="str">
            <v>68755</v>
          </cell>
          <cell r="C959" t="str">
            <v>Alcaldía de Socorro (Santander)</v>
          </cell>
        </row>
        <row r="960">
          <cell r="B960" t="str">
            <v>68770</v>
          </cell>
          <cell r="C960" t="str">
            <v>Alcaldía de Suaita (Santander)</v>
          </cell>
        </row>
        <row r="961">
          <cell r="B961" t="str">
            <v>68773</v>
          </cell>
          <cell r="C961" t="str">
            <v>Alcaldía de Sucre (Santander)</v>
          </cell>
        </row>
        <row r="962">
          <cell r="B962" t="str">
            <v>68780</v>
          </cell>
          <cell r="C962" t="str">
            <v>Alcaldía de Suratá (Santander)</v>
          </cell>
        </row>
        <row r="963">
          <cell r="B963" t="str">
            <v>68820</v>
          </cell>
          <cell r="C963" t="str">
            <v>Alcaldía de Tona (Santander)</v>
          </cell>
        </row>
        <row r="964">
          <cell r="B964" t="str">
            <v>68855</v>
          </cell>
          <cell r="C964" t="str">
            <v>Alcaldía de Valle de San José (Santander)</v>
          </cell>
        </row>
        <row r="965">
          <cell r="B965" t="str">
            <v>68861</v>
          </cell>
          <cell r="C965" t="str">
            <v>Alcaldía de Vélez (Santander)</v>
          </cell>
        </row>
        <row r="966">
          <cell r="B966" t="str">
            <v>68867</v>
          </cell>
          <cell r="C966" t="str">
            <v>Alcaldía de Vetas (Santander)</v>
          </cell>
        </row>
        <row r="967">
          <cell r="B967" t="str">
            <v>68872</v>
          </cell>
          <cell r="C967" t="str">
            <v>Alcaldía de Villanueva (Santander)</v>
          </cell>
        </row>
        <row r="968">
          <cell r="B968" t="str">
            <v>68895</v>
          </cell>
          <cell r="C968" t="str">
            <v>Alcaldía de Zapatoca (Santander)</v>
          </cell>
        </row>
        <row r="969">
          <cell r="B969" t="str">
            <v>70001</v>
          </cell>
          <cell r="C969" t="str">
            <v>Alcaldía de Sincelejo (Sucre)</v>
          </cell>
        </row>
        <row r="970">
          <cell r="B970" t="str">
            <v>70110</v>
          </cell>
          <cell r="C970" t="str">
            <v>Alcaldía de Buenavista (Sucre)</v>
          </cell>
        </row>
        <row r="971">
          <cell r="B971" t="str">
            <v>70124</v>
          </cell>
          <cell r="C971" t="str">
            <v>Alcaldía de Caimito (Sucre)</v>
          </cell>
        </row>
        <row r="972">
          <cell r="B972" t="str">
            <v>70204</v>
          </cell>
          <cell r="C972" t="str">
            <v>Alcaldía de Coloso (Sucre)</v>
          </cell>
        </row>
        <row r="973">
          <cell r="B973" t="str">
            <v>70215</v>
          </cell>
          <cell r="C973" t="str">
            <v>Alcaldía de Corozal (Sucre)</v>
          </cell>
        </row>
        <row r="974">
          <cell r="B974" t="str">
            <v>70221</v>
          </cell>
          <cell r="C974" t="str">
            <v>Alcaldía de Coveñas (Sucre)</v>
          </cell>
        </row>
        <row r="975">
          <cell r="B975" t="str">
            <v>70230</v>
          </cell>
          <cell r="C975" t="str">
            <v>Alcaldía de Chalán (Sucre)</v>
          </cell>
        </row>
        <row r="976">
          <cell r="B976" t="str">
            <v>70233</v>
          </cell>
          <cell r="C976" t="str">
            <v>Alcaldía de El Roble (Sucre)</v>
          </cell>
        </row>
        <row r="977">
          <cell r="B977" t="str">
            <v>70235</v>
          </cell>
          <cell r="C977" t="str">
            <v>Alcaldía de Galeras (Sucre)</v>
          </cell>
        </row>
        <row r="978">
          <cell r="B978" t="str">
            <v>70265</v>
          </cell>
          <cell r="C978" t="str">
            <v>Alcaldía de Guaranda (Sucre)</v>
          </cell>
        </row>
        <row r="979">
          <cell r="B979" t="str">
            <v>70400</v>
          </cell>
          <cell r="C979" t="str">
            <v>Alcaldía de La Unión (Sucre)</v>
          </cell>
        </row>
        <row r="980">
          <cell r="B980" t="str">
            <v>70418</v>
          </cell>
          <cell r="C980" t="str">
            <v>Alcaldía de Los Palmitos (Sucre)</v>
          </cell>
        </row>
        <row r="981">
          <cell r="B981" t="str">
            <v>70429</v>
          </cell>
          <cell r="C981" t="str">
            <v>Alcaldía de Majagual (Sucre)</v>
          </cell>
        </row>
        <row r="982">
          <cell r="B982" t="str">
            <v>70473</v>
          </cell>
          <cell r="C982" t="str">
            <v>Alcaldía de Morroa (Sucre)</v>
          </cell>
        </row>
        <row r="983">
          <cell r="B983" t="str">
            <v>70508</v>
          </cell>
          <cell r="C983" t="str">
            <v>Alcaldía de Ovejas (Sucre)</v>
          </cell>
        </row>
        <row r="984">
          <cell r="B984" t="str">
            <v>70523</v>
          </cell>
          <cell r="C984" t="str">
            <v>Alcaldía de Palmito (Sucre)</v>
          </cell>
        </row>
        <row r="985">
          <cell r="B985" t="str">
            <v>70670</v>
          </cell>
          <cell r="C985" t="str">
            <v>Alcaldía de Sampués (Sucre)</v>
          </cell>
        </row>
        <row r="986">
          <cell r="B986" t="str">
            <v>70678</v>
          </cell>
          <cell r="C986" t="str">
            <v>Alcaldía de San Benito Abad (Sucre)</v>
          </cell>
        </row>
        <row r="987">
          <cell r="B987" t="str">
            <v>70702</v>
          </cell>
          <cell r="C987" t="str">
            <v>Alcaldía de San Juan de Betulia (Sucre)</v>
          </cell>
        </row>
        <row r="988">
          <cell r="B988" t="str">
            <v>70708</v>
          </cell>
          <cell r="C988" t="str">
            <v>Alcaldía de San Marcos (Sucre)</v>
          </cell>
        </row>
        <row r="989">
          <cell r="B989" t="str">
            <v>70713</v>
          </cell>
          <cell r="C989" t="str">
            <v>Alcaldía de San Onofre (Sucre)</v>
          </cell>
        </row>
        <row r="990">
          <cell r="B990" t="str">
            <v>70717</v>
          </cell>
          <cell r="C990" t="str">
            <v>Alcaldía de San Pedro (Sucre)</v>
          </cell>
        </row>
        <row r="991">
          <cell r="B991" t="str">
            <v>70742</v>
          </cell>
          <cell r="C991" t="str">
            <v>Alcaldía de San Luis de Sincé (Sucre)</v>
          </cell>
        </row>
        <row r="992">
          <cell r="B992" t="str">
            <v>70771</v>
          </cell>
          <cell r="C992" t="str">
            <v>Alcaldía de Sucre (Sucre)</v>
          </cell>
        </row>
        <row r="993">
          <cell r="B993" t="str">
            <v>70820</v>
          </cell>
          <cell r="C993" t="str">
            <v>Alcaldía de Santiago de Tolú (Sucre)</v>
          </cell>
        </row>
        <row r="994">
          <cell r="B994" t="str">
            <v>70823</v>
          </cell>
          <cell r="C994" t="str">
            <v>Alcaldía de Tolú Viejo (Sucre)</v>
          </cell>
        </row>
        <row r="995">
          <cell r="B995" t="str">
            <v>73001</v>
          </cell>
          <cell r="C995" t="str">
            <v>Alcaldía de Ibagué (Tolima)</v>
          </cell>
        </row>
        <row r="996">
          <cell r="B996" t="str">
            <v>73024</v>
          </cell>
          <cell r="C996" t="str">
            <v>Alcaldía de Alpujarra (Tolima)</v>
          </cell>
        </row>
        <row r="997">
          <cell r="B997" t="str">
            <v>73026</v>
          </cell>
          <cell r="C997" t="str">
            <v>Alcaldía de Alvarado (Tolima)</v>
          </cell>
        </row>
        <row r="998">
          <cell r="B998" t="str">
            <v>73030</v>
          </cell>
          <cell r="C998" t="str">
            <v>Alcaldía de Ambalema (Tolima)</v>
          </cell>
        </row>
        <row r="999">
          <cell r="B999" t="str">
            <v>73043</v>
          </cell>
          <cell r="C999" t="str">
            <v>Alcaldía de Anzoátegui (Tolima)</v>
          </cell>
        </row>
        <row r="1000">
          <cell r="B1000" t="str">
            <v>73055</v>
          </cell>
          <cell r="C1000" t="str">
            <v>Alcaldía de Armero (Tolima)</v>
          </cell>
        </row>
        <row r="1001">
          <cell r="B1001" t="str">
            <v>73067</v>
          </cell>
          <cell r="C1001" t="str">
            <v>Alcaldía de Ataco (Tolima)</v>
          </cell>
        </row>
        <row r="1002">
          <cell r="B1002" t="str">
            <v>73124</v>
          </cell>
          <cell r="C1002" t="str">
            <v>Alcaldía de Cajamarca (Tolima)</v>
          </cell>
        </row>
        <row r="1003">
          <cell r="B1003" t="str">
            <v>73148</v>
          </cell>
          <cell r="C1003" t="str">
            <v>Alcaldía de Carmen de Apicalá (Tolima)</v>
          </cell>
        </row>
        <row r="1004">
          <cell r="B1004" t="str">
            <v>73152</v>
          </cell>
          <cell r="C1004" t="str">
            <v>Alcaldía de Casabianca (Tolima)</v>
          </cell>
        </row>
        <row r="1005">
          <cell r="B1005" t="str">
            <v>73168</v>
          </cell>
          <cell r="C1005" t="str">
            <v>Alcaldía de Chaparral (Tolima)</v>
          </cell>
        </row>
        <row r="1006">
          <cell r="B1006" t="str">
            <v>73200</v>
          </cell>
          <cell r="C1006" t="str">
            <v>Alcaldía de Coello (Tolima)</v>
          </cell>
        </row>
        <row r="1007">
          <cell r="B1007" t="str">
            <v>73217</v>
          </cell>
          <cell r="C1007" t="str">
            <v>Alcaldía de Coyaima (Tolima)</v>
          </cell>
        </row>
        <row r="1008">
          <cell r="B1008" t="str">
            <v>73226</v>
          </cell>
          <cell r="C1008" t="str">
            <v>Alcaldía de Cunday (Tolima)</v>
          </cell>
        </row>
        <row r="1009">
          <cell r="B1009" t="str">
            <v>73236</v>
          </cell>
          <cell r="C1009" t="str">
            <v>Alcaldía de Dolores (Tolima)</v>
          </cell>
        </row>
        <row r="1010">
          <cell r="B1010" t="str">
            <v>73268</v>
          </cell>
          <cell r="C1010" t="str">
            <v>Alcaldía de Espinal (Tolima)</v>
          </cell>
        </row>
        <row r="1011">
          <cell r="B1011" t="str">
            <v>73270</v>
          </cell>
          <cell r="C1011" t="str">
            <v>Alcaldía de Falan (Tolima)</v>
          </cell>
        </row>
        <row r="1012">
          <cell r="B1012" t="str">
            <v>73275</v>
          </cell>
          <cell r="C1012" t="str">
            <v>Alcaldía de Flandes (Tolima)</v>
          </cell>
        </row>
        <row r="1013">
          <cell r="B1013" t="str">
            <v>73283</v>
          </cell>
          <cell r="C1013" t="str">
            <v>Alcaldía de Fresno (Tolima)</v>
          </cell>
        </row>
        <row r="1014">
          <cell r="B1014" t="str">
            <v>73319</v>
          </cell>
          <cell r="C1014" t="str">
            <v>Alcaldía de Guamo (Tolima)</v>
          </cell>
        </row>
        <row r="1015">
          <cell r="B1015" t="str">
            <v>73347</v>
          </cell>
          <cell r="C1015" t="str">
            <v>Alcaldía de Herveo (Tolima)</v>
          </cell>
        </row>
        <row r="1016">
          <cell r="B1016" t="str">
            <v>73349</v>
          </cell>
          <cell r="C1016" t="str">
            <v>Alcaldía de Honda (Tolima)</v>
          </cell>
        </row>
        <row r="1017">
          <cell r="B1017" t="str">
            <v>73352</v>
          </cell>
          <cell r="C1017" t="str">
            <v>Alcaldía de Icononzo (Tolima)</v>
          </cell>
        </row>
        <row r="1018">
          <cell r="B1018" t="str">
            <v>73408</v>
          </cell>
          <cell r="C1018" t="str">
            <v>Alcaldía de Lérida (Tolima)</v>
          </cell>
        </row>
        <row r="1019">
          <cell r="B1019" t="str">
            <v>73411</v>
          </cell>
          <cell r="C1019" t="str">
            <v>Alcaldía de Líbano (Tolima)</v>
          </cell>
        </row>
        <row r="1020">
          <cell r="B1020" t="str">
            <v>73443</v>
          </cell>
          <cell r="C1020" t="str">
            <v>Alcaldía de Mariquita (Tolima)</v>
          </cell>
        </row>
        <row r="1021">
          <cell r="B1021" t="str">
            <v>73449</v>
          </cell>
          <cell r="C1021" t="str">
            <v>Alcaldía de Melgar (Tolima)</v>
          </cell>
        </row>
        <row r="1022">
          <cell r="B1022" t="str">
            <v>73461</v>
          </cell>
          <cell r="C1022" t="str">
            <v>Alcaldía de Murillo (Tolima)</v>
          </cell>
        </row>
        <row r="1023">
          <cell r="B1023" t="str">
            <v>73483</v>
          </cell>
          <cell r="C1023" t="str">
            <v>Alcaldía de Natagaima (Tolima)</v>
          </cell>
        </row>
        <row r="1024">
          <cell r="B1024" t="str">
            <v>73504</v>
          </cell>
          <cell r="C1024" t="str">
            <v>Alcaldía de Ortega (Tolima)</v>
          </cell>
        </row>
        <row r="1025">
          <cell r="B1025" t="str">
            <v>73520</v>
          </cell>
          <cell r="C1025" t="str">
            <v>Alcaldía de Palocabildo (Tolima)</v>
          </cell>
        </row>
        <row r="1026">
          <cell r="B1026" t="str">
            <v>73547</v>
          </cell>
          <cell r="C1026" t="str">
            <v>Alcaldía de Piedras (Tolima)</v>
          </cell>
        </row>
        <row r="1027">
          <cell r="B1027" t="str">
            <v>73555</v>
          </cell>
          <cell r="C1027" t="str">
            <v>Alcaldía de Planadas (Tolima)</v>
          </cell>
        </row>
        <row r="1028">
          <cell r="B1028" t="str">
            <v>73563</v>
          </cell>
          <cell r="C1028" t="str">
            <v>Alcaldía de Prado (Tolima)</v>
          </cell>
        </row>
        <row r="1029">
          <cell r="B1029" t="str">
            <v>73585</v>
          </cell>
          <cell r="C1029" t="str">
            <v>Alcaldía de Purificación (Tolima)</v>
          </cell>
        </row>
        <row r="1030">
          <cell r="B1030" t="str">
            <v>73616</v>
          </cell>
          <cell r="C1030" t="str">
            <v>Alcaldía de Rioblanco (Tolima)</v>
          </cell>
        </row>
        <row r="1031">
          <cell r="B1031" t="str">
            <v>73622</v>
          </cell>
          <cell r="C1031" t="str">
            <v>Alcaldía de Roncesvalles (Tolima)</v>
          </cell>
        </row>
        <row r="1032">
          <cell r="B1032" t="str">
            <v>73624</v>
          </cell>
          <cell r="C1032" t="str">
            <v>Alcaldía de Rovira (Tolima)</v>
          </cell>
        </row>
        <row r="1033">
          <cell r="B1033" t="str">
            <v>73671</v>
          </cell>
          <cell r="C1033" t="str">
            <v>Alcaldía de Saldaña (Tolima)</v>
          </cell>
        </row>
        <row r="1034">
          <cell r="B1034" t="str">
            <v>73675</v>
          </cell>
          <cell r="C1034" t="str">
            <v>Alcaldía de San Antonio (Tolima)</v>
          </cell>
        </row>
        <row r="1035">
          <cell r="B1035" t="str">
            <v>73678</v>
          </cell>
          <cell r="C1035" t="str">
            <v>Alcaldía de San Luis (Tolima)</v>
          </cell>
        </row>
        <row r="1036">
          <cell r="B1036" t="str">
            <v>73686</v>
          </cell>
          <cell r="C1036" t="str">
            <v>Alcaldía de Santa Isabel (Tolima)</v>
          </cell>
        </row>
        <row r="1037">
          <cell r="B1037" t="str">
            <v>73770</v>
          </cell>
          <cell r="C1037" t="str">
            <v>Alcaldía de Suárez (Tolima)</v>
          </cell>
        </row>
        <row r="1038">
          <cell r="B1038" t="str">
            <v>73854</v>
          </cell>
          <cell r="C1038" t="str">
            <v>Alcaldía de Valle de San Juan (Tolima)</v>
          </cell>
        </row>
        <row r="1039">
          <cell r="B1039" t="str">
            <v>73861</v>
          </cell>
          <cell r="C1039" t="str">
            <v>Alcaldía de Venadillo (Tolima)</v>
          </cell>
        </row>
        <row r="1040">
          <cell r="B1040" t="str">
            <v>73870</v>
          </cell>
          <cell r="C1040" t="str">
            <v>Alcaldía de Villahermosa (Tolima)</v>
          </cell>
        </row>
        <row r="1041">
          <cell r="B1041" t="str">
            <v>73873</v>
          </cell>
          <cell r="C1041" t="str">
            <v>Alcaldía de Villarrica (Tolima)</v>
          </cell>
        </row>
        <row r="1042">
          <cell r="B1042" t="str">
            <v>76001</v>
          </cell>
          <cell r="C1042" t="str">
            <v>Alcaldía de Cali (Valle del Cauca)</v>
          </cell>
        </row>
        <row r="1043">
          <cell r="B1043" t="str">
            <v>76020</v>
          </cell>
          <cell r="C1043" t="str">
            <v>Alcaldía de Alcalá (Valle del Cauca)</v>
          </cell>
        </row>
        <row r="1044">
          <cell r="B1044" t="str">
            <v>76036</v>
          </cell>
          <cell r="C1044" t="str">
            <v>Alcaldía de Andalucía (Valle del Cauca)</v>
          </cell>
        </row>
        <row r="1045">
          <cell r="B1045" t="str">
            <v>76041</v>
          </cell>
          <cell r="C1045" t="str">
            <v>Alcaldía de Ansermanuevo (Valle del Cauca)</v>
          </cell>
        </row>
        <row r="1046">
          <cell r="B1046" t="str">
            <v>76054</v>
          </cell>
          <cell r="C1046" t="str">
            <v>Alcaldía de Argelia (Valle del Cauca)</v>
          </cell>
        </row>
        <row r="1047">
          <cell r="B1047" t="str">
            <v>76100</v>
          </cell>
          <cell r="C1047" t="str">
            <v>Alcaldía de Bolívar (Valle del Cauca)</v>
          </cell>
        </row>
        <row r="1048">
          <cell r="B1048" t="str">
            <v>76109</v>
          </cell>
          <cell r="C1048" t="str">
            <v>Alcaldía de Buenaventura (Valle del Cauca)</v>
          </cell>
        </row>
        <row r="1049">
          <cell r="B1049" t="str">
            <v>76111</v>
          </cell>
          <cell r="C1049" t="str">
            <v>Alcaldía de Guadalajara de Buga (Valle del Cauca)</v>
          </cell>
        </row>
        <row r="1050">
          <cell r="B1050" t="str">
            <v>76113</v>
          </cell>
          <cell r="C1050" t="str">
            <v>Alcaldía de Bugalagrande (Valle del Cauca)</v>
          </cell>
        </row>
        <row r="1051">
          <cell r="B1051" t="str">
            <v>76122</v>
          </cell>
          <cell r="C1051" t="str">
            <v>Alcaldía de Caicedonia (Valle del Cauca)</v>
          </cell>
        </row>
        <row r="1052">
          <cell r="B1052" t="str">
            <v>76126</v>
          </cell>
          <cell r="C1052" t="str">
            <v>Alcaldía de Calima (Valle del Cauca)</v>
          </cell>
        </row>
        <row r="1053">
          <cell r="B1053" t="str">
            <v>76130</v>
          </cell>
          <cell r="C1053" t="str">
            <v>Alcaldía de Candelaria (Valle del Cauca)</v>
          </cell>
        </row>
        <row r="1054">
          <cell r="B1054" t="str">
            <v>76147</v>
          </cell>
          <cell r="C1054" t="str">
            <v>Alcaldía de Cartago (Valle del Cauca)</v>
          </cell>
        </row>
        <row r="1055">
          <cell r="B1055" t="str">
            <v>76233</v>
          </cell>
          <cell r="C1055" t="str">
            <v>Alcaldía de Dagua (Valle del Cauca)</v>
          </cell>
        </row>
        <row r="1056">
          <cell r="B1056" t="str">
            <v>76243</v>
          </cell>
          <cell r="C1056" t="str">
            <v>Alcaldía de El Águila (Valle del Cauca)</v>
          </cell>
        </row>
        <row r="1057">
          <cell r="B1057" t="str">
            <v>76246</v>
          </cell>
          <cell r="C1057" t="str">
            <v>Alcaldía de El Cairo (Valle del Cauca)</v>
          </cell>
        </row>
        <row r="1058">
          <cell r="B1058" t="str">
            <v>76248</v>
          </cell>
          <cell r="C1058" t="str">
            <v>Alcaldía de El Cerrito (Valle del Cauca)</v>
          </cell>
        </row>
        <row r="1059">
          <cell r="B1059" t="str">
            <v>76250</v>
          </cell>
          <cell r="C1059" t="str">
            <v>Alcaldía de El Dovio (Valle del Cauca)</v>
          </cell>
        </row>
        <row r="1060">
          <cell r="B1060" t="str">
            <v>76275</v>
          </cell>
          <cell r="C1060" t="str">
            <v>Alcaldía de Florida (Valle del Cauca)</v>
          </cell>
        </row>
        <row r="1061">
          <cell r="B1061" t="str">
            <v>76306</v>
          </cell>
          <cell r="C1061" t="str">
            <v>Alcaldía de Ginebra (Valle del Cauca)</v>
          </cell>
        </row>
        <row r="1062">
          <cell r="B1062" t="str">
            <v>76318</v>
          </cell>
          <cell r="C1062" t="str">
            <v>Alcaldía de Guacarí (Valle del Cauca)</v>
          </cell>
        </row>
        <row r="1063">
          <cell r="B1063" t="str">
            <v>76364</v>
          </cell>
          <cell r="C1063" t="str">
            <v>Alcaldía de Jamundí (Valle del Cauca)</v>
          </cell>
        </row>
        <row r="1064">
          <cell r="B1064" t="str">
            <v>76377</v>
          </cell>
          <cell r="C1064" t="str">
            <v>Alcaldía de La Cumbre (Valle del Cauca)</v>
          </cell>
        </row>
        <row r="1065">
          <cell r="B1065" t="str">
            <v>76400</v>
          </cell>
          <cell r="C1065" t="str">
            <v>Alcaldía de La Unión (Valle del Cauca)</v>
          </cell>
        </row>
        <row r="1066">
          <cell r="B1066" t="str">
            <v>76403</v>
          </cell>
          <cell r="C1066" t="str">
            <v>Alcaldía de La Victoria (Valle del Cauca)</v>
          </cell>
        </row>
        <row r="1067">
          <cell r="B1067" t="str">
            <v>76497</v>
          </cell>
          <cell r="C1067" t="str">
            <v>Alcaldía de Obando (Valle del Cauca)</v>
          </cell>
        </row>
        <row r="1068">
          <cell r="B1068" t="str">
            <v>76520</v>
          </cell>
          <cell r="C1068" t="str">
            <v>Alcaldía de Palmira (Valle del Cauca)</v>
          </cell>
        </row>
        <row r="1069">
          <cell r="B1069" t="str">
            <v>76563</v>
          </cell>
          <cell r="C1069" t="str">
            <v>Alcaldía de Pradera (Valle del Cauca)</v>
          </cell>
        </row>
        <row r="1070">
          <cell r="B1070" t="str">
            <v>76606</v>
          </cell>
          <cell r="C1070" t="str">
            <v>Alcaldía de Restrepo (Valle del Cauca)</v>
          </cell>
        </row>
        <row r="1071">
          <cell r="B1071" t="str">
            <v>76616</v>
          </cell>
          <cell r="C1071" t="str">
            <v>Alcaldía de Riofrío (Valle del Cauca)</v>
          </cell>
        </row>
        <row r="1072">
          <cell r="B1072" t="str">
            <v>76622</v>
          </cell>
          <cell r="C1072" t="str">
            <v>Alcaldía de Roldanillo (Valle del Cauca)</v>
          </cell>
        </row>
        <row r="1073">
          <cell r="B1073" t="str">
            <v>76670</v>
          </cell>
          <cell r="C1073" t="str">
            <v>Alcaldía de San Pedro (Valle del Cauca)</v>
          </cell>
        </row>
        <row r="1074">
          <cell r="B1074" t="str">
            <v>76736</v>
          </cell>
          <cell r="C1074" t="str">
            <v>Alcaldía de Sevilla (Valle del Cauca)</v>
          </cell>
        </row>
        <row r="1075">
          <cell r="B1075" t="str">
            <v>76823</v>
          </cell>
          <cell r="C1075" t="str">
            <v>Alcaldía de Toro (Valle del Cauca)</v>
          </cell>
        </row>
        <row r="1076">
          <cell r="B1076" t="str">
            <v>76828</v>
          </cell>
          <cell r="C1076" t="str">
            <v>Alcaldía de Trujillo (Valle del Cauca)</v>
          </cell>
        </row>
        <row r="1077">
          <cell r="B1077" t="str">
            <v>76834</v>
          </cell>
          <cell r="C1077" t="str">
            <v>Alcaldía de Tuluá (Valle del Cauca)</v>
          </cell>
        </row>
        <row r="1078">
          <cell r="B1078" t="str">
            <v>76845</v>
          </cell>
          <cell r="C1078" t="str">
            <v>Alcaldía de Ulloa (Valle del Cauca)</v>
          </cell>
        </row>
        <row r="1079">
          <cell r="B1079" t="str">
            <v>76863</v>
          </cell>
          <cell r="C1079" t="str">
            <v>Alcaldía de Versalles (Valle del Cauca)</v>
          </cell>
        </row>
        <row r="1080">
          <cell r="B1080" t="str">
            <v>76869</v>
          </cell>
          <cell r="C1080" t="str">
            <v>Alcaldía de Vijes (Valle del Cauca)</v>
          </cell>
        </row>
        <row r="1081">
          <cell r="B1081" t="str">
            <v>76890</v>
          </cell>
          <cell r="C1081" t="str">
            <v>Alcaldía de Yotoco (Valle del Cauca)</v>
          </cell>
        </row>
        <row r="1082">
          <cell r="B1082" t="str">
            <v>76892</v>
          </cell>
          <cell r="C1082" t="str">
            <v>Alcaldía de Yumbo (Valle del Cauca)</v>
          </cell>
        </row>
        <row r="1083">
          <cell r="B1083" t="str">
            <v>76895</v>
          </cell>
          <cell r="C1083" t="str">
            <v>Alcaldía de Zarzal (Valle del Cauca)</v>
          </cell>
        </row>
        <row r="1084">
          <cell r="B1084" t="str">
            <v>81001</v>
          </cell>
          <cell r="C1084" t="str">
            <v>Alcaldía de Arauca (Arauca)</v>
          </cell>
        </row>
        <row r="1085">
          <cell r="B1085" t="str">
            <v>81065</v>
          </cell>
          <cell r="C1085" t="str">
            <v>Alcaldía de Arauquita (Arauca)</v>
          </cell>
        </row>
        <row r="1086">
          <cell r="B1086" t="str">
            <v>81220</v>
          </cell>
          <cell r="C1086" t="str">
            <v>Alcaldía de Cravo Norte (Arauca)</v>
          </cell>
        </row>
        <row r="1087">
          <cell r="B1087" t="str">
            <v>81300</v>
          </cell>
          <cell r="C1087" t="str">
            <v>Alcaldía de Fortul (Arauca)</v>
          </cell>
        </row>
        <row r="1088">
          <cell r="B1088" t="str">
            <v>81591</v>
          </cell>
          <cell r="C1088" t="str">
            <v>Alcaldía de Puerto Rondón (Arauca)</v>
          </cell>
        </row>
        <row r="1089">
          <cell r="B1089" t="str">
            <v>81736</v>
          </cell>
          <cell r="C1089" t="str">
            <v>Alcaldía de Saravena (Arauca)</v>
          </cell>
        </row>
        <row r="1090">
          <cell r="B1090" t="str">
            <v>81794</v>
          </cell>
          <cell r="C1090" t="str">
            <v>Alcaldía de Tame (Arauca)</v>
          </cell>
        </row>
        <row r="1091">
          <cell r="B1091" t="str">
            <v>85001</v>
          </cell>
          <cell r="C1091" t="str">
            <v>Alcaldía de Yopal (Casanare)</v>
          </cell>
        </row>
        <row r="1092">
          <cell r="B1092" t="str">
            <v>85010</v>
          </cell>
          <cell r="C1092" t="str">
            <v>Alcaldía de Aguazul (Casanare)</v>
          </cell>
        </row>
        <row r="1093">
          <cell r="B1093" t="str">
            <v>85015</v>
          </cell>
          <cell r="C1093" t="str">
            <v>Alcaldía de Chameza (Casanare)</v>
          </cell>
        </row>
        <row r="1094">
          <cell r="B1094" t="str">
            <v>85125</v>
          </cell>
          <cell r="C1094" t="str">
            <v>Alcaldía de Hato Corozal (Casanare)</v>
          </cell>
        </row>
        <row r="1095">
          <cell r="B1095" t="str">
            <v>85136</v>
          </cell>
          <cell r="C1095" t="str">
            <v>Alcaldía de La Salina (Casanare)</v>
          </cell>
        </row>
        <row r="1096">
          <cell r="B1096" t="str">
            <v>85139</v>
          </cell>
          <cell r="C1096" t="str">
            <v>Alcaldía de Maní (Casanare)</v>
          </cell>
        </row>
        <row r="1097">
          <cell r="B1097" t="str">
            <v>85162</v>
          </cell>
          <cell r="C1097" t="str">
            <v>Alcaldía de Monterrey (Casanare)</v>
          </cell>
        </row>
        <row r="1098">
          <cell r="B1098" t="str">
            <v>85225</v>
          </cell>
          <cell r="C1098" t="str">
            <v>Alcaldía de Nunchía (Casanare)</v>
          </cell>
        </row>
        <row r="1099">
          <cell r="B1099" t="str">
            <v>85230</v>
          </cell>
          <cell r="C1099" t="str">
            <v>Alcaldía de Orocué (Casanare)</v>
          </cell>
        </row>
        <row r="1100">
          <cell r="B1100" t="str">
            <v>85250</v>
          </cell>
          <cell r="C1100" t="str">
            <v>Alcaldía de Paz de Ariporo (Casanare)</v>
          </cell>
        </row>
        <row r="1101">
          <cell r="B1101" t="str">
            <v>85263</v>
          </cell>
          <cell r="C1101" t="str">
            <v>Alcaldía de Pore (Casanare)</v>
          </cell>
        </row>
        <row r="1102">
          <cell r="B1102" t="str">
            <v>85279</v>
          </cell>
          <cell r="C1102" t="str">
            <v>Alcaldía de Recetor (Casanare)</v>
          </cell>
        </row>
        <row r="1103">
          <cell r="B1103" t="str">
            <v>85300</v>
          </cell>
          <cell r="C1103" t="str">
            <v>Alcaldía de Sabanalarga (Casanare)</v>
          </cell>
        </row>
        <row r="1104">
          <cell r="B1104" t="str">
            <v>85315</v>
          </cell>
          <cell r="C1104" t="str">
            <v>Alcaldía de Sácama (Casanare)</v>
          </cell>
        </row>
        <row r="1105">
          <cell r="B1105" t="str">
            <v>85325</v>
          </cell>
          <cell r="C1105" t="str">
            <v>Alcaldía de San Luis de Palenque (Casanare)</v>
          </cell>
        </row>
        <row r="1106">
          <cell r="B1106" t="str">
            <v>85400</v>
          </cell>
          <cell r="C1106" t="str">
            <v>Alcaldía de Támara (Casanare)</v>
          </cell>
        </row>
        <row r="1107">
          <cell r="B1107" t="str">
            <v>85410</v>
          </cell>
          <cell r="C1107" t="str">
            <v>Alcaldía de Tauramena (Casanare)</v>
          </cell>
        </row>
        <row r="1108">
          <cell r="B1108" t="str">
            <v>85430</v>
          </cell>
          <cell r="C1108" t="str">
            <v>Alcaldía de Trinidad (Casanare)</v>
          </cell>
        </row>
        <row r="1109">
          <cell r="B1109" t="str">
            <v>85440</v>
          </cell>
          <cell r="C1109" t="str">
            <v>Alcaldía de Villanueva (Casanare)</v>
          </cell>
        </row>
        <row r="1110">
          <cell r="B1110" t="str">
            <v>86001</v>
          </cell>
          <cell r="C1110" t="str">
            <v>Alcaldía de Mocoa (Putumayo)</v>
          </cell>
        </row>
        <row r="1111">
          <cell r="B1111" t="str">
            <v>86219</v>
          </cell>
          <cell r="C1111" t="str">
            <v>Alcaldía de Colón (Putumayo)</v>
          </cell>
        </row>
        <row r="1112">
          <cell r="B1112" t="str">
            <v>86320</v>
          </cell>
          <cell r="C1112" t="str">
            <v>Alcaldía de Orito (Putumayo)</v>
          </cell>
        </row>
        <row r="1113">
          <cell r="B1113" t="str">
            <v>86568</v>
          </cell>
          <cell r="C1113" t="str">
            <v>Alcaldía de Puerto Asís (Putumayo)</v>
          </cell>
        </row>
        <row r="1114">
          <cell r="B1114" t="str">
            <v>86569</v>
          </cell>
          <cell r="C1114" t="str">
            <v>Alcaldía de Puerto Caicedo (Putumayo)</v>
          </cell>
        </row>
        <row r="1115">
          <cell r="B1115" t="str">
            <v>86571</v>
          </cell>
          <cell r="C1115" t="str">
            <v>Alcaldía de Puerto Guzmán (Putumayo)</v>
          </cell>
        </row>
        <row r="1116">
          <cell r="B1116" t="str">
            <v>86573</v>
          </cell>
          <cell r="C1116" t="str">
            <v>Alcaldía de Leguízamo (Putumayo)</v>
          </cell>
        </row>
        <row r="1117">
          <cell r="B1117" t="str">
            <v>86749</v>
          </cell>
          <cell r="C1117" t="str">
            <v>Alcaldía de Sibundoy (Putumayo)</v>
          </cell>
        </row>
        <row r="1118">
          <cell r="B1118" t="str">
            <v>86755</v>
          </cell>
          <cell r="C1118" t="str">
            <v>Alcaldía de San Francisco (Putumayo)</v>
          </cell>
        </row>
        <row r="1119">
          <cell r="B1119" t="str">
            <v>86757</v>
          </cell>
          <cell r="C1119" t="str">
            <v>Alcaldía de San Miguel (Putumayo)</v>
          </cell>
        </row>
        <row r="1120">
          <cell r="B1120" t="str">
            <v>86760</v>
          </cell>
          <cell r="C1120" t="str">
            <v>Alcaldía de Santiago (Putumayo)</v>
          </cell>
        </row>
        <row r="1121">
          <cell r="B1121" t="str">
            <v>86865</v>
          </cell>
          <cell r="C1121" t="str">
            <v>Alcaldía de Valle del Guamuez (Putumayo)</v>
          </cell>
        </row>
        <row r="1122">
          <cell r="B1122" t="str">
            <v>86885</v>
          </cell>
          <cell r="C1122" t="str">
            <v>Alcaldía de Villagarzón (Putumayo)</v>
          </cell>
        </row>
        <row r="1123">
          <cell r="B1123" t="str">
            <v>88564</v>
          </cell>
          <cell r="C1123" t="str">
            <v>Alcaldía de Providencia (Archipiélago de San Andrés)</v>
          </cell>
        </row>
        <row r="1124">
          <cell r="B1124" t="str">
            <v>91001</v>
          </cell>
          <cell r="C1124" t="str">
            <v>Alcaldía de Leticia (Amazonas)</v>
          </cell>
        </row>
        <row r="1125">
          <cell r="B1125" t="str">
            <v>91540</v>
          </cell>
          <cell r="C1125" t="str">
            <v>Alcaldía de Puerto Nariño (Amazonas)</v>
          </cell>
        </row>
        <row r="1126">
          <cell r="B1126" t="str">
            <v>94001</v>
          </cell>
          <cell r="C1126" t="str">
            <v>Alcaldía de Inírida (Guainía)</v>
          </cell>
        </row>
        <row r="1127">
          <cell r="B1127" t="str">
            <v>95001</v>
          </cell>
          <cell r="C1127" t="str">
            <v>Alcaldía de San José del Guaviare (Guaviare)</v>
          </cell>
        </row>
        <row r="1128">
          <cell r="B1128" t="str">
            <v>95015</v>
          </cell>
          <cell r="C1128" t="str">
            <v>Alcaldía de Calamar (Guaviare)</v>
          </cell>
        </row>
        <row r="1129">
          <cell r="B1129" t="str">
            <v>95025</v>
          </cell>
          <cell r="C1129" t="str">
            <v>Alcaldía de El Retorno (Guaviare)</v>
          </cell>
        </row>
        <row r="1130">
          <cell r="B1130" t="str">
            <v>95200</v>
          </cell>
          <cell r="C1130" t="str">
            <v>Alcaldía de Miraflores (Guaviare)</v>
          </cell>
        </row>
        <row r="1131">
          <cell r="B1131" t="str">
            <v>97001</v>
          </cell>
          <cell r="C1131" t="str">
            <v>Alcaldía de Mitú (Vaupés)</v>
          </cell>
        </row>
        <row r="1132">
          <cell r="B1132" t="str">
            <v>97161</v>
          </cell>
          <cell r="C1132" t="str">
            <v>Alcaldía de Caruru (Vaupés)</v>
          </cell>
        </row>
        <row r="1133">
          <cell r="B1133" t="str">
            <v>97666</v>
          </cell>
          <cell r="C1133" t="str">
            <v>Alcaldía de Taraira (Vaupés)</v>
          </cell>
        </row>
        <row r="1134">
          <cell r="B1134" t="str">
            <v>99001</v>
          </cell>
          <cell r="C1134" t="str">
            <v>Alcaldía de Puerto Carreño (Vichada)</v>
          </cell>
        </row>
        <row r="1135">
          <cell r="B1135" t="str">
            <v>99524</v>
          </cell>
          <cell r="C1135" t="str">
            <v>Alcaldía de La Primavera (Vichada)</v>
          </cell>
        </row>
        <row r="1136">
          <cell r="B1136" t="str">
            <v>99624</v>
          </cell>
          <cell r="C1136" t="str">
            <v>Alcaldía de Santa Rosalía (Vichada)</v>
          </cell>
        </row>
        <row r="1137">
          <cell r="B1137" t="str">
            <v>99773</v>
          </cell>
          <cell r="C1137" t="str">
            <v>Alcaldía de Cumaribo (Vichada)</v>
          </cell>
        </row>
        <row r="1138">
          <cell r="B1138" t="str">
            <v>Corporación CVS</v>
          </cell>
          <cell r="C1138" t="str">
            <v>Corporación CVS</v>
          </cell>
        </row>
        <row r="1139">
          <cell r="B1139" t="str">
            <v>Corpoboyacá</v>
          </cell>
          <cell r="C1139" t="str">
            <v>Corpoboyacá</v>
          </cell>
        </row>
        <row r="1140">
          <cell r="B1140" t="str">
            <v>Corpocesar</v>
          </cell>
          <cell r="C1140" t="str">
            <v>Corpocesar</v>
          </cell>
        </row>
        <row r="1141">
          <cell r="B1141" t="str">
            <v>Corpoguajira</v>
          </cell>
          <cell r="C1141" t="str">
            <v>Corpoguajira</v>
          </cell>
        </row>
        <row r="1142">
          <cell r="B1142" t="str">
            <v>Corponariño</v>
          </cell>
          <cell r="C1142" t="str">
            <v>Corponariño</v>
          </cell>
        </row>
        <row r="1143">
          <cell r="B1143" t="str">
            <v>Corponorte</v>
          </cell>
          <cell r="C1143" t="str">
            <v>Corponorte</v>
          </cell>
        </row>
        <row r="1144">
          <cell r="B1144" t="str">
            <v>Corpoamazonia</v>
          </cell>
          <cell r="C1144" t="str">
            <v>Corpoamazonia</v>
          </cell>
        </row>
        <row r="1145">
          <cell r="B1145" t="str">
            <v>Corporacion Autonoma Santander</v>
          </cell>
          <cell r="C1145" t="str">
            <v>Corporacion Autonoma Santander</v>
          </cell>
        </row>
        <row r="1146">
          <cell r="B1146" t="str">
            <v>689999</v>
          </cell>
          <cell r="C1146" t="str">
            <v>Alcaldía de NN (Santander)</v>
          </cell>
        </row>
        <row r="1147">
          <cell r="B1147" t="str">
            <v>859999</v>
          </cell>
          <cell r="C1147" t="str">
            <v>Alcaldía de NN (Casanare)</v>
          </cell>
        </row>
        <row r="1148">
          <cell r="B1148" t="str">
            <v>90</v>
          </cell>
          <cell r="C1148" t="str">
            <v>Gobernación  NN</v>
          </cell>
        </row>
        <row r="1149">
          <cell r="B1149" t="str">
            <v>90999</v>
          </cell>
          <cell r="C1149" t="str">
            <v>Alcaldía de NN (NN)</v>
          </cell>
        </row>
        <row r="1150">
          <cell r="B1150" t="str">
            <v>OT</v>
          </cell>
          <cell r="C1150" t="str">
            <v>OTROS POR DISTRIBUIR</v>
          </cell>
        </row>
        <row r="1151">
          <cell r="B1151" t="str">
            <v>ONET</v>
          </cell>
          <cell r="C1151" t="str">
            <v>OTROS NO DISTRIBUIDOS ENTRE ENTIDADES TERRITORIALES</v>
          </cell>
        </row>
        <row r="1152">
          <cell r="B1152" t="str">
            <v>TOTAL</v>
          </cell>
          <cell r="C1152" t="str">
            <v>TOTAL SGR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  <sheetName val="LOTERIAS"/>
      <sheetName val="SUPUESTOS"/>
      <sheetName val="proyecINGRESOS99"/>
      <sheetName val="proyecINGRESOS99 (det)"/>
      <sheetName val="DATOS"/>
    </sheetNames>
    <sheetDataSet>
      <sheetData sheetId="0" refreshError="1"/>
      <sheetData sheetId="1" refreshError="1"/>
      <sheetData sheetId="2" refreshError="1">
        <row r="3">
          <cell r="Y3" t="str">
            <v>CUADRO No. 2</v>
          </cell>
        </row>
        <row r="4">
          <cell r="Y4" t="str">
            <v>APROPIACIONES 1998 - 2000</v>
          </cell>
        </row>
        <row r="5">
          <cell r="Y5" t="str">
            <v>RECURSOS NACION</v>
          </cell>
        </row>
        <row r="6">
          <cell r="Y6" t="str">
            <v>Miles de millones de pesos</v>
          </cell>
        </row>
        <row r="9">
          <cell r="Y9" t="str">
            <v>CONCEPTO</v>
          </cell>
          <cell r="Z9" t="str">
            <v>1998</v>
          </cell>
          <cell r="AA9" t="str">
            <v>1999   1/</v>
          </cell>
          <cell r="AB9" t="str">
            <v>2000</v>
          </cell>
          <cell r="AC9" t="str">
            <v>VARIACION  %</v>
          </cell>
        </row>
        <row r="10">
          <cell r="AC10" t="str">
            <v>99/98</v>
          </cell>
          <cell r="AD10" t="str">
            <v>2000/99</v>
          </cell>
        </row>
        <row r="11">
          <cell r="Z11" t="str">
            <v>(1)</v>
          </cell>
          <cell r="AA11" t="str">
            <v>(2)</v>
          </cell>
          <cell r="AB11" t="str">
            <v>(3)</v>
          </cell>
          <cell r="AC11" t="str">
            <v>(4)=(2/1)</v>
          </cell>
          <cell r="AD11" t="str">
            <v>(5)=(3/2)</v>
          </cell>
        </row>
        <row r="13">
          <cell r="Y13" t="str">
            <v>FUNCIONAMIENTO</v>
          </cell>
          <cell r="Z13">
            <v>17507.617041843005</v>
          </cell>
          <cell r="AA13">
            <v>22543.902873841002</v>
          </cell>
          <cell r="AB13">
            <v>22748.7873545</v>
          </cell>
          <cell r="AC13">
            <v>28.766255395930429</v>
          </cell>
          <cell r="AD13">
            <v>0.90882435843324672</v>
          </cell>
        </row>
        <row r="14">
          <cell r="Y14" t="str">
            <v>Gastos de Personal</v>
          </cell>
          <cell r="Z14">
            <v>4484.8324892346527</v>
          </cell>
          <cell r="AA14">
            <v>5167.0622997669998</v>
          </cell>
          <cell r="AB14">
            <v>5376.3</v>
          </cell>
          <cell r="AC14">
            <v>15.211935165247858</v>
          </cell>
          <cell r="AD14">
            <v>4.0494518566659421</v>
          </cell>
        </row>
        <row r="15">
          <cell r="Y15" t="str">
            <v>Gastos Generales</v>
          </cell>
          <cell r="Z15">
            <v>1321.8889146321796</v>
          </cell>
          <cell r="AA15">
            <v>1280.69206044</v>
          </cell>
          <cell r="AB15">
            <v>1051.7</v>
          </cell>
          <cell r="AC15">
            <v>-3.116514083457822</v>
          </cell>
          <cell r="AD15">
            <v>-17.880337320224072</v>
          </cell>
        </row>
        <row r="16">
          <cell r="Y16" t="str">
            <v>Transferencias</v>
          </cell>
          <cell r="Z16">
            <v>11700.795637976174</v>
          </cell>
          <cell r="AA16">
            <v>16093.200213634</v>
          </cell>
          <cell r="AB16">
            <v>16317.5</v>
          </cell>
          <cell r="AC16">
            <v>37.539366651288319</v>
          </cell>
          <cell r="AD16">
            <v>1.3937550231679641</v>
          </cell>
        </row>
        <row r="17">
          <cell r="Y17" t="str">
            <v>Operación Comercial</v>
          </cell>
          <cell r="Z17">
            <v>0.1</v>
          </cell>
          <cell r="AA17">
            <v>2.9483000000000001</v>
          </cell>
          <cell r="AB17">
            <v>3.2873545000000002</v>
          </cell>
        </row>
        <row r="19">
          <cell r="Y19" t="str">
            <v>SERVICIO DE LA DEUDA</v>
          </cell>
          <cell r="Z19">
            <v>11289.569079999999</v>
          </cell>
          <cell r="AA19">
            <v>13645.599999999999</v>
          </cell>
          <cell r="AB19">
            <v>14930.3</v>
          </cell>
          <cell r="AC19">
            <v>20.869095209079489</v>
          </cell>
          <cell r="AD19">
            <v>9.4147564049950283</v>
          </cell>
        </row>
        <row r="20">
          <cell r="Y20" t="str">
            <v>Externa</v>
          </cell>
          <cell r="Z20">
            <v>2576.1146520000002</v>
          </cell>
          <cell r="AA20">
            <v>3947.7</v>
          </cell>
          <cell r="AB20">
            <v>4191.3</v>
          </cell>
          <cell r="AC20">
            <v>53.242403125775148</v>
          </cell>
          <cell r="AD20">
            <v>6.1706816627403294</v>
          </cell>
        </row>
        <row r="21">
          <cell r="Y21" t="str">
            <v>Interna   2/</v>
          </cell>
          <cell r="Z21">
            <v>8713.4544279999991</v>
          </cell>
          <cell r="AA21">
            <v>9697.9</v>
          </cell>
          <cell r="AB21">
            <v>10739</v>
          </cell>
          <cell r="AC21">
            <v>11.297994155298063</v>
          </cell>
          <cell r="AD21">
            <v>10.735313830829352</v>
          </cell>
        </row>
        <row r="26">
          <cell r="Y26" t="str">
            <v>INVERSION</v>
          </cell>
          <cell r="Z26">
            <v>5073.7929515019996</v>
          </cell>
          <cell r="AA26">
            <v>5147.2</v>
          </cell>
          <cell r="AB26">
            <v>3166.3</v>
          </cell>
          <cell r="AC26">
            <v>1.4467884125281438</v>
          </cell>
          <cell r="AD26">
            <v>-38.485001554243084</v>
          </cell>
        </row>
        <row r="28">
          <cell r="Y28" t="str">
            <v>TOTAL CON DEUDA</v>
          </cell>
          <cell r="Z28">
            <v>33870.979073345006</v>
          </cell>
          <cell r="AA28">
            <v>41336.702873841001</v>
          </cell>
          <cell r="AB28">
            <v>40845.387354500002</v>
          </cell>
          <cell r="AC28">
            <v>22.041653370366255</v>
          </cell>
          <cell r="AD28">
            <v>-1.1885696854935124</v>
          </cell>
        </row>
        <row r="29">
          <cell r="Y29" t="str">
            <v>TOTAL SIN DEUDA</v>
          </cell>
          <cell r="Z29">
            <v>22581.409993345005</v>
          </cell>
          <cell r="AA29">
            <v>27691.102873841002</v>
          </cell>
          <cell r="AB29">
            <v>25915.087354500003</v>
          </cell>
          <cell r="AC29">
            <v>22.627873467608438</v>
          </cell>
          <cell r="AD29">
            <v>-6.4136684170089548</v>
          </cell>
        </row>
        <row r="31">
          <cell r="Y31" t="str">
            <v xml:space="preserve">  1/  Incluye adición por $1.3 mil milllones, traslados por $1.1 mil millones y reducción participación municipios por $223.8 mil millones</v>
          </cell>
        </row>
        <row r="32">
          <cell r="Y32" t="str">
            <v xml:space="preserve">   2/ Icluye el valor del déficit fiscal por $1.046.6 mil millones</v>
          </cell>
        </row>
        <row r="34">
          <cell r="Y34" t="str">
            <v>CUADRO No. 3</v>
          </cell>
        </row>
        <row r="35">
          <cell r="Y35" t="str">
            <v>APROPIACIONES 1998 - 2000</v>
          </cell>
        </row>
        <row r="36">
          <cell r="Y36" t="str">
            <v>RECURSOS PROPIOS</v>
          </cell>
        </row>
        <row r="37">
          <cell r="Y37" t="str">
            <v>Miles de millones de pesos</v>
          </cell>
        </row>
        <row r="40">
          <cell r="Z40" t="str">
            <v>1998</v>
          </cell>
          <cell r="AA40" t="str">
            <v>1999</v>
          </cell>
          <cell r="AB40" t="str">
            <v>2000</v>
          </cell>
          <cell r="AC40" t="str">
            <v>VARIACION  %</v>
          </cell>
        </row>
        <row r="41">
          <cell r="Y41" t="str">
            <v>CONCEPTO</v>
          </cell>
          <cell r="AC41" t="str">
            <v>99/98</v>
          </cell>
          <cell r="AD41" t="str">
            <v>2000/99</v>
          </cell>
        </row>
        <row r="42">
          <cell r="Z42" t="str">
            <v>(1)</v>
          </cell>
          <cell r="AA42" t="str">
            <v>(2)</v>
          </cell>
          <cell r="AB42" t="str">
            <v>(3)</v>
          </cell>
          <cell r="AC42" t="str">
            <v>(4)=(2/1)</v>
          </cell>
          <cell r="AD42" t="str">
            <v>(5)=(3/2)</v>
          </cell>
        </row>
        <row r="45">
          <cell r="Y45" t="str">
            <v>FUNCIONAMIENTO</v>
          </cell>
          <cell r="Z45">
            <v>1659.373423821</v>
          </cell>
          <cell r="AA45">
            <v>1602.6133874049999</v>
          </cell>
          <cell r="AB45">
            <v>1410.701027604</v>
          </cell>
          <cell r="AC45">
            <v>-3.4205704153860705</v>
          </cell>
          <cell r="AD45">
            <v>-11.974962976675874</v>
          </cell>
        </row>
        <row r="46">
          <cell r="Y46" t="str">
            <v>Gastos de Personal</v>
          </cell>
          <cell r="Z46">
            <v>398.89649835734997</v>
          </cell>
          <cell r="AA46">
            <v>380.27551839099999</v>
          </cell>
          <cell r="AB46">
            <v>388.1</v>
          </cell>
          <cell r="AC46">
            <v>-4.668123195623652</v>
          </cell>
          <cell r="AD46">
            <v>2.0575822609108618</v>
          </cell>
        </row>
        <row r="47">
          <cell r="Y47" t="str">
            <v>Gastos Generales</v>
          </cell>
          <cell r="Z47">
            <v>272.74812604427001</v>
          </cell>
          <cell r="AA47">
            <v>243.24939164</v>
          </cell>
          <cell r="AB47">
            <v>197.762</v>
          </cell>
          <cell r="AC47">
            <v>-10.815375647890624</v>
          </cell>
          <cell r="AD47">
            <v>-18.699899446128786</v>
          </cell>
        </row>
        <row r="48">
          <cell r="Y48" t="str">
            <v>Transferencias</v>
          </cell>
          <cell r="Z48">
            <v>690.42139540237997</v>
          </cell>
          <cell r="AA48">
            <v>773.034085688</v>
          </cell>
          <cell r="AB48">
            <v>543.59169398799997</v>
          </cell>
          <cell r="AC48">
            <v>11.965546090510859</v>
          </cell>
          <cell r="AD48">
            <v>-29.680760001131958</v>
          </cell>
        </row>
        <row r="49">
          <cell r="Y49" t="str">
            <v>Operación Comercial</v>
          </cell>
          <cell r="Z49">
            <v>297.30740401700001</v>
          </cell>
          <cell r="AA49">
            <v>206.054391686</v>
          </cell>
          <cell r="AB49">
            <v>281.24733361599999</v>
          </cell>
          <cell r="AC49">
            <v>-30.693151632975201</v>
          </cell>
          <cell r="AD49">
            <v>36.491792926493027</v>
          </cell>
        </row>
        <row r="51">
          <cell r="Y51" t="str">
            <v>SERVICIO DE LA DEUDA</v>
          </cell>
          <cell r="Z51">
            <v>31.026147289999997</v>
          </cell>
          <cell r="AA51">
            <v>18.399635302</v>
          </cell>
          <cell r="AB51">
            <v>13.870000000000001</v>
          </cell>
          <cell r="AC51">
            <v>-40.696358042719773</v>
          </cell>
          <cell r="AD51">
            <v>-24.618071106592186</v>
          </cell>
        </row>
        <row r="52">
          <cell r="Y52" t="str">
            <v>Externa</v>
          </cell>
          <cell r="Z52">
            <v>9.5051620000000003</v>
          </cell>
          <cell r="AA52">
            <v>3.1066911350000002</v>
          </cell>
          <cell r="AB52">
            <v>3.8170000000000002</v>
          </cell>
          <cell r="AC52">
            <v>-67.315747643227965</v>
          </cell>
          <cell r="AD52">
            <v>22.863839182391075</v>
          </cell>
        </row>
        <row r="53">
          <cell r="Y53" t="str">
            <v>Interna</v>
          </cell>
          <cell r="Z53">
            <v>21.520985289999999</v>
          </cell>
          <cell r="AA53">
            <v>15.292944167</v>
          </cell>
          <cell r="AB53">
            <v>10.053000000000001</v>
          </cell>
          <cell r="AC53">
            <v>-28.939386552594026</v>
          </cell>
          <cell r="AD53">
            <v>-34.263802376961884</v>
          </cell>
        </row>
        <row r="55">
          <cell r="Y55" t="str">
            <v>INVERSION</v>
          </cell>
          <cell r="Z55">
            <v>2235.8472710000001</v>
          </cell>
          <cell r="AA55">
            <v>2660.3020459999998</v>
          </cell>
          <cell r="AB55">
            <v>2333.1673000000001</v>
          </cell>
          <cell r="AC55">
            <v>18.984068388989694</v>
          </cell>
          <cell r="AD55">
            <v>-12.296902394668896</v>
          </cell>
        </row>
        <row r="57">
          <cell r="Y57" t="str">
            <v>TOTAL CON DEUDA</v>
          </cell>
          <cell r="Z57">
            <v>3926.2468421109998</v>
          </cell>
          <cell r="AA57">
            <v>4281.3150687069992</v>
          </cell>
          <cell r="AB57">
            <v>3757.738327604</v>
          </cell>
          <cell r="AC57">
            <v>9.0434514403860522</v>
          </cell>
          <cell r="AD57">
            <v>-12.229343851143494</v>
          </cell>
        </row>
        <row r="58">
          <cell r="Y58" t="str">
            <v>TOTAL SIN DEUDA</v>
          </cell>
          <cell r="Z58">
            <v>3895.2206948209996</v>
          </cell>
          <cell r="AA58">
            <v>4262.915433404999</v>
          </cell>
          <cell r="AB58">
            <v>3743.8683276040001</v>
          </cell>
          <cell r="AC58">
            <v>9.439638146122963</v>
          </cell>
          <cell r="AD58">
            <v>-12.175871511164615</v>
          </cell>
        </row>
        <row r="63">
          <cell r="Y63" t="str">
            <v>CUADRO No. 1</v>
          </cell>
        </row>
        <row r="64">
          <cell r="Y64" t="str">
            <v>APROPIACIONES 1998 - 2000</v>
          </cell>
        </row>
        <row r="65">
          <cell r="Y65" t="str">
            <v>TOTAL</v>
          </cell>
        </row>
        <row r="66">
          <cell r="Y66" t="str">
            <v>Miles de millones de pesos</v>
          </cell>
        </row>
        <row r="69">
          <cell r="Z69" t="str">
            <v>1998</v>
          </cell>
          <cell r="AA69" t="str">
            <v>1999</v>
          </cell>
          <cell r="AB69" t="str">
            <v>2000</v>
          </cell>
          <cell r="AC69" t="str">
            <v>VARIACION  %</v>
          </cell>
        </row>
        <row r="70">
          <cell r="Y70" t="str">
            <v>CONCEPTO</v>
          </cell>
          <cell r="AC70" t="str">
            <v>99/98</v>
          </cell>
          <cell r="AD70" t="str">
            <v>2000/99</v>
          </cell>
        </row>
        <row r="71">
          <cell r="Z71" t="str">
            <v>(1)</v>
          </cell>
          <cell r="AA71" t="str">
            <v>(2)</v>
          </cell>
          <cell r="AB71" t="str">
            <v>(3)</v>
          </cell>
          <cell r="AC71" t="str">
            <v>(4)=(2/1)</v>
          </cell>
          <cell r="AD71" t="str">
            <v>(5)=(3/2)</v>
          </cell>
        </row>
        <row r="73">
          <cell r="Y73" t="str">
            <v>FUNCIONAMIENTO</v>
          </cell>
          <cell r="Z73">
            <v>19166.990465664006</v>
          </cell>
          <cell r="AA73">
            <v>24146.516261246001</v>
          </cell>
          <cell r="AB73">
            <v>24159.488382104002</v>
          </cell>
          <cell r="AC73">
            <v>25.979695688284398</v>
          </cell>
          <cell r="AD73">
            <v>5.3722535862532617E-2</v>
          </cell>
        </row>
        <row r="75">
          <cell r="Y75" t="str">
            <v>Gastos de Personal</v>
          </cell>
          <cell r="Z75">
            <v>4883.7289875920023</v>
          </cell>
          <cell r="AA75">
            <v>5547.3378181580001</v>
          </cell>
          <cell r="AB75">
            <v>5764.4000000000005</v>
          </cell>
          <cell r="AC75">
            <v>13.588158398060513</v>
          </cell>
          <cell r="AD75">
            <v>3.9129072170707602</v>
          </cell>
        </row>
        <row r="76">
          <cell r="Y76" t="str">
            <v>Gastos Generales</v>
          </cell>
          <cell r="Z76">
            <v>1594.6370406764497</v>
          </cell>
          <cell r="AA76">
            <v>1523.9414520800001</v>
          </cell>
          <cell r="AB76">
            <v>1249.462</v>
          </cell>
          <cell r="AC76">
            <v>-4.433334156496227</v>
          </cell>
          <cell r="AD76">
            <v>-18.011154674306418</v>
          </cell>
        </row>
        <row r="77">
          <cell r="Y77" t="str">
            <v>Transferencias</v>
          </cell>
          <cell r="Z77">
            <v>12391.217033378554</v>
          </cell>
          <cell r="AA77">
            <v>16866.234299322001</v>
          </cell>
          <cell r="AB77">
            <v>16861.091693988001</v>
          </cell>
          <cell r="AC77">
            <v>36.114428904674753</v>
          </cell>
          <cell r="AD77">
            <v>-3.0490536552119085E-2</v>
          </cell>
        </row>
        <row r="78">
          <cell r="Y78" t="str">
            <v>Operación Comercial</v>
          </cell>
          <cell r="Z78">
            <v>297.40740401700003</v>
          </cell>
          <cell r="AA78">
            <v>209.00269168599999</v>
          </cell>
          <cell r="AB78">
            <v>284.53468811599998</v>
          </cell>
          <cell r="AC78">
            <v>-29.72512154604825</v>
          </cell>
          <cell r="AD78">
            <v>36.139245777502829</v>
          </cell>
        </row>
        <row r="80">
          <cell r="Y80" t="str">
            <v>SERVICIO DE LA DEUDA</v>
          </cell>
          <cell r="Z80">
            <v>11320.595227289999</v>
          </cell>
          <cell r="AA80">
            <v>13663.999635302</v>
          </cell>
          <cell r="AB80">
            <v>14944.17</v>
          </cell>
          <cell r="AC80">
            <v>20.700363902799658</v>
          </cell>
          <cell r="AD80">
            <v>9.3689285631315613</v>
          </cell>
        </row>
        <row r="81">
          <cell r="Y81" t="str">
            <v>Externa</v>
          </cell>
          <cell r="Z81">
            <v>2585.6198140000001</v>
          </cell>
          <cell r="AA81">
            <v>3950.8066911349997</v>
          </cell>
          <cell r="AB81">
            <v>4195.1170000000002</v>
          </cell>
          <cell r="AC81">
            <v>52.799211614294947</v>
          </cell>
          <cell r="AD81">
            <v>6.1838082185391441</v>
          </cell>
        </row>
        <row r="82">
          <cell r="Y82" t="str">
            <v>Interna   2/</v>
          </cell>
          <cell r="Z82">
            <v>8734.9754132899998</v>
          </cell>
          <cell r="AA82">
            <v>9713.192944167</v>
          </cell>
          <cell r="AB82">
            <v>10749.053</v>
          </cell>
          <cell r="AC82">
            <v>11.198858435121316</v>
          </cell>
          <cell r="AD82">
            <v>10.664464937403073</v>
          </cell>
        </row>
        <row r="87">
          <cell r="Y87" t="str">
            <v xml:space="preserve">INVERSION </v>
          </cell>
          <cell r="Z87">
            <v>7309.6402225019992</v>
          </cell>
          <cell r="AA87">
            <v>7807.5020459999996</v>
          </cell>
          <cell r="AB87">
            <v>5499.4673000000003</v>
          </cell>
          <cell r="AC87">
            <v>6.8110304795218513</v>
          </cell>
          <cell r="AD87">
            <v>-29.561756531110607</v>
          </cell>
        </row>
        <row r="89">
          <cell r="Y89" t="str">
            <v>TOTAL CON DEUDA</v>
          </cell>
          <cell r="Z89">
            <v>37797.225915456002</v>
          </cell>
          <cell r="AA89">
            <v>45618.017942548002</v>
          </cell>
          <cell r="AB89">
            <v>44603.125682104001</v>
          </cell>
          <cell r="AC89">
            <v>20.691444511259572</v>
          </cell>
          <cell r="AD89">
            <v>-2.2247618511662903</v>
          </cell>
        </row>
        <row r="90">
          <cell r="Y90" t="str">
            <v>TOTAL SIN DEUDA</v>
          </cell>
          <cell r="Z90">
            <v>26476.630688166002</v>
          </cell>
          <cell r="AA90">
            <v>31954.018307246002</v>
          </cell>
          <cell r="AB90">
            <v>29658.955682104002</v>
          </cell>
          <cell r="AC90">
            <v>20.687630853000382</v>
          </cell>
          <cell r="AD90">
            <v>-7.182391281980216</v>
          </cell>
        </row>
        <row r="92">
          <cell r="Y92" t="str">
            <v xml:space="preserve">  1/  Incluye adición por $1.3 mil milllones, traslados por $1.1 mil millones y reducción participación municipios por $223.8 millones</v>
          </cell>
        </row>
        <row r="93">
          <cell r="Y93" t="str">
            <v xml:space="preserve">   2/ Icluye el valor del déficit fiscal por $1.046.6 mil millones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  <sheetName val="CUA1-3"/>
      <sheetName val="BC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  <sheetName val="sena 20.02"/>
      <sheetName val="diana 20.02"/>
      <sheetName val="MODESTSO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>
        <row r="5">
          <cell r="W5" t="str">
            <v>SI</v>
          </cell>
          <cell r="Y5" t="str">
            <v>Favorable</v>
          </cell>
          <cell r="AC5" t="str">
            <v>Favorable</v>
          </cell>
          <cell r="AG5" t="str">
            <v>Aprobado</v>
          </cell>
        </row>
        <row r="6">
          <cell r="W6" t="str">
            <v>NO</v>
          </cell>
          <cell r="Y6" t="str">
            <v>No Favorable</v>
          </cell>
          <cell r="AC6" t="str">
            <v>No Favorable</v>
          </cell>
          <cell r="AG6" t="str">
            <v>No Aprobado</v>
          </cell>
        </row>
        <row r="7">
          <cell r="Y7" t="str">
            <v>No Se Expidió</v>
          </cell>
        </row>
      </sheetData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/>
      <sheetData sheetId="1"/>
      <sheetData sheetId="2"/>
      <sheetData sheetId="3"/>
      <sheetData sheetId="4">
        <row r="26">
          <cell r="J26" t="str">
            <v>Organo SGR</v>
          </cell>
        </row>
        <row r="27">
          <cell r="J27" t="str">
            <v>Sistemas de Información y estrategias de Capacitación</v>
          </cell>
        </row>
        <row r="28">
          <cell r="J28" t="str">
            <v>Programa de Estructuradores - Acuerdo 29 de 2015</v>
          </cell>
        </row>
        <row r="29">
          <cell r="J29" t="str">
            <v>Comisión Rectora</v>
          </cell>
        </row>
        <row r="30">
          <cell r="J30" t="str">
            <v>Fortalecimiento ST de Planeación Municipales o quien haga sus veces</v>
          </cell>
        </row>
        <row r="31">
          <cell r="J31" t="str">
            <v>Fortalecimiento  ST OCAD Nacional, Regionales, departamentales, CAR</v>
          </cell>
        </row>
        <row r="32">
          <cell r="J32" t="str">
            <v>Fortalecimiento Secretaria Técnica OCAD - FCTeI</v>
          </cell>
        </row>
        <row r="33">
          <cell r="J33" t="str">
            <v>Incentivos a la producción</v>
          </cell>
        </row>
        <row r="34">
          <cell r="J34" t="str">
            <v>Fortalecimiento Ministerios y Coldeportes</v>
          </cell>
        </row>
        <row r="35">
          <cell r="J35" t="str">
            <v>ICETEX</v>
          </cell>
        </row>
        <row r="36">
          <cell r="J36" t="str">
            <v>Fortalecimiento  ST OCAD Nacional</v>
          </cell>
        </row>
        <row r="37">
          <cell r="J37" t="str">
            <v>Fortalecimiento  ST OCAD  Regionales</v>
          </cell>
        </row>
        <row r="38">
          <cell r="J38" t="str">
            <v>Fortalecimiento  ST OCAD Departamentales</v>
          </cell>
        </row>
        <row r="39">
          <cell r="J39" t="str">
            <v>Fortalecimiento  ST OCAD CAR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 refreshError="1"/>
      <sheetData sheetId="1">
        <row r="5">
          <cell r="AA5" t="str">
            <v>Oficina Planeación Entidad</v>
          </cell>
          <cell r="AE5" t="str">
            <v>Viabilizado</v>
          </cell>
          <cell r="AI5" t="str">
            <v>DEPARTAMENTO DE ANTIOQUIA</v>
          </cell>
        </row>
        <row r="6">
          <cell r="AA6" t="str">
            <v>D.N.P.</v>
          </cell>
          <cell r="AE6" t="str">
            <v>No Viabilizado</v>
          </cell>
          <cell r="AI6" t="str">
            <v>MEDELLÍN</v>
          </cell>
        </row>
        <row r="7">
          <cell r="AI7" t="str">
            <v>ABEJORRAL</v>
          </cell>
        </row>
        <row r="8">
          <cell r="AI8" t="str">
            <v>ABRIAQUÍ</v>
          </cell>
        </row>
        <row r="9">
          <cell r="AI9" t="str">
            <v>ALEJANDRÍA</v>
          </cell>
        </row>
        <row r="10">
          <cell r="AI10" t="str">
            <v>AMAGÁ</v>
          </cell>
        </row>
        <row r="11">
          <cell r="AI11" t="str">
            <v>AMALFI</v>
          </cell>
        </row>
        <row r="12">
          <cell r="AI12" t="str">
            <v>ANDES</v>
          </cell>
        </row>
        <row r="13">
          <cell r="AI13" t="str">
            <v>ANGELÓPOLIS</v>
          </cell>
        </row>
        <row r="14">
          <cell r="AI14" t="str">
            <v>ANGOSTURA</v>
          </cell>
        </row>
        <row r="15">
          <cell r="AI15" t="str">
            <v>ANORÍ</v>
          </cell>
        </row>
        <row r="16">
          <cell r="AI16" t="str">
            <v>SANTAFE DE ANTIOQUIA</v>
          </cell>
        </row>
        <row r="17">
          <cell r="AI17" t="str">
            <v>ANZÁ</v>
          </cell>
        </row>
        <row r="18">
          <cell r="AI18" t="str">
            <v>APARTADÓ</v>
          </cell>
        </row>
        <row r="19">
          <cell r="AI19" t="str">
            <v>ARBOLETES</v>
          </cell>
        </row>
        <row r="20">
          <cell r="AI20" t="str">
            <v>ARGELIA - ANTIOQUIA</v>
          </cell>
        </row>
        <row r="21">
          <cell r="AI21" t="str">
            <v>ARMENIA - ANTIOQUIA</v>
          </cell>
        </row>
        <row r="22">
          <cell r="AI22" t="str">
            <v>BARBOSA - ANTIOQUIA</v>
          </cell>
        </row>
        <row r="23">
          <cell r="AI23" t="str">
            <v>BELMIRA</v>
          </cell>
        </row>
        <row r="24">
          <cell r="AI24" t="str">
            <v>BELLO</v>
          </cell>
        </row>
        <row r="25">
          <cell r="AI25" t="str">
            <v>BETANIA</v>
          </cell>
        </row>
        <row r="26">
          <cell r="AI26" t="str">
            <v>BETULIA - ANTIOQUIA</v>
          </cell>
        </row>
        <row r="27">
          <cell r="AI27" t="str">
            <v>CIUDAD BOLIVAR</v>
          </cell>
        </row>
        <row r="28">
          <cell r="AI28" t="str">
            <v>BRICEÑO - ANTIOQUIA</v>
          </cell>
        </row>
        <row r="29">
          <cell r="AI29" t="str">
            <v>BURITICÁ</v>
          </cell>
        </row>
        <row r="30">
          <cell r="AI30" t="str">
            <v>CÁCERES</v>
          </cell>
        </row>
        <row r="31">
          <cell r="AI31" t="str">
            <v>CAICEDO</v>
          </cell>
        </row>
        <row r="32">
          <cell r="AI32" t="str">
            <v>CALDAS - ANTIOQUIA</v>
          </cell>
        </row>
        <row r="33">
          <cell r="AI33" t="str">
            <v>CAMPAMENTO</v>
          </cell>
        </row>
        <row r="34">
          <cell r="AI34" t="str">
            <v>CAÑASGORDAS</v>
          </cell>
        </row>
        <row r="35">
          <cell r="AI35" t="str">
            <v>CARACOLÍ</v>
          </cell>
        </row>
        <row r="36">
          <cell r="AI36" t="str">
            <v>CARAMANTA</v>
          </cell>
        </row>
        <row r="37">
          <cell r="AI37" t="str">
            <v>CAREPA</v>
          </cell>
        </row>
        <row r="38">
          <cell r="AI38" t="str">
            <v>EL CARMEN DE VIBORAL</v>
          </cell>
        </row>
        <row r="39">
          <cell r="AI39" t="str">
            <v>CAROLINA DEL PRINCIPE</v>
          </cell>
        </row>
        <row r="40">
          <cell r="AI40" t="str">
            <v>CAUCASIA</v>
          </cell>
        </row>
        <row r="41">
          <cell r="AI41" t="str">
            <v>CHIGORODÓ</v>
          </cell>
        </row>
        <row r="42">
          <cell r="AI42" t="str">
            <v>CISNEROS</v>
          </cell>
        </row>
        <row r="43">
          <cell r="AI43" t="str">
            <v>COCORNÁ</v>
          </cell>
        </row>
        <row r="44">
          <cell r="AI44" t="str">
            <v>CONCEPCIÓN - ANTIOQUIA</v>
          </cell>
        </row>
        <row r="45">
          <cell r="AI45" t="str">
            <v>CONCORDIA - ANTIOQUIA</v>
          </cell>
        </row>
        <row r="46">
          <cell r="AI46" t="str">
            <v>COPACABANA</v>
          </cell>
        </row>
        <row r="47">
          <cell r="AI47" t="str">
            <v>DABEIBA</v>
          </cell>
        </row>
        <row r="48">
          <cell r="AI48" t="str">
            <v>DON MATÍAS</v>
          </cell>
        </row>
        <row r="49">
          <cell r="AI49" t="str">
            <v>EBÉJICO</v>
          </cell>
        </row>
        <row r="50">
          <cell r="AI50" t="str">
            <v>EL BAGRE</v>
          </cell>
        </row>
        <row r="51">
          <cell r="AI51" t="str">
            <v>ENTRERRIOS</v>
          </cell>
        </row>
        <row r="52">
          <cell r="AI52" t="str">
            <v>ENVIGADO</v>
          </cell>
        </row>
        <row r="53">
          <cell r="AI53" t="str">
            <v>FREDONIA</v>
          </cell>
        </row>
        <row r="54">
          <cell r="AI54" t="str">
            <v>FRONTINO</v>
          </cell>
        </row>
        <row r="55">
          <cell r="AI55" t="str">
            <v>GIRALDO</v>
          </cell>
        </row>
        <row r="56">
          <cell r="AI56" t="str">
            <v>GIRARDOTA</v>
          </cell>
        </row>
        <row r="57">
          <cell r="AI57" t="str">
            <v>GÓMEZ PLATA</v>
          </cell>
        </row>
        <row r="58">
          <cell r="AI58" t="str">
            <v>GRANADA - ANTIOQUIA</v>
          </cell>
        </row>
        <row r="59">
          <cell r="AI59" t="str">
            <v>GUADALUPE - ANTIOQUIA</v>
          </cell>
        </row>
        <row r="60">
          <cell r="AI60" t="str">
            <v>GUARNE</v>
          </cell>
        </row>
        <row r="61">
          <cell r="AI61" t="str">
            <v>GUATAPÉ</v>
          </cell>
        </row>
        <row r="62">
          <cell r="AI62" t="str">
            <v>HELICONIA</v>
          </cell>
        </row>
        <row r="63">
          <cell r="AI63" t="str">
            <v>HISPANIA</v>
          </cell>
        </row>
        <row r="64">
          <cell r="AI64" t="str">
            <v>ITAGÜÍ</v>
          </cell>
        </row>
        <row r="65">
          <cell r="AI65" t="str">
            <v>ITUANGO</v>
          </cell>
        </row>
        <row r="66">
          <cell r="AI66" t="str">
            <v>JARDÍN</v>
          </cell>
        </row>
        <row r="67">
          <cell r="AI67" t="str">
            <v>JERICÓ - ANTIOQUIA</v>
          </cell>
        </row>
        <row r="68">
          <cell r="AI68" t="str">
            <v>LA CEJA DEL TAMBO</v>
          </cell>
        </row>
        <row r="69">
          <cell r="AI69" t="str">
            <v>LA ESTRELLA</v>
          </cell>
        </row>
        <row r="70">
          <cell r="AI70" t="str">
            <v>LA PINTADA</v>
          </cell>
        </row>
        <row r="71">
          <cell r="AI71" t="str">
            <v>LA UNIÓN - ANTIOQUIA</v>
          </cell>
        </row>
        <row r="72">
          <cell r="AI72" t="str">
            <v>LIBORINA</v>
          </cell>
        </row>
        <row r="73">
          <cell r="AI73" t="str">
            <v>MACEO</v>
          </cell>
        </row>
        <row r="74">
          <cell r="AI74" t="str">
            <v>MARINILLA</v>
          </cell>
        </row>
        <row r="75">
          <cell r="AI75" t="str">
            <v>MONTEBELLO</v>
          </cell>
        </row>
        <row r="76">
          <cell r="AI76" t="str">
            <v>MURINDÓ</v>
          </cell>
        </row>
        <row r="77">
          <cell r="AI77" t="str">
            <v>MUTATÁ</v>
          </cell>
        </row>
        <row r="78">
          <cell r="AI78" t="str">
            <v>NARIÑO - ANTIOQUIA</v>
          </cell>
        </row>
        <row r="79">
          <cell r="AI79" t="str">
            <v>NECOCLÍ</v>
          </cell>
        </row>
        <row r="80">
          <cell r="AI80" t="str">
            <v>NECHÍ</v>
          </cell>
        </row>
        <row r="81">
          <cell r="AI81" t="str">
            <v>OLAYA</v>
          </cell>
        </row>
        <row r="82">
          <cell r="AI82" t="str">
            <v>EL PEÑOL - ANTIOQUIA</v>
          </cell>
        </row>
        <row r="83">
          <cell r="AI83" t="str">
            <v>PEQUE</v>
          </cell>
        </row>
        <row r="84">
          <cell r="AI84" t="str">
            <v>PUEBLORRICO - ANTIOQUIA</v>
          </cell>
        </row>
        <row r="85">
          <cell r="AI85" t="str">
            <v>PUERTO BERRÍO</v>
          </cell>
        </row>
        <row r="86">
          <cell r="AI86" t="str">
            <v>PUERTO NARE (LA MAGDALENA)</v>
          </cell>
        </row>
        <row r="87">
          <cell r="AI87" t="str">
            <v>PUERTO TRIUNFO</v>
          </cell>
        </row>
        <row r="88">
          <cell r="AI88" t="str">
            <v>REMEDIOS</v>
          </cell>
        </row>
        <row r="89">
          <cell r="AI89" t="str">
            <v>EL RETIRO</v>
          </cell>
        </row>
        <row r="90">
          <cell r="AI90" t="str">
            <v>RIONEGRO - ANTIOQUIA</v>
          </cell>
        </row>
        <row r="91">
          <cell r="AI91" t="str">
            <v>SABANALARGA - ANTIOQUIA</v>
          </cell>
        </row>
        <row r="92">
          <cell r="AI92" t="str">
            <v>SABANETA</v>
          </cell>
        </row>
        <row r="93">
          <cell r="AI93" t="str">
            <v>SALGAR</v>
          </cell>
        </row>
        <row r="94">
          <cell r="AI94" t="str">
            <v>SAN ANDRÉS DE CUERQUIA</v>
          </cell>
        </row>
        <row r="95">
          <cell r="AI95" t="str">
            <v>SAN CARLOS - ANTIOQUIA</v>
          </cell>
        </row>
        <row r="96">
          <cell r="AI96" t="str">
            <v>SAN FRANCISCO - ANTIOQUIA</v>
          </cell>
        </row>
        <row r="97">
          <cell r="AI97" t="str">
            <v>SAN JERÓNIMO</v>
          </cell>
        </row>
        <row r="98">
          <cell r="AI98" t="str">
            <v>SAN JOSÉ DE LA MONTAÑA</v>
          </cell>
        </row>
        <row r="99">
          <cell r="AI99" t="str">
            <v>SAN JUAN DE URABÁ</v>
          </cell>
        </row>
        <row r="100">
          <cell r="AI100" t="str">
            <v>SAN LUIS - ANTIOQUIA</v>
          </cell>
        </row>
        <row r="101">
          <cell r="AI101" t="str">
            <v>SAN PEDRO DE LOS MILAGROS</v>
          </cell>
        </row>
        <row r="102">
          <cell r="AI102" t="str">
            <v>SAN PEDRO DE URABA</v>
          </cell>
        </row>
        <row r="103">
          <cell r="AI103" t="str">
            <v>SAN RAFAEL</v>
          </cell>
        </row>
        <row r="104">
          <cell r="AI104" t="str">
            <v>SAN ROQUE</v>
          </cell>
        </row>
        <row r="105">
          <cell r="AI105" t="str">
            <v>SAN VICENTE</v>
          </cell>
        </row>
        <row r="106">
          <cell r="AI106" t="str">
            <v>SANTA BÁRBARA - ANTIOQUIA</v>
          </cell>
        </row>
        <row r="107">
          <cell r="AI107" t="str">
            <v>SANTA ROSA DE OSOS</v>
          </cell>
        </row>
        <row r="108">
          <cell r="AI108" t="str">
            <v>SANTO DOMINGO</v>
          </cell>
        </row>
        <row r="109">
          <cell r="AI109" t="str">
            <v>SANTUARIO - ANTIOQUIA</v>
          </cell>
        </row>
        <row r="110">
          <cell r="AI110" t="str">
            <v>SEGOVIA</v>
          </cell>
        </row>
        <row r="111">
          <cell r="AI111" t="str">
            <v>SONSÓN</v>
          </cell>
        </row>
        <row r="112">
          <cell r="AI112" t="str">
            <v>SOPETRÁN</v>
          </cell>
        </row>
        <row r="113">
          <cell r="AI113" t="str">
            <v>TÁMESIS</v>
          </cell>
        </row>
        <row r="114">
          <cell r="AI114" t="str">
            <v>TARAZÁ</v>
          </cell>
        </row>
        <row r="115">
          <cell r="AI115" t="str">
            <v>TARSO</v>
          </cell>
        </row>
        <row r="116">
          <cell r="AI116" t="str">
            <v>TITIRIBÍ</v>
          </cell>
        </row>
        <row r="117">
          <cell r="AI117" t="str">
            <v>TOLEDO - ANTIOQUIA</v>
          </cell>
        </row>
        <row r="118">
          <cell r="AI118" t="str">
            <v>TURBO</v>
          </cell>
        </row>
        <row r="119">
          <cell r="AI119" t="str">
            <v>URAMITA</v>
          </cell>
        </row>
        <row r="120">
          <cell r="AI120" t="str">
            <v>URRAO</v>
          </cell>
        </row>
        <row r="121">
          <cell r="AI121" t="str">
            <v>VALDIVIA</v>
          </cell>
        </row>
        <row r="122">
          <cell r="AI122" t="str">
            <v>VALPARAÍSO - ANTIOQUIA</v>
          </cell>
        </row>
        <row r="123">
          <cell r="AI123" t="str">
            <v>VEGACHÍ</v>
          </cell>
        </row>
        <row r="124">
          <cell r="AI124" t="str">
            <v>VENECIA - ANTIOQUIA</v>
          </cell>
        </row>
        <row r="125">
          <cell r="AI125" t="str">
            <v>VIGÍA DEL FUERTE</v>
          </cell>
        </row>
        <row r="126">
          <cell r="AI126" t="str">
            <v>YALÍ</v>
          </cell>
        </row>
        <row r="127">
          <cell r="AI127" t="str">
            <v>YARUMAL</v>
          </cell>
        </row>
        <row r="128">
          <cell r="AI128" t="str">
            <v>YOLOMBÓ</v>
          </cell>
        </row>
        <row r="129">
          <cell r="AI129" t="str">
            <v>YONDÓ (CASABE)</v>
          </cell>
        </row>
        <row r="130">
          <cell r="AI130" t="str">
            <v>ZARAGOZA</v>
          </cell>
        </row>
        <row r="131">
          <cell r="AI131" t="str">
            <v>DEPARTAMENTO DEL ATLANTICO</v>
          </cell>
        </row>
        <row r="132">
          <cell r="AI132" t="str">
            <v>BARRANQUILLA, DISTRITO ESPECIAL, INDUSTRIAL Y PORTUARIO</v>
          </cell>
        </row>
        <row r="133">
          <cell r="AI133" t="str">
            <v>BARANOA</v>
          </cell>
        </row>
        <row r="134">
          <cell r="AI134" t="str">
            <v>CAMPO DE LA CRUZ</v>
          </cell>
        </row>
        <row r="135">
          <cell r="AI135" t="str">
            <v>CANDELARIA - ATLÁNTICO</v>
          </cell>
        </row>
        <row r="136">
          <cell r="AI136" t="str">
            <v>GALAPA</v>
          </cell>
        </row>
        <row r="137">
          <cell r="AI137" t="str">
            <v>JUAN DE ACOSTA</v>
          </cell>
        </row>
        <row r="138">
          <cell r="AI138" t="str">
            <v>LURUACO</v>
          </cell>
        </row>
        <row r="139">
          <cell r="AI139" t="str">
            <v>MALAMBO</v>
          </cell>
        </row>
        <row r="140">
          <cell r="AI140" t="str">
            <v>MANATÍ</v>
          </cell>
        </row>
        <row r="141">
          <cell r="AI141" t="str">
            <v>PALMAR DE VARELA</v>
          </cell>
        </row>
        <row r="142">
          <cell r="AI142" t="str">
            <v>PIOJÓ</v>
          </cell>
        </row>
        <row r="143">
          <cell r="AI143" t="str">
            <v>POLONUEVO</v>
          </cell>
        </row>
        <row r="144">
          <cell r="AI144" t="str">
            <v>PONEDERA</v>
          </cell>
        </row>
        <row r="145">
          <cell r="AI145" t="str">
            <v>PUERTO COLOMBIA</v>
          </cell>
        </row>
        <row r="146">
          <cell r="AI146" t="str">
            <v>REPELÓN</v>
          </cell>
        </row>
        <row r="147">
          <cell r="AI147" t="str">
            <v>SABANAGRANDE</v>
          </cell>
        </row>
        <row r="148">
          <cell r="AI148" t="str">
            <v>SABANALARGA - ATLANTICO</v>
          </cell>
        </row>
        <row r="149">
          <cell r="AI149" t="str">
            <v>SANTA LUCÍA</v>
          </cell>
        </row>
        <row r="150">
          <cell r="AI150" t="str">
            <v>SANTO TOMAS</v>
          </cell>
        </row>
        <row r="151">
          <cell r="AI151" t="str">
            <v>SOLEDAD</v>
          </cell>
        </row>
        <row r="152">
          <cell r="AI152" t="str">
            <v>SUAN</v>
          </cell>
        </row>
        <row r="153">
          <cell r="AI153" t="str">
            <v>TUBARÁ</v>
          </cell>
        </row>
        <row r="154">
          <cell r="AI154" t="str">
            <v>USIACURÍ</v>
          </cell>
        </row>
        <row r="155">
          <cell r="AI155" t="str">
            <v>BOGOTÁ D.C.</v>
          </cell>
        </row>
        <row r="156">
          <cell r="AI156" t="str">
            <v>DEPARTAMENTO DE BOLIVAR</v>
          </cell>
        </row>
        <row r="157">
          <cell r="AI157" t="str">
            <v>CARTAGENA DE INDIAS, DISTRITO TURISTICO Y CULTURAL</v>
          </cell>
        </row>
        <row r="158">
          <cell r="AI158" t="str">
            <v>ACHÍ</v>
          </cell>
        </row>
        <row r="159">
          <cell r="AI159" t="str">
            <v>ALTO DEL ROSARIO</v>
          </cell>
        </row>
        <row r="160">
          <cell r="AI160" t="str">
            <v>ARENAL</v>
          </cell>
        </row>
        <row r="161">
          <cell r="AI161" t="str">
            <v>ARJONA</v>
          </cell>
        </row>
        <row r="162">
          <cell r="AI162" t="str">
            <v>ARROYOHONDO</v>
          </cell>
        </row>
        <row r="163">
          <cell r="AI163" t="str">
            <v>BARRANCO DE LOBA</v>
          </cell>
        </row>
        <row r="164">
          <cell r="AI164" t="str">
            <v>CALAMAR - BOLIVAR</v>
          </cell>
        </row>
        <row r="165">
          <cell r="AI165" t="str">
            <v>CANTAGALLO</v>
          </cell>
        </row>
        <row r="166">
          <cell r="AI166" t="str">
            <v>CICUCO</v>
          </cell>
        </row>
        <row r="167">
          <cell r="AI167" t="str">
            <v>CÓRDOBA - BOLIVAR</v>
          </cell>
        </row>
        <row r="168">
          <cell r="AI168" t="str">
            <v>CLEMENCIA</v>
          </cell>
        </row>
        <row r="169">
          <cell r="AI169" t="str">
            <v>EL CARMEN DE BOLIVAR</v>
          </cell>
        </row>
        <row r="170">
          <cell r="AI170" t="str">
            <v>EL GUAMO - BOLIVAR</v>
          </cell>
        </row>
        <row r="171">
          <cell r="AI171" t="str">
            <v>EL PEÑON - BOLIVAR</v>
          </cell>
        </row>
        <row r="172">
          <cell r="AI172" t="str">
            <v>HATILLO DE LOBA</v>
          </cell>
        </row>
        <row r="173">
          <cell r="AI173" t="str">
            <v>MAGANGUÉ</v>
          </cell>
        </row>
        <row r="174">
          <cell r="AI174" t="str">
            <v>MAHATES</v>
          </cell>
        </row>
        <row r="175">
          <cell r="AI175" t="str">
            <v>MARGARITA</v>
          </cell>
        </row>
        <row r="176">
          <cell r="AI176" t="str">
            <v>MARIA LA BAJA</v>
          </cell>
        </row>
        <row r="177">
          <cell r="AI177" t="str">
            <v>MONTECRISTO</v>
          </cell>
        </row>
        <row r="178">
          <cell r="AI178" t="str">
            <v>SANTA CRUZ DE MOMPÓX</v>
          </cell>
        </row>
        <row r="179">
          <cell r="AI179" t="str">
            <v>MORALES - BOLIVAR</v>
          </cell>
        </row>
        <row r="180">
          <cell r="AI180" t="str">
            <v>PINILLOS</v>
          </cell>
        </row>
        <row r="181">
          <cell r="AI181" t="str">
            <v>REGIDOR</v>
          </cell>
        </row>
        <row r="182">
          <cell r="AI182" t="str">
            <v>RIOVIEJO</v>
          </cell>
        </row>
        <row r="183">
          <cell r="AI183" t="str">
            <v>SAN CRISTÓBAL</v>
          </cell>
        </row>
        <row r="184">
          <cell r="AI184" t="str">
            <v>SAN ESTANISLAO</v>
          </cell>
        </row>
        <row r="185">
          <cell r="AI185" t="str">
            <v>SAN FERNANDO</v>
          </cell>
        </row>
        <row r="186">
          <cell r="AI186" t="str">
            <v>SAN JACINTO - BOLIVAR</v>
          </cell>
        </row>
        <row r="187">
          <cell r="AI187" t="str">
            <v>SAN JACINTO DEL CAUCA</v>
          </cell>
        </row>
        <row r="188">
          <cell r="AI188" t="str">
            <v>SAN JUAN NEPOMUCENO</v>
          </cell>
        </row>
        <row r="189">
          <cell r="AI189" t="str">
            <v>SAN MARTÍN DE LOBA</v>
          </cell>
        </row>
        <row r="190">
          <cell r="AI190" t="str">
            <v>SAN PABLO - BOLIVAR</v>
          </cell>
        </row>
        <row r="191">
          <cell r="AI191" t="str">
            <v>SANTA CATALINA - BOLIVAR</v>
          </cell>
        </row>
        <row r="192">
          <cell r="AI192" t="str">
            <v>SANTA ROSA NORTE</v>
          </cell>
        </row>
        <row r="193">
          <cell r="AI193" t="str">
            <v>SANTA ROSA DEL SUR</v>
          </cell>
        </row>
        <row r="194">
          <cell r="AI194" t="str">
            <v>SIMITÍ</v>
          </cell>
        </row>
        <row r="195">
          <cell r="AI195" t="str">
            <v>SOPLAVIENTO</v>
          </cell>
        </row>
        <row r="196">
          <cell r="AI196" t="str">
            <v>TALAIGUA NUEVO</v>
          </cell>
        </row>
        <row r="197">
          <cell r="AI197" t="str">
            <v>TIQUISIO</v>
          </cell>
        </row>
        <row r="198">
          <cell r="AI198" t="str">
            <v>TURBACO</v>
          </cell>
        </row>
        <row r="199">
          <cell r="AI199" t="str">
            <v>TURBANA</v>
          </cell>
        </row>
        <row r="200">
          <cell r="AI200" t="str">
            <v>VILLANUEVA - BOLIVAR</v>
          </cell>
        </row>
        <row r="201">
          <cell r="AI201" t="str">
            <v>ZAMBRANO</v>
          </cell>
        </row>
        <row r="202">
          <cell r="AI202" t="str">
            <v>DEPARTAMENTO DE BOYACÁ</v>
          </cell>
        </row>
        <row r="203">
          <cell r="AI203" t="str">
            <v>TUNJA</v>
          </cell>
        </row>
        <row r="204">
          <cell r="AI204" t="str">
            <v>ALMEIDA</v>
          </cell>
        </row>
        <row r="205">
          <cell r="AI205" t="str">
            <v>AQUITANIA</v>
          </cell>
        </row>
        <row r="206">
          <cell r="AI206" t="str">
            <v>ARCABUCO</v>
          </cell>
        </row>
        <row r="207">
          <cell r="AI207" t="str">
            <v>BELÉN - BOYACA</v>
          </cell>
        </row>
        <row r="208">
          <cell r="AI208" t="str">
            <v>BERBEO</v>
          </cell>
        </row>
        <row r="209">
          <cell r="AI209" t="str">
            <v>BETÉITIVA</v>
          </cell>
        </row>
        <row r="210">
          <cell r="AI210" t="str">
            <v>BOAVITA</v>
          </cell>
        </row>
        <row r="211">
          <cell r="AI211" t="str">
            <v>BOYACÁ</v>
          </cell>
        </row>
        <row r="212">
          <cell r="AI212" t="str">
            <v>BRICEÑO - BOYACA</v>
          </cell>
        </row>
        <row r="213">
          <cell r="AI213" t="str">
            <v>BUENAVISTA - BOYACA</v>
          </cell>
        </row>
        <row r="214">
          <cell r="AI214" t="str">
            <v>BUSBANZÁ</v>
          </cell>
        </row>
        <row r="215">
          <cell r="AI215" t="str">
            <v>CALDAS - BOYACA</v>
          </cell>
        </row>
        <row r="216">
          <cell r="AI216" t="str">
            <v>CAMPOHERMOSO</v>
          </cell>
        </row>
        <row r="217">
          <cell r="AI217" t="str">
            <v>CERINZA</v>
          </cell>
        </row>
        <row r="218">
          <cell r="AI218" t="str">
            <v>CHINAVITA</v>
          </cell>
        </row>
        <row r="219">
          <cell r="AI219" t="str">
            <v>CHIQUINQUIRÁ</v>
          </cell>
        </row>
        <row r="220">
          <cell r="AI220" t="str">
            <v>CHISCAS</v>
          </cell>
        </row>
        <row r="221">
          <cell r="AI221" t="str">
            <v>CHITA</v>
          </cell>
        </row>
        <row r="222">
          <cell r="AI222" t="str">
            <v>CHITARAQUE</v>
          </cell>
        </row>
        <row r="223">
          <cell r="AI223" t="str">
            <v>CHIVATÁ</v>
          </cell>
        </row>
        <row r="224">
          <cell r="AI224" t="str">
            <v>CIÉNEGA - BOYACA</v>
          </cell>
        </row>
        <row r="225">
          <cell r="AI225" t="str">
            <v>CÓMBITA</v>
          </cell>
        </row>
        <row r="226">
          <cell r="AI226" t="str">
            <v>COPER</v>
          </cell>
        </row>
        <row r="227">
          <cell r="AI227" t="str">
            <v>CORRALES</v>
          </cell>
        </row>
        <row r="228">
          <cell r="AI228" t="str">
            <v>COVARACHÍA</v>
          </cell>
        </row>
        <row r="229">
          <cell r="AI229" t="str">
            <v>CUBARÁ</v>
          </cell>
        </row>
        <row r="230">
          <cell r="AI230" t="str">
            <v>CUCAITA</v>
          </cell>
        </row>
        <row r="231">
          <cell r="AI231" t="str">
            <v>CUÍTIVA</v>
          </cell>
        </row>
        <row r="232">
          <cell r="AI232" t="str">
            <v>CHÍQUIZA (SAN PEDRO DE IGUAQUE)</v>
          </cell>
        </row>
        <row r="233">
          <cell r="AI233" t="str">
            <v>CHIVOR</v>
          </cell>
        </row>
        <row r="234">
          <cell r="AI234" t="str">
            <v>DUITAMA</v>
          </cell>
        </row>
        <row r="235">
          <cell r="AI235" t="str">
            <v>EL COCUY</v>
          </cell>
        </row>
        <row r="236">
          <cell r="AI236" t="str">
            <v>EL ESPINO</v>
          </cell>
        </row>
        <row r="237">
          <cell r="AI237" t="str">
            <v>FIRAVITOBA</v>
          </cell>
        </row>
        <row r="238">
          <cell r="AI238" t="str">
            <v>FLORESTA</v>
          </cell>
        </row>
        <row r="239">
          <cell r="AI239" t="str">
            <v>GACHANTIVÁ</v>
          </cell>
        </row>
        <row r="240">
          <cell r="AI240" t="str">
            <v>GÁMEZA</v>
          </cell>
        </row>
        <row r="241">
          <cell r="AI241" t="str">
            <v>GARAGOA</v>
          </cell>
        </row>
        <row r="242">
          <cell r="AI242" t="str">
            <v>GUACAMAYAS</v>
          </cell>
        </row>
        <row r="243">
          <cell r="AI243" t="str">
            <v>GUATEQUE</v>
          </cell>
        </row>
        <row r="244">
          <cell r="AI244" t="str">
            <v>GUAYATÁ</v>
          </cell>
        </row>
        <row r="245">
          <cell r="AI245" t="str">
            <v>GÜICÁN</v>
          </cell>
        </row>
        <row r="246">
          <cell r="AI246" t="str">
            <v>IZA</v>
          </cell>
        </row>
        <row r="247">
          <cell r="AI247" t="str">
            <v>JENESANO</v>
          </cell>
        </row>
        <row r="248">
          <cell r="AI248" t="str">
            <v>JERICÓ - BOYACA</v>
          </cell>
        </row>
        <row r="249">
          <cell r="AI249" t="str">
            <v>LABRANZAGRANDE</v>
          </cell>
        </row>
        <row r="250">
          <cell r="AI250" t="str">
            <v>LA CAPILLA</v>
          </cell>
        </row>
        <row r="251">
          <cell r="AI251" t="str">
            <v>LA VICTORIA -BOYACA</v>
          </cell>
        </row>
        <row r="252">
          <cell r="AI252" t="str">
            <v>LA UVITA</v>
          </cell>
        </row>
        <row r="253">
          <cell r="AI253" t="str">
            <v>VILLA DE LEYVA</v>
          </cell>
        </row>
        <row r="254">
          <cell r="AI254" t="str">
            <v>MACANAL</v>
          </cell>
        </row>
        <row r="255">
          <cell r="AI255" t="str">
            <v>MARIPÍ</v>
          </cell>
        </row>
        <row r="256">
          <cell r="AI256" t="str">
            <v>MIRAFLORES - BOYACÁ</v>
          </cell>
        </row>
        <row r="257">
          <cell r="AI257" t="str">
            <v>MONGUA</v>
          </cell>
        </row>
        <row r="258">
          <cell r="AI258" t="str">
            <v>MONGUÍ</v>
          </cell>
        </row>
        <row r="259">
          <cell r="AI259" t="str">
            <v>MONIQUIRÁ</v>
          </cell>
        </row>
        <row r="260">
          <cell r="AI260" t="str">
            <v>MOTAVITA</v>
          </cell>
        </row>
        <row r="261">
          <cell r="AI261" t="str">
            <v>MUZO</v>
          </cell>
        </row>
        <row r="262">
          <cell r="AI262" t="str">
            <v>NOBSA</v>
          </cell>
        </row>
        <row r="263">
          <cell r="AI263" t="str">
            <v>NUEVO COLÓN</v>
          </cell>
        </row>
        <row r="264">
          <cell r="AI264" t="str">
            <v>OICATÁ</v>
          </cell>
        </row>
        <row r="265">
          <cell r="AI265" t="str">
            <v>OTANCHE</v>
          </cell>
        </row>
        <row r="266">
          <cell r="AI266" t="str">
            <v>PACHAVITA</v>
          </cell>
        </row>
        <row r="267">
          <cell r="AI267" t="str">
            <v>PÁEZ - BOYACA</v>
          </cell>
        </row>
        <row r="268">
          <cell r="AI268" t="str">
            <v>PAIPA</v>
          </cell>
        </row>
        <row r="269">
          <cell r="AI269" t="str">
            <v>PAJARITO</v>
          </cell>
        </row>
        <row r="270">
          <cell r="AI270" t="str">
            <v>PANQUEBA</v>
          </cell>
        </row>
        <row r="271">
          <cell r="AI271" t="str">
            <v>PAUNA</v>
          </cell>
        </row>
        <row r="272">
          <cell r="AI272" t="str">
            <v>PAYA</v>
          </cell>
        </row>
        <row r="273">
          <cell r="AI273" t="str">
            <v>PAZ DEL RIO</v>
          </cell>
        </row>
        <row r="274">
          <cell r="AI274" t="str">
            <v>PESCA</v>
          </cell>
        </row>
        <row r="275">
          <cell r="AI275" t="str">
            <v>PISBA</v>
          </cell>
        </row>
        <row r="276">
          <cell r="AI276" t="str">
            <v>PUERTO BOYACÁ</v>
          </cell>
        </row>
        <row r="277">
          <cell r="AI277" t="str">
            <v>QUÍPAMA</v>
          </cell>
        </row>
        <row r="278">
          <cell r="AI278" t="str">
            <v>RAMIRIQUÍ</v>
          </cell>
        </row>
        <row r="279">
          <cell r="AI279" t="str">
            <v>RÁQUIRA</v>
          </cell>
        </row>
        <row r="280">
          <cell r="AI280" t="str">
            <v>RONDÓN</v>
          </cell>
        </row>
        <row r="281">
          <cell r="AI281" t="str">
            <v>SABOYÁ</v>
          </cell>
        </row>
        <row r="282">
          <cell r="AI282" t="str">
            <v>SÁCHICA</v>
          </cell>
        </row>
        <row r="283">
          <cell r="AI283" t="str">
            <v>SAMACÁ</v>
          </cell>
        </row>
        <row r="284">
          <cell r="AI284" t="str">
            <v>SAN EDUARDO</v>
          </cell>
        </row>
        <row r="285">
          <cell r="AI285" t="str">
            <v>SAN JOSÉ DE PARE</v>
          </cell>
        </row>
        <row r="286">
          <cell r="AI286" t="str">
            <v>SAN LUIS DE GACENO</v>
          </cell>
        </row>
        <row r="287">
          <cell r="AI287" t="str">
            <v>SAN MATEO</v>
          </cell>
        </row>
        <row r="288">
          <cell r="AI288" t="str">
            <v>SAN MIGUEL DE SEMA</v>
          </cell>
        </row>
        <row r="289">
          <cell r="AI289" t="str">
            <v>SAN PABLO DE BORBUR</v>
          </cell>
        </row>
        <row r="290">
          <cell r="AI290" t="str">
            <v>SANTANA</v>
          </cell>
        </row>
        <row r="291">
          <cell r="AI291" t="str">
            <v>SANTA MARÍA - BOYACÁ</v>
          </cell>
        </row>
        <row r="292">
          <cell r="AI292" t="str">
            <v>SANTA ROSA DE VITERBO</v>
          </cell>
        </row>
        <row r="293">
          <cell r="AI293" t="str">
            <v>SANTA SOFÍA</v>
          </cell>
        </row>
        <row r="294">
          <cell r="AI294" t="str">
            <v>SATIVANORTE</v>
          </cell>
        </row>
        <row r="295">
          <cell r="AI295" t="str">
            <v>SATIVASUR</v>
          </cell>
        </row>
        <row r="296">
          <cell r="AI296" t="str">
            <v>SIACHOQUE</v>
          </cell>
        </row>
        <row r="297">
          <cell r="AI297" t="str">
            <v>SOATÁ</v>
          </cell>
        </row>
        <row r="298">
          <cell r="AI298" t="str">
            <v>SOCOTÁ</v>
          </cell>
        </row>
        <row r="299">
          <cell r="AI299" t="str">
            <v>SOCHA</v>
          </cell>
        </row>
        <row r="300">
          <cell r="AI300" t="str">
            <v>SOGAMOSO</v>
          </cell>
        </row>
        <row r="301">
          <cell r="AI301" t="str">
            <v>SOMONDOCO</v>
          </cell>
        </row>
        <row r="302">
          <cell r="AI302" t="str">
            <v>SORA</v>
          </cell>
        </row>
        <row r="303">
          <cell r="AI303" t="str">
            <v>SOTAQUIRÁ</v>
          </cell>
        </row>
        <row r="304">
          <cell r="AI304" t="str">
            <v>SORACÁ</v>
          </cell>
        </row>
        <row r="305">
          <cell r="AI305" t="str">
            <v>SUSACÓN</v>
          </cell>
        </row>
        <row r="306">
          <cell r="AI306" t="str">
            <v>SUTAMARCHÁN</v>
          </cell>
        </row>
        <row r="307">
          <cell r="AI307" t="str">
            <v>SUTATENZA</v>
          </cell>
        </row>
        <row r="308">
          <cell r="AI308" t="str">
            <v>TASCO</v>
          </cell>
        </row>
        <row r="309">
          <cell r="AI309" t="str">
            <v>TENZA</v>
          </cell>
        </row>
        <row r="310">
          <cell r="AI310" t="str">
            <v>TIBANÁ</v>
          </cell>
        </row>
        <row r="311">
          <cell r="AI311" t="str">
            <v>TIBASOSA</v>
          </cell>
        </row>
        <row r="312">
          <cell r="AI312" t="str">
            <v>TINJACÁ</v>
          </cell>
        </row>
        <row r="313">
          <cell r="AI313" t="str">
            <v>TIPACOQUE</v>
          </cell>
        </row>
        <row r="314">
          <cell r="AI314" t="str">
            <v>TOCA</v>
          </cell>
        </row>
        <row r="315">
          <cell r="AI315" t="str">
            <v>TOGÜÍ</v>
          </cell>
        </row>
        <row r="316">
          <cell r="AI316" t="str">
            <v>TÓPAGA</v>
          </cell>
        </row>
        <row r="317">
          <cell r="AI317" t="str">
            <v>TOTA</v>
          </cell>
        </row>
        <row r="318">
          <cell r="AI318" t="str">
            <v>TUNUNGUÁ</v>
          </cell>
        </row>
        <row r="319">
          <cell r="AI319" t="str">
            <v>TURMEQUÉ</v>
          </cell>
        </row>
        <row r="320">
          <cell r="AI320" t="str">
            <v>TUTA</v>
          </cell>
        </row>
        <row r="321">
          <cell r="AI321" t="str">
            <v>TUTASÁ</v>
          </cell>
        </row>
        <row r="322">
          <cell r="AI322" t="str">
            <v>ÚMBITA</v>
          </cell>
        </row>
        <row r="323">
          <cell r="AI323" t="str">
            <v>VENTAQUEMADA</v>
          </cell>
        </row>
        <row r="324">
          <cell r="AI324" t="str">
            <v>VIRACACHÁ</v>
          </cell>
        </row>
        <row r="325">
          <cell r="AI325" t="str">
            <v>ZETAQUIRA</v>
          </cell>
        </row>
        <row r="326">
          <cell r="AI326" t="str">
            <v>DEPARTAMENTO DE CALDAS</v>
          </cell>
        </row>
        <row r="327">
          <cell r="AI327" t="str">
            <v>MANIZALES</v>
          </cell>
        </row>
        <row r="328">
          <cell r="AI328" t="str">
            <v>AGUADAS - CALDAS</v>
          </cell>
        </row>
        <row r="329">
          <cell r="AI329" t="str">
            <v>ANSERMA DE LOS CABALLEROS</v>
          </cell>
        </row>
        <row r="330">
          <cell r="AI330" t="str">
            <v>ARANZAZU</v>
          </cell>
        </row>
        <row r="331">
          <cell r="AI331" t="str">
            <v>BELALCÁZAR</v>
          </cell>
        </row>
        <row r="332">
          <cell r="AI332" t="str">
            <v>CHINCHINÁ</v>
          </cell>
        </row>
        <row r="333">
          <cell r="AI333" t="str">
            <v>FILADELFIA</v>
          </cell>
        </row>
        <row r="334">
          <cell r="AI334" t="str">
            <v>LA DORADA</v>
          </cell>
        </row>
        <row r="335">
          <cell r="AI335" t="str">
            <v>LA MERCED</v>
          </cell>
        </row>
        <row r="336">
          <cell r="AI336" t="str">
            <v>MANZANARES</v>
          </cell>
        </row>
        <row r="337">
          <cell r="AI337" t="str">
            <v>MARMATO</v>
          </cell>
        </row>
        <row r="338">
          <cell r="AI338" t="str">
            <v>MARQUETALIA</v>
          </cell>
        </row>
        <row r="339">
          <cell r="AI339" t="str">
            <v>MARULANDA</v>
          </cell>
        </row>
        <row r="340">
          <cell r="AI340" t="str">
            <v>NEIRA</v>
          </cell>
        </row>
        <row r="341">
          <cell r="AI341" t="str">
            <v>NORCASIA</v>
          </cell>
        </row>
        <row r="342">
          <cell r="AI342" t="str">
            <v>PÁCORA</v>
          </cell>
        </row>
        <row r="343">
          <cell r="AI343" t="str">
            <v>PALESTINA - CALDAS</v>
          </cell>
        </row>
        <row r="344">
          <cell r="AI344" t="str">
            <v>PENSILVANIA</v>
          </cell>
        </row>
        <row r="345">
          <cell r="AI345" t="str">
            <v>RIOSUCIO - CALDAS</v>
          </cell>
        </row>
        <row r="346">
          <cell r="AI346" t="str">
            <v>RISARALDA</v>
          </cell>
        </row>
        <row r="347">
          <cell r="AI347" t="str">
            <v>SALAMINA - CALDAS</v>
          </cell>
        </row>
        <row r="348">
          <cell r="AI348" t="str">
            <v>SAMANÁ</v>
          </cell>
        </row>
        <row r="349">
          <cell r="AI349" t="str">
            <v>SAN JOSÉ - CALDAS</v>
          </cell>
        </row>
        <row r="350">
          <cell r="AI350" t="str">
            <v>SUPÍA</v>
          </cell>
        </row>
        <row r="351">
          <cell r="AI351" t="str">
            <v>VICTORIA</v>
          </cell>
        </row>
        <row r="352">
          <cell r="AI352" t="str">
            <v>VILLAMARÍA</v>
          </cell>
        </row>
        <row r="353">
          <cell r="AI353" t="str">
            <v>VITERBO</v>
          </cell>
        </row>
        <row r="354">
          <cell r="AI354" t="str">
            <v>DEPARTAMENTO DEL CAQUETA</v>
          </cell>
        </row>
        <row r="355">
          <cell r="AI355" t="str">
            <v>FLORENCIA - CAQUETÁ</v>
          </cell>
        </row>
        <row r="356">
          <cell r="AI356" t="str">
            <v>ALBANIA - CAQUETA</v>
          </cell>
        </row>
        <row r="357">
          <cell r="AI357" t="str">
            <v>BELÉN DE LOS ANDAQUÍES</v>
          </cell>
        </row>
        <row r="358">
          <cell r="AI358" t="str">
            <v>CARTAGENA DEL CHAIRÁ</v>
          </cell>
        </row>
        <row r="359">
          <cell r="AI359" t="str">
            <v>CURILLO</v>
          </cell>
        </row>
        <row r="360">
          <cell r="AI360" t="str">
            <v>EL DONCELLO</v>
          </cell>
        </row>
        <row r="361">
          <cell r="AI361" t="str">
            <v>EL PAUJIL</v>
          </cell>
        </row>
        <row r="362">
          <cell r="AI362" t="str">
            <v>LA MONTAÑITA</v>
          </cell>
        </row>
        <row r="363">
          <cell r="AI363" t="str">
            <v>MILÁN</v>
          </cell>
        </row>
        <row r="364">
          <cell r="AI364" t="str">
            <v>MORELIA</v>
          </cell>
        </row>
        <row r="365">
          <cell r="AI365" t="str">
            <v>PUERTO RICO - CAQUETA</v>
          </cell>
        </row>
        <row r="366">
          <cell r="AI366" t="str">
            <v>SAN JOSÉ DE LA FRAGUA</v>
          </cell>
        </row>
        <row r="367">
          <cell r="AI367" t="str">
            <v>SAN VICENTE DEL CAGUÁN</v>
          </cell>
        </row>
        <row r="368">
          <cell r="AI368" t="str">
            <v>SOLANO</v>
          </cell>
        </row>
        <row r="369">
          <cell r="AI369" t="str">
            <v>SOLITA</v>
          </cell>
        </row>
        <row r="370">
          <cell r="AI370" t="str">
            <v>VALPARAÍSO - CAQUETÁ</v>
          </cell>
        </row>
        <row r="371">
          <cell r="AI371" t="str">
            <v>DEPARTAMENTO DEL CAUCA</v>
          </cell>
        </row>
        <row r="372">
          <cell r="AI372" t="str">
            <v>POPAYÁN</v>
          </cell>
        </row>
        <row r="373">
          <cell r="AI373" t="str">
            <v>ARGELIA - CAUCA</v>
          </cell>
        </row>
        <row r="374">
          <cell r="AI374" t="str">
            <v>BALBOA - CAUCA</v>
          </cell>
        </row>
        <row r="375">
          <cell r="AI375" t="str">
            <v>BOLÍVAR - CAUCA</v>
          </cell>
        </row>
        <row r="376">
          <cell r="AI376" t="str">
            <v>BUENOS AIRES</v>
          </cell>
        </row>
        <row r="377">
          <cell r="AI377" t="str">
            <v>CAJIBÍO</v>
          </cell>
        </row>
        <row r="378">
          <cell r="AI378" t="str">
            <v>CALDONO</v>
          </cell>
        </row>
        <row r="379">
          <cell r="AI379" t="str">
            <v>CALOTO</v>
          </cell>
        </row>
        <row r="380">
          <cell r="AI380" t="str">
            <v>CORINTO</v>
          </cell>
        </row>
        <row r="381">
          <cell r="AI381" t="str">
            <v>EL TAMBO - CAUCA</v>
          </cell>
        </row>
        <row r="382">
          <cell r="AI382" t="str">
            <v>FLORENCIA - CAUCA</v>
          </cell>
        </row>
        <row r="383">
          <cell r="AI383" t="str">
            <v>GUAPI</v>
          </cell>
        </row>
        <row r="384">
          <cell r="AI384" t="str">
            <v>INZÁ</v>
          </cell>
        </row>
        <row r="385">
          <cell r="AI385" t="str">
            <v>JAMBALÓ</v>
          </cell>
        </row>
        <row r="386">
          <cell r="AI386" t="str">
            <v>LA SIERRA</v>
          </cell>
        </row>
        <row r="387">
          <cell r="AI387" t="str">
            <v>LA VEGA - CAUCA</v>
          </cell>
        </row>
        <row r="388">
          <cell r="AI388" t="str">
            <v>LÓPEZ DE MICAY</v>
          </cell>
        </row>
        <row r="389">
          <cell r="AI389" t="str">
            <v>MERCADERES</v>
          </cell>
        </row>
        <row r="390">
          <cell r="AI390" t="str">
            <v>MIRANDA</v>
          </cell>
        </row>
        <row r="391">
          <cell r="AI391" t="str">
            <v>MORALES - CAUCA</v>
          </cell>
        </row>
        <row r="392">
          <cell r="AI392" t="str">
            <v>PADILLA</v>
          </cell>
        </row>
        <row r="393">
          <cell r="AI393" t="str">
            <v>PÁEZ (BELALCÁZAR) - CAUCA</v>
          </cell>
        </row>
        <row r="394">
          <cell r="AI394" t="str">
            <v>PATÍA (EL BORDO)</v>
          </cell>
        </row>
        <row r="395">
          <cell r="AI395" t="str">
            <v>PIAMONTE</v>
          </cell>
        </row>
        <row r="396">
          <cell r="AI396" t="str">
            <v>PIENDAMÓ</v>
          </cell>
        </row>
        <row r="397">
          <cell r="AI397" t="str">
            <v>PUERTO TEJADA</v>
          </cell>
        </row>
        <row r="398">
          <cell r="AI398" t="str">
            <v>PURACÉ (COCONUCO)</v>
          </cell>
        </row>
        <row r="399">
          <cell r="AI399" t="str">
            <v>ROSAS</v>
          </cell>
        </row>
        <row r="400">
          <cell r="AI400" t="str">
            <v>SAN SEBASTIÁN</v>
          </cell>
        </row>
        <row r="401">
          <cell r="AI401" t="str">
            <v>SANTANDER DE QUILICHAO</v>
          </cell>
        </row>
        <row r="402">
          <cell r="AI402" t="str">
            <v>SANTA ROSA - CAUCA</v>
          </cell>
        </row>
        <row r="403">
          <cell r="AI403" t="str">
            <v>SILVIA</v>
          </cell>
        </row>
        <row r="404">
          <cell r="AI404" t="str">
            <v>SOTARÁ (PAISPAMBA)</v>
          </cell>
        </row>
        <row r="405">
          <cell r="AI405" t="str">
            <v>SUÁREZ - CAUCA</v>
          </cell>
        </row>
        <row r="406">
          <cell r="AI406" t="str">
            <v>SUCRE - CAUCA</v>
          </cell>
        </row>
        <row r="407">
          <cell r="AI407" t="str">
            <v>TIMBÍO</v>
          </cell>
        </row>
        <row r="408">
          <cell r="AI408" t="str">
            <v>TIMBIQUÍ</v>
          </cell>
        </row>
        <row r="409">
          <cell r="AI409" t="str">
            <v>TORIBÍO</v>
          </cell>
        </row>
        <row r="410">
          <cell r="AI410" t="str">
            <v>TOTORÓ</v>
          </cell>
        </row>
        <row r="411">
          <cell r="AI411" t="str">
            <v>VILLARRICA - CAUCA</v>
          </cell>
        </row>
        <row r="412">
          <cell r="AI412" t="str">
            <v>DEPARTAMENTO DEL CESAR</v>
          </cell>
        </row>
        <row r="413">
          <cell r="AI413" t="str">
            <v>VALLEDUPAR</v>
          </cell>
        </row>
        <row r="414">
          <cell r="AI414" t="str">
            <v>AGUACHICA</v>
          </cell>
        </row>
        <row r="415">
          <cell r="AI415" t="str">
            <v>AGUSTÍN CODAZZI</v>
          </cell>
        </row>
        <row r="416">
          <cell r="AI416" t="str">
            <v>ASTREA</v>
          </cell>
        </row>
        <row r="417">
          <cell r="AI417" t="str">
            <v>BECERRIL</v>
          </cell>
        </row>
        <row r="418">
          <cell r="AI418" t="str">
            <v>BOSCONIA</v>
          </cell>
        </row>
        <row r="419">
          <cell r="AI419" t="str">
            <v>CHIMICHAGUA</v>
          </cell>
        </row>
        <row r="420">
          <cell r="AI420" t="str">
            <v>CHIRIGUANÁ</v>
          </cell>
        </row>
        <row r="421">
          <cell r="AI421" t="str">
            <v>CURUMANÍ</v>
          </cell>
        </row>
        <row r="422">
          <cell r="AI422" t="str">
            <v>EL COPEY</v>
          </cell>
        </row>
        <row r="423">
          <cell r="AI423" t="str">
            <v>EL PASO</v>
          </cell>
        </row>
        <row r="424">
          <cell r="AI424" t="str">
            <v>GAMARRA</v>
          </cell>
        </row>
        <row r="425">
          <cell r="AI425" t="str">
            <v>GONZÁLEZ</v>
          </cell>
        </row>
        <row r="426">
          <cell r="AI426" t="str">
            <v>LA GLORIA</v>
          </cell>
        </row>
        <row r="427">
          <cell r="AI427" t="str">
            <v>LA JAGUA DE IBIRICO</v>
          </cell>
        </row>
        <row r="428">
          <cell r="AI428" t="str">
            <v>MANAURE (BALCÓN DEL CESAR)</v>
          </cell>
        </row>
        <row r="429">
          <cell r="AI429" t="str">
            <v>PAILITAS</v>
          </cell>
        </row>
        <row r="430">
          <cell r="AI430" t="str">
            <v>PELAYA</v>
          </cell>
        </row>
        <row r="431">
          <cell r="AI431" t="str">
            <v>PUEBLO BELLO</v>
          </cell>
        </row>
        <row r="432">
          <cell r="AI432" t="str">
            <v>RÍO DE ORO</v>
          </cell>
        </row>
        <row r="433">
          <cell r="AI433" t="str">
            <v>LA PAZ (ROBLES) - CESAR</v>
          </cell>
        </row>
        <row r="434">
          <cell r="AI434" t="str">
            <v>SAN ALBERTO</v>
          </cell>
        </row>
        <row r="435">
          <cell r="AI435" t="str">
            <v>SAN DIEGO</v>
          </cell>
        </row>
        <row r="436">
          <cell r="AI436" t="str">
            <v>SAN MARTÍN - CESAR</v>
          </cell>
        </row>
        <row r="437">
          <cell r="AI437" t="str">
            <v>TAMALAMEQUE</v>
          </cell>
        </row>
        <row r="438">
          <cell r="AI438" t="str">
            <v>DEPARTAMENTO DE CÓRDOBA</v>
          </cell>
        </row>
        <row r="439">
          <cell r="AI439" t="str">
            <v>MONTERÍA</v>
          </cell>
        </row>
        <row r="440">
          <cell r="AI440" t="str">
            <v>AYAPEL</v>
          </cell>
        </row>
        <row r="441">
          <cell r="AI441" t="str">
            <v>BUENAVISTA - CORDOBA</v>
          </cell>
        </row>
        <row r="442">
          <cell r="AI442" t="str">
            <v>CANALETE</v>
          </cell>
        </row>
        <row r="443">
          <cell r="AI443" t="str">
            <v>CERETÉ</v>
          </cell>
        </row>
        <row r="444">
          <cell r="AI444" t="str">
            <v>CHIMÁ - CORDOBA</v>
          </cell>
        </row>
        <row r="445">
          <cell r="AI445" t="str">
            <v>CHINÚ</v>
          </cell>
        </row>
        <row r="446">
          <cell r="AI446" t="str">
            <v>CIÉNAGA DE ORO</v>
          </cell>
        </row>
        <row r="447">
          <cell r="AI447" t="str">
            <v>COTORRA</v>
          </cell>
        </row>
        <row r="448">
          <cell r="AI448" t="str">
            <v>LA APARTADA</v>
          </cell>
        </row>
        <row r="449">
          <cell r="AI449" t="str">
            <v>SANTA CRUZ DE LORICA</v>
          </cell>
        </row>
        <row r="450">
          <cell r="AI450" t="str">
            <v>LOS CÓRDOBAS</v>
          </cell>
        </row>
        <row r="451">
          <cell r="AI451" t="str">
            <v>MOMÍL</v>
          </cell>
        </row>
        <row r="452">
          <cell r="AI452" t="str">
            <v>MONTELÍBANO</v>
          </cell>
        </row>
        <row r="453">
          <cell r="AI453" t="str">
            <v>MOÑITOS</v>
          </cell>
        </row>
        <row r="454">
          <cell r="AI454" t="str">
            <v>PLANETA RICA</v>
          </cell>
        </row>
        <row r="455">
          <cell r="AI455" t="str">
            <v>PUEBLO NUEVO</v>
          </cell>
        </row>
        <row r="456">
          <cell r="AI456" t="str">
            <v>PUERTO ESCONDIDO</v>
          </cell>
        </row>
        <row r="457">
          <cell r="AI457" t="str">
            <v>PUERTO LIBERTADOR</v>
          </cell>
        </row>
        <row r="458">
          <cell r="AI458" t="str">
            <v>PURÍSIMA</v>
          </cell>
        </row>
        <row r="459">
          <cell r="AI459" t="str">
            <v>SAHAGÚN</v>
          </cell>
        </row>
        <row r="460">
          <cell r="AI460" t="str">
            <v>SAN ANDRÉS DE SOTAVENTO</v>
          </cell>
        </row>
        <row r="461">
          <cell r="AI461" t="str">
            <v>SAN ANTERO</v>
          </cell>
        </row>
        <row r="462">
          <cell r="AI462" t="str">
            <v>SAN BERNARDO DEL VIENTO</v>
          </cell>
        </row>
        <row r="463">
          <cell r="AI463" t="str">
            <v>SAN CARLOS - CORDOBA</v>
          </cell>
        </row>
        <row r="464">
          <cell r="AI464" t="str">
            <v>SAN PELAYO</v>
          </cell>
        </row>
        <row r="465">
          <cell r="AI465" t="str">
            <v>TIERRALTA</v>
          </cell>
        </row>
        <row r="466">
          <cell r="AI466" t="str">
            <v>VALENCIA</v>
          </cell>
        </row>
        <row r="467">
          <cell r="AI467" t="str">
            <v>DEPARTAMENTO DE CUNDINAMARCA</v>
          </cell>
        </row>
        <row r="468">
          <cell r="AI468" t="str">
            <v>AGUA DE DIOS</v>
          </cell>
        </row>
        <row r="469">
          <cell r="AI469" t="str">
            <v>ALBÁN</v>
          </cell>
        </row>
        <row r="470">
          <cell r="AI470" t="str">
            <v>ANAPOIMA</v>
          </cell>
        </row>
        <row r="471">
          <cell r="AI471" t="str">
            <v>ANOLAIMA</v>
          </cell>
        </row>
        <row r="472">
          <cell r="AI472" t="str">
            <v>ARBELÁEZ</v>
          </cell>
        </row>
        <row r="473">
          <cell r="AI473" t="str">
            <v>BELTRÁN</v>
          </cell>
        </row>
        <row r="474">
          <cell r="AI474" t="str">
            <v>BITUIMA</v>
          </cell>
        </row>
        <row r="475">
          <cell r="AI475" t="str">
            <v>BOJACÁ</v>
          </cell>
        </row>
        <row r="476">
          <cell r="AI476" t="str">
            <v>CABRERA - CUNDINAMARCA</v>
          </cell>
        </row>
        <row r="477">
          <cell r="AI477" t="str">
            <v>CACHIPAY</v>
          </cell>
        </row>
        <row r="478">
          <cell r="AI478" t="str">
            <v>CAJICA</v>
          </cell>
        </row>
        <row r="479">
          <cell r="AI479" t="str">
            <v>CAPARRAPÍ</v>
          </cell>
        </row>
        <row r="480">
          <cell r="AI480" t="str">
            <v>CÁQUEZA</v>
          </cell>
        </row>
        <row r="481">
          <cell r="AI481" t="str">
            <v>CARMEN DE CARUPA</v>
          </cell>
        </row>
        <row r="482">
          <cell r="AI482" t="str">
            <v>CHAGUANÍ</v>
          </cell>
        </row>
        <row r="483">
          <cell r="AI483" t="str">
            <v>CHIA</v>
          </cell>
        </row>
        <row r="484">
          <cell r="AI484" t="str">
            <v>CHIPAQUE</v>
          </cell>
        </row>
        <row r="485">
          <cell r="AI485" t="str">
            <v>CHOACHÍ</v>
          </cell>
        </row>
        <row r="486">
          <cell r="AI486" t="str">
            <v>CHOCONTÁ</v>
          </cell>
        </row>
        <row r="487">
          <cell r="AI487" t="str">
            <v>COGUA</v>
          </cell>
        </row>
        <row r="488">
          <cell r="AI488" t="str">
            <v>COTA</v>
          </cell>
        </row>
        <row r="489">
          <cell r="AI489" t="str">
            <v>CUCUNUBÁ</v>
          </cell>
        </row>
        <row r="490">
          <cell r="AI490" t="str">
            <v>MESITAS DEL COLEGIO</v>
          </cell>
        </row>
        <row r="491">
          <cell r="AI491" t="str">
            <v>EL PEÑÓN - CUNDINAMARCA</v>
          </cell>
        </row>
        <row r="492">
          <cell r="AI492" t="str">
            <v>EL ROSAL</v>
          </cell>
        </row>
        <row r="493">
          <cell r="AI493" t="str">
            <v>FACATATIVÁ</v>
          </cell>
        </row>
        <row r="494">
          <cell r="AI494" t="str">
            <v>FÓMEQUE</v>
          </cell>
        </row>
        <row r="495">
          <cell r="AI495" t="str">
            <v>FOSCA</v>
          </cell>
        </row>
        <row r="496">
          <cell r="AI496" t="str">
            <v>FUNZA</v>
          </cell>
        </row>
        <row r="497">
          <cell r="AI497" t="str">
            <v>FÚQUENE</v>
          </cell>
        </row>
        <row r="498">
          <cell r="AI498" t="str">
            <v>FUSAGASUGÁ</v>
          </cell>
        </row>
        <row r="499">
          <cell r="AI499" t="str">
            <v>GACHALÁ</v>
          </cell>
        </row>
        <row r="500">
          <cell r="AI500" t="str">
            <v>GACHANCIPÁ</v>
          </cell>
        </row>
        <row r="501">
          <cell r="AI501" t="str">
            <v>GACHETÁ</v>
          </cell>
        </row>
        <row r="502">
          <cell r="AI502" t="str">
            <v>GAMA</v>
          </cell>
        </row>
        <row r="503">
          <cell r="AI503" t="str">
            <v>GIRARDOT</v>
          </cell>
        </row>
        <row r="504">
          <cell r="AI504" t="str">
            <v>GRANADA - CUNDINAMARCA</v>
          </cell>
        </row>
        <row r="505">
          <cell r="AI505" t="str">
            <v>GUACHETÁ</v>
          </cell>
        </row>
        <row r="506">
          <cell r="AI506" t="str">
            <v>GUADUAS</v>
          </cell>
        </row>
        <row r="507">
          <cell r="AI507" t="str">
            <v>GUASCA</v>
          </cell>
        </row>
        <row r="508">
          <cell r="AI508" t="str">
            <v>GUATAQUÍ</v>
          </cell>
        </row>
        <row r="509">
          <cell r="AI509" t="str">
            <v>GUATAVITA</v>
          </cell>
        </row>
        <row r="510">
          <cell r="AI510" t="str">
            <v>GUAYABAL DE SÍQUIMA</v>
          </cell>
        </row>
        <row r="511">
          <cell r="AI511" t="str">
            <v>GUAYABETAL</v>
          </cell>
        </row>
        <row r="512">
          <cell r="AI512" t="str">
            <v>GUTIÉRREZ</v>
          </cell>
        </row>
        <row r="513">
          <cell r="AI513" t="str">
            <v>JERUSALÉN</v>
          </cell>
        </row>
        <row r="514">
          <cell r="AI514" t="str">
            <v>JUNÍN</v>
          </cell>
        </row>
        <row r="515">
          <cell r="AI515" t="str">
            <v>LA CALERA</v>
          </cell>
        </row>
        <row r="516">
          <cell r="AI516" t="str">
            <v>LA MESA</v>
          </cell>
        </row>
        <row r="517">
          <cell r="AI517" t="str">
            <v>LA PALMA</v>
          </cell>
        </row>
        <row r="518">
          <cell r="AI518" t="str">
            <v>LA PEÑA</v>
          </cell>
        </row>
        <row r="519">
          <cell r="AI519" t="str">
            <v>LA VEGA - CUNDINAMARCA</v>
          </cell>
        </row>
        <row r="520">
          <cell r="AI520" t="str">
            <v>LENGUAZAQUE</v>
          </cell>
        </row>
        <row r="521">
          <cell r="AI521" t="str">
            <v>MACHETÁ</v>
          </cell>
        </row>
        <row r="522">
          <cell r="AI522" t="str">
            <v>MADRID - CUNDINAMARCA</v>
          </cell>
        </row>
        <row r="523">
          <cell r="AI523" t="str">
            <v>MANTA</v>
          </cell>
        </row>
        <row r="524">
          <cell r="AI524" t="str">
            <v>MEDINA</v>
          </cell>
        </row>
        <row r="525">
          <cell r="AI525" t="str">
            <v>MOSQUERA - CUNDINAMARCA</v>
          </cell>
        </row>
        <row r="526">
          <cell r="AI526" t="str">
            <v>NARIÑO - CUNDINAMARCA</v>
          </cell>
        </row>
        <row r="527">
          <cell r="AI527" t="str">
            <v>NEMOCÓN</v>
          </cell>
        </row>
        <row r="528">
          <cell r="AI528" t="str">
            <v>NILO</v>
          </cell>
        </row>
        <row r="529">
          <cell r="AI529" t="str">
            <v>NIMAIMA</v>
          </cell>
        </row>
        <row r="530">
          <cell r="AI530" t="str">
            <v>NOCAIMA</v>
          </cell>
        </row>
        <row r="531">
          <cell r="AI531" t="str">
            <v>VENECIA - CUNDINAMARCA</v>
          </cell>
        </row>
        <row r="532">
          <cell r="AI532" t="str">
            <v>PACHO</v>
          </cell>
        </row>
        <row r="533">
          <cell r="AI533" t="str">
            <v>PAIME</v>
          </cell>
        </row>
        <row r="534">
          <cell r="AI534" t="str">
            <v>PANDI</v>
          </cell>
        </row>
        <row r="535">
          <cell r="AI535" t="str">
            <v>PARATEBUENO</v>
          </cell>
        </row>
        <row r="536">
          <cell r="AI536" t="str">
            <v>PASCA</v>
          </cell>
        </row>
        <row r="537">
          <cell r="AI537" t="str">
            <v>PUERTO SALGAR</v>
          </cell>
        </row>
        <row r="538">
          <cell r="AI538" t="str">
            <v>PULÍ</v>
          </cell>
        </row>
        <row r="539">
          <cell r="AI539" t="str">
            <v>QUEBRADANEGRA</v>
          </cell>
        </row>
        <row r="540">
          <cell r="AI540" t="str">
            <v>QUETAME</v>
          </cell>
        </row>
        <row r="541">
          <cell r="AI541" t="str">
            <v>QUIPILE</v>
          </cell>
        </row>
        <row r="542">
          <cell r="AI542" t="str">
            <v>APULO - RAFAEL REYES</v>
          </cell>
        </row>
        <row r="543">
          <cell r="AI543" t="str">
            <v>RICAURTE - CUNDINAMARCA</v>
          </cell>
        </row>
        <row r="544">
          <cell r="AI544" t="str">
            <v>SAN ANTONIO DEL TEQUENDAMA</v>
          </cell>
        </row>
        <row r="545">
          <cell r="AI545" t="str">
            <v>SAN BERNARDO - CUNDINAMARCA</v>
          </cell>
        </row>
        <row r="546">
          <cell r="AI546" t="str">
            <v>SAN CAYETANO - CUNDINAMARCA</v>
          </cell>
        </row>
        <row r="547">
          <cell r="AI547" t="str">
            <v>SAN FRANCISCO - CUNDINAMARCA</v>
          </cell>
        </row>
        <row r="548">
          <cell r="AI548" t="str">
            <v>SAN JUAN DE RIO SECO</v>
          </cell>
        </row>
        <row r="549">
          <cell r="AI549" t="str">
            <v>SASAIMA</v>
          </cell>
        </row>
        <row r="550">
          <cell r="AI550" t="str">
            <v>SESQUILÉ</v>
          </cell>
        </row>
        <row r="551">
          <cell r="AI551" t="str">
            <v>SIBATÉ</v>
          </cell>
        </row>
        <row r="552">
          <cell r="AI552" t="str">
            <v>SILVANIA</v>
          </cell>
        </row>
        <row r="553">
          <cell r="AI553" t="str">
            <v>SIMIJACA</v>
          </cell>
        </row>
        <row r="554">
          <cell r="AI554" t="str">
            <v>SOACHA</v>
          </cell>
        </row>
        <row r="555">
          <cell r="AI555" t="str">
            <v>SOPÓ</v>
          </cell>
        </row>
        <row r="556">
          <cell r="AI556" t="str">
            <v>SUBACHOQUE</v>
          </cell>
        </row>
        <row r="557">
          <cell r="AI557" t="str">
            <v>SUESCA</v>
          </cell>
        </row>
        <row r="558">
          <cell r="AI558" t="str">
            <v>SUPATÁ</v>
          </cell>
        </row>
        <row r="559">
          <cell r="AI559" t="str">
            <v>SUSA</v>
          </cell>
        </row>
        <row r="560">
          <cell r="AI560" t="str">
            <v>SUTATAUSA</v>
          </cell>
        </row>
        <row r="561">
          <cell r="AI561" t="str">
            <v>TABIO</v>
          </cell>
        </row>
        <row r="562">
          <cell r="AI562" t="str">
            <v>TAUSA</v>
          </cell>
        </row>
        <row r="563">
          <cell r="AI563" t="str">
            <v>TENA</v>
          </cell>
        </row>
        <row r="564">
          <cell r="AI564" t="str">
            <v>TENJO</v>
          </cell>
        </row>
        <row r="565">
          <cell r="AI565" t="str">
            <v>TIBACUY</v>
          </cell>
        </row>
        <row r="566">
          <cell r="AI566" t="str">
            <v>TIBIRITA</v>
          </cell>
        </row>
        <row r="567">
          <cell r="AI567" t="str">
            <v>TOCAIMA</v>
          </cell>
        </row>
        <row r="568">
          <cell r="AI568" t="str">
            <v>TOCANCIPÁ</v>
          </cell>
        </row>
        <row r="569">
          <cell r="AI569" t="str">
            <v>TOPAIPÍ</v>
          </cell>
        </row>
        <row r="570">
          <cell r="AI570" t="str">
            <v>UBALÁ</v>
          </cell>
        </row>
        <row r="571">
          <cell r="AI571" t="str">
            <v>UBAQUE</v>
          </cell>
        </row>
        <row r="572">
          <cell r="AI572" t="str">
            <v>UBATÉ</v>
          </cell>
        </row>
        <row r="573">
          <cell r="AI573" t="str">
            <v>UNE</v>
          </cell>
        </row>
        <row r="574">
          <cell r="AI574" t="str">
            <v>ÚTICA</v>
          </cell>
        </row>
        <row r="575">
          <cell r="AI575" t="str">
            <v>VERGARA</v>
          </cell>
        </row>
        <row r="576">
          <cell r="AI576" t="str">
            <v>VIANÍ</v>
          </cell>
        </row>
        <row r="577">
          <cell r="AI577" t="str">
            <v>VILLAGÓMEZ</v>
          </cell>
        </row>
        <row r="578">
          <cell r="AI578" t="str">
            <v>VILLAPINZÓN</v>
          </cell>
        </row>
        <row r="579">
          <cell r="AI579" t="str">
            <v>VILLETA</v>
          </cell>
        </row>
        <row r="580">
          <cell r="AI580" t="str">
            <v>VIOTÁ</v>
          </cell>
        </row>
        <row r="581">
          <cell r="AI581" t="str">
            <v>YACOPÍ</v>
          </cell>
        </row>
        <row r="582">
          <cell r="AI582" t="str">
            <v>ZIPACÓN</v>
          </cell>
        </row>
        <row r="583">
          <cell r="AI583" t="str">
            <v>ZIPAQUIRÁ</v>
          </cell>
        </row>
        <row r="584">
          <cell r="AI584" t="str">
            <v>DEPARTAMENTO DEL CHOCO</v>
          </cell>
        </row>
        <row r="585">
          <cell r="AI585" t="str">
            <v>QUIBDÓ</v>
          </cell>
        </row>
        <row r="586">
          <cell r="AI586" t="str">
            <v>ACANDÍ</v>
          </cell>
        </row>
        <row r="587">
          <cell r="AI587" t="str">
            <v>ALTO BAUDÓ  (PIE DE PATO)</v>
          </cell>
        </row>
        <row r="588">
          <cell r="AI588" t="str">
            <v>ATRATO</v>
          </cell>
        </row>
        <row r="589">
          <cell r="AI589" t="str">
            <v>BAGADÓ</v>
          </cell>
        </row>
        <row r="590">
          <cell r="AI590" t="str">
            <v>BAHÍA SOLANO - CIUDAD MUTIS</v>
          </cell>
        </row>
        <row r="591">
          <cell r="AI591" t="str">
            <v>BAJO BAUDÓ - PIZARRO</v>
          </cell>
        </row>
        <row r="592">
          <cell r="AI592" t="str">
            <v>BOJAYÁ  (BELLAVISTA)</v>
          </cell>
        </row>
        <row r="593">
          <cell r="AI593" t="str">
            <v>EL CANTÓN DE SAN PABLO (MANAGRÚ)</v>
          </cell>
        </row>
        <row r="594">
          <cell r="AI594" t="str">
            <v>CARMEN DEL DARIEN</v>
          </cell>
        </row>
        <row r="595">
          <cell r="AI595" t="str">
            <v>CERTEGUÍ</v>
          </cell>
        </row>
        <row r="596">
          <cell r="AI596" t="str">
            <v>CONDOTO</v>
          </cell>
        </row>
        <row r="597">
          <cell r="AI597" t="str">
            <v>EL CARMEN DE ATRATO</v>
          </cell>
        </row>
        <row r="598">
          <cell r="AI598" t="str">
            <v>LITORAL DEL SAN JUAN  (SANTA GENOVEVA DE D.)</v>
          </cell>
        </row>
        <row r="599">
          <cell r="AI599" t="str">
            <v>ISTMINA</v>
          </cell>
        </row>
        <row r="600">
          <cell r="AI600" t="str">
            <v>JURADÓ</v>
          </cell>
        </row>
        <row r="601">
          <cell r="AI601" t="str">
            <v>LLORÓ</v>
          </cell>
        </row>
        <row r="602">
          <cell r="AI602" t="str">
            <v>MEDIO ATRATO</v>
          </cell>
        </row>
        <row r="603">
          <cell r="AI603" t="str">
            <v>MEDIO BAUDÓ</v>
          </cell>
        </row>
        <row r="604">
          <cell r="AI604" t="str">
            <v>MEDIO SAN JUAN</v>
          </cell>
        </row>
        <row r="605">
          <cell r="AI605" t="str">
            <v>NÓVITA</v>
          </cell>
        </row>
        <row r="606">
          <cell r="AI606" t="str">
            <v>NUQUÍ</v>
          </cell>
        </row>
        <row r="607">
          <cell r="AI607" t="str">
            <v>RIO IRÓ</v>
          </cell>
        </row>
        <row r="608">
          <cell r="AI608" t="str">
            <v>RIO QUITO</v>
          </cell>
        </row>
        <row r="609">
          <cell r="AI609" t="str">
            <v>RIOSUCIO - CHOCÓ</v>
          </cell>
        </row>
        <row r="610">
          <cell r="AI610" t="str">
            <v>SAN JOSÉ DEL PALMAR</v>
          </cell>
        </row>
        <row r="611">
          <cell r="AI611" t="str">
            <v>SIPÍ</v>
          </cell>
        </row>
        <row r="612">
          <cell r="AI612" t="str">
            <v>TADÓ</v>
          </cell>
        </row>
        <row r="613">
          <cell r="AI613" t="str">
            <v>UNGUÍA</v>
          </cell>
        </row>
        <row r="614">
          <cell r="AI614" t="str">
            <v>UNIÓN PANAMERICANA</v>
          </cell>
        </row>
        <row r="615">
          <cell r="AI615" t="str">
            <v>DEPARTAMENTO DEL HUILA</v>
          </cell>
        </row>
        <row r="616">
          <cell r="AI616" t="str">
            <v>NEIVA</v>
          </cell>
        </row>
        <row r="617">
          <cell r="AI617" t="str">
            <v>ACEVEDO</v>
          </cell>
        </row>
        <row r="618">
          <cell r="AI618" t="str">
            <v>EL AGRADO</v>
          </cell>
        </row>
        <row r="619">
          <cell r="AI619" t="str">
            <v>AIPE</v>
          </cell>
        </row>
        <row r="620">
          <cell r="AI620" t="str">
            <v>ALGECIRAS</v>
          </cell>
        </row>
        <row r="621">
          <cell r="AI621" t="str">
            <v>ALTAMIRA</v>
          </cell>
        </row>
        <row r="622">
          <cell r="AI622" t="str">
            <v>BARAYA</v>
          </cell>
        </row>
        <row r="623">
          <cell r="AI623" t="str">
            <v>CAMPOALEGRE</v>
          </cell>
        </row>
        <row r="624">
          <cell r="AI624" t="str">
            <v>COLOMBIA</v>
          </cell>
        </row>
        <row r="625">
          <cell r="AI625" t="str">
            <v>ELÍAS</v>
          </cell>
        </row>
        <row r="626">
          <cell r="AI626" t="str">
            <v>GARZÓN</v>
          </cell>
        </row>
        <row r="627">
          <cell r="AI627" t="str">
            <v>GIGANTE</v>
          </cell>
        </row>
        <row r="628">
          <cell r="AI628" t="str">
            <v>GUADALUPE - HUILA</v>
          </cell>
        </row>
        <row r="629">
          <cell r="AI629" t="str">
            <v>HOBO</v>
          </cell>
        </row>
        <row r="630">
          <cell r="AI630" t="str">
            <v>IQUIRA</v>
          </cell>
        </row>
        <row r="631">
          <cell r="AI631" t="str">
            <v>ISNOS</v>
          </cell>
        </row>
        <row r="632">
          <cell r="AI632" t="str">
            <v>LA ARGENTINA</v>
          </cell>
        </row>
        <row r="633">
          <cell r="AI633" t="str">
            <v>LA PLATA</v>
          </cell>
        </row>
        <row r="634">
          <cell r="AI634" t="str">
            <v>NÁTAGA</v>
          </cell>
        </row>
        <row r="635">
          <cell r="AI635" t="str">
            <v>OPORAPA</v>
          </cell>
        </row>
        <row r="636">
          <cell r="AI636" t="str">
            <v>PAICOL</v>
          </cell>
        </row>
        <row r="637">
          <cell r="AI637" t="str">
            <v>PALERMO</v>
          </cell>
        </row>
        <row r="638">
          <cell r="AI638" t="str">
            <v>PALESTINA - HUILA</v>
          </cell>
        </row>
        <row r="639">
          <cell r="AI639" t="str">
            <v>EL PITAL</v>
          </cell>
        </row>
        <row r="640">
          <cell r="AI640" t="str">
            <v>PITALITO</v>
          </cell>
        </row>
        <row r="641">
          <cell r="AI641" t="str">
            <v>RIVERA</v>
          </cell>
        </row>
        <row r="642">
          <cell r="AI642" t="str">
            <v>SALADOBLANCO</v>
          </cell>
        </row>
        <row r="643">
          <cell r="AI643" t="str">
            <v>SAN AGUSTÍN</v>
          </cell>
        </row>
        <row r="644">
          <cell r="AI644" t="str">
            <v>SANTA MARÍA - HUILA</v>
          </cell>
        </row>
        <row r="645">
          <cell r="AI645" t="str">
            <v>SUAZA</v>
          </cell>
        </row>
        <row r="646">
          <cell r="AI646" t="str">
            <v>TÁRQUI</v>
          </cell>
        </row>
        <row r="647">
          <cell r="AI647" t="str">
            <v>TESALIA</v>
          </cell>
        </row>
        <row r="648">
          <cell r="AI648" t="str">
            <v>TELLO</v>
          </cell>
        </row>
        <row r="649">
          <cell r="AI649" t="str">
            <v>TERUEL</v>
          </cell>
        </row>
        <row r="650">
          <cell r="AI650" t="str">
            <v>TIMANÁ</v>
          </cell>
        </row>
        <row r="651">
          <cell r="AI651" t="str">
            <v>VILLAVIEJA</v>
          </cell>
        </row>
        <row r="652">
          <cell r="AI652" t="str">
            <v>YAGUARA</v>
          </cell>
        </row>
        <row r="653">
          <cell r="AI653" t="str">
            <v>DEPARTAMENTO DE LA GUAJIRA</v>
          </cell>
        </row>
        <row r="654">
          <cell r="AI654" t="str">
            <v>RIOHACHA</v>
          </cell>
        </row>
        <row r="655">
          <cell r="AI655" t="str">
            <v>ALBANIA - GUAJIRA</v>
          </cell>
        </row>
        <row r="656">
          <cell r="AI656" t="str">
            <v>BARRANCAS</v>
          </cell>
        </row>
        <row r="657">
          <cell r="AI657" t="str">
            <v>DIBULLA</v>
          </cell>
        </row>
        <row r="658">
          <cell r="AI658" t="str">
            <v>DISTRACCIÓN</v>
          </cell>
        </row>
        <row r="659">
          <cell r="AI659" t="str">
            <v>EL MOLINO</v>
          </cell>
        </row>
        <row r="660">
          <cell r="AI660" t="str">
            <v>FONSECA</v>
          </cell>
        </row>
        <row r="661">
          <cell r="AI661" t="str">
            <v>HATO NUEVO</v>
          </cell>
        </row>
        <row r="662">
          <cell r="AI662" t="str">
            <v>LA JAGUA DEL PILAR</v>
          </cell>
        </row>
        <row r="663">
          <cell r="AI663" t="str">
            <v>MAICAO</v>
          </cell>
        </row>
        <row r="664">
          <cell r="AI664" t="str">
            <v>MANAURE</v>
          </cell>
        </row>
        <row r="665">
          <cell r="AI665" t="str">
            <v>SAN JUAN DEL CESAR</v>
          </cell>
        </row>
        <row r="666">
          <cell r="AI666" t="str">
            <v>URIBIA</v>
          </cell>
        </row>
        <row r="667">
          <cell r="AI667" t="str">
            <v>URUMITA</v>
          </cell>
        </row>
        <row r="668">
          <cell r="AI668" t="str">
            <v>VILLANUEVA - GUAJIRA</v>
          </cell>
        </row>
        <row r="669">
          <cell r="AI669" t="str">
            <v>DEPARTAMENTO DEL MAGDALENA</v>
          </cell>
        </row>
        <row r="670">
          <cell r="AI670" t="str">
            <v>SANTA MARTA, DISTRITO TURISTICO, CULTURAL E HISTORICO</v>
          </cell>
        </row>
        <row r="671">
          <cell r="AI671" t="str">
            <v>ALGARROBO</v>
          </cell>
        </row>
        <row r="672">
          <cell r="AI672" t="str">
            <v>ARACATACA</v>
          </cell>
        </row>
        <row r="673">
          <cell r="AI673" t="str">
            <v>ARIGUANÍ</v>
          </cell>
        </row>
        <row r="674">
          <cell r="AI674" t="str">
            <v>CERRO DE SAN ANTONIO</v>
          </cell>
        </row>
        <row r="675">
          <cell r="AI675" t="str">
            <v>CHIVOLO</v>
          </cell>
        </row>
        <row r="676">
          <cell r="AI676" t="str">
            <v>CIÉNAGA</v>
          </cell>
        </row>
        <row r="677">
          <cell r="AI677" t="str">
            <v>CONCORDIA - MAGDALENA</v>
          </cell>
        </row>
        <row r="678">
          <cell r="AI678" t="str">
            <v>EL BANCO</v>
          </cell>
        </row>
        <row r="679">
          <cell r="AI679" t="str">
            <v>EL PIÑÓN</v>
          </cell>
        </row>
        <row r="680">
          <cell r="AI680" t="str">
            <v>EL RETÉN</v>
          </cell>
        </row>
        <row r="681">
          <cell r="AI681" t="str">
            <v>FUNDACIÓN</v>
          </cell>
        </row>
        <row r="682">
          <cell r="AI682" t="str">
            <v>GUAMAL - MAGDALENA</v>
          </cell>
        </row>
        <row r="683">
          <cell r="AI683" t="str">
            <v>NUEVA GRANADA</v>
          </cell>
        </row>
        <row r="684">
          <cell r="AI684" t="str">
            <v>PEDRAZA</v>
          </cell>
        </row>
        <row r="685">
          <cell r="AI685" t="str">
            <v>PIJIÑO DEL CARMEN</v>
          </cell>
        </row>
        <row r="686">
          <cell r="AI686" t="str">
            <v>PIVIJAY</v>
          </cell>
        </row>
        <row r="687">
          <cell r="AI687" t="str">
            <v>PLATO</v>
          </cell>
        </row>
        <row r="688">
          <cell r="AI688" t="str">
            <v>PUEBLOVIEJO</v>
          </cell>
        </row>
        <row r="689">
          <cell r="AI689" t="str">
            <v>REMOLINO</v>
          </cell>
        </row>
        <row r="690">
          <cell r="AI690" t="str">
            <v>SABANAS DE SAN ANGEL</v>
          </cell>
        </row>
        <row r="691">
          <cell r="AI691" t="str">
            <v>SALAMINA - MAGDALENA</v>
          </cell>
        </row>
        <row r="692">
          <cell r="AI692" t="str">
            <v>SAN SEBASTIAN DE BUENAVISTA</v>
          </cell>
        </row>
        <row r="693">
          <cell r="AI693" t="str">
            <v>SAN ZENÓN</v>
          </cell>
        </row>
        <row r="694">
          <cell r="AI694" t="str">
            <v>SANTA ANA</v>
          </cell>
        </row>
        <row r="695">
          <cell r="AI695" t="str">
            <v>SANTA BÁRBARA DE PINTO</v>
          </cell>
        </row>
        <row r="696">
          <cell r="AI696" t="str">
            <v>SITIONUEVO</v>
          </cell>
        </row>
        <row r="697">
          <cell r="AI697" t="str">
            <v>TENERIFE</v>
          </cell>
        </row>
        <row r="698">
          <cell r="AI698" t="str">
            <v>ZAPAYÁN</v>
          </cell>
        </row>
        <row r="699">
          <cell r="AI699" t="str">
            <v>ZONA BANANERA</v>
          </cell>
        </row>
        <row r="700">
          <cell r="AI700" t="str">
            <v>DEPARTAMENTO DEL META</v>
          </cell>
        </row>
        <row r="701">
          <cell r="AI701" t="str">
            <v>VILLAVICENCIO</v>
          </cell>
        </row>
        <row r="702">
          <cell r="AI702" t="str">
            <v>ACACÍAS</v>
          </cell>
        </row>
        <row r="703">
          <cell r="AI703" t="str">
            <v>BARRANCA DE UPÍA</v>
          </cell>
        </row>
        <row r="704">
          <cell r="AI704" t="str">
            <v>CABUYARO</v>
          </cell>
        </row>
        <row r="705">
          <cell r="AI705" t="str">
            <v>CASTILLA LA NUEVA</v>
          </cell>
        </row>
        <row r="706">
          <cell r="AI706" t="str">
            <v>CUBARRAL</v>
          </cell>
        </row>
        <row r="707">
          <cell r="AI707" t="str">
            <v>CUMARAL</v>
          </cell>
        </row>
        <row r="708">
          <cell r="AI708" t="str">
            <v>EL CALVARIO</v>
          </cell>
        </row>
        <row r="709">
          <cell r="AI709" t="str">
            <v>EL CASTILLO</v>
          </cell>
        </row>
        <row r="710">
          <cell r="AI710" t="str">
            <v>EL DORADO</v>
          </cell>
        </row>
        <row r="711">
          <cell r="AI711" t="str">
            <v>FUENTE DE ORO</v>
          </cell>
        </row>
        <row r="712">
          <cell r="AI712" t="str">
            <v>GRANADA - META</v>
          </cell>
        </row>
        <row r="713">
          <cell r="AI713" t="str">
            <v>GUAMAL - META</v>
          </cell>
        </row>
        <row r="714">
          <cell r="AI714" t="str">
            <v>MAPIRIPÁN</v>
          </cell>
        </row>
        <row r="715">
          <cell r="AI715" t="str">
            <v>MESETAS</v>
          </cell>
        </row>
        <row r="716">
          <cell r="AI716" t="str">
            <v>LA MACARENA</v>
          </cell>
        </row>
        <row r="717">
          <cell r="AI717" t="str">
            <v>LA URIBE</v>
          </cell>
        </row>
        <row r="718">
          <cell r="AI718" t="str">
            <v>LEJANÍAS</v>
          </cell>
        </row>
        <row r="719">
          <cell r="AI719" t="str">
            <v>PUERTO CONCORDIA</v>
          </cell>
        </row>
        <row r="720">
          <cell r="AI720" t="str">
            <v>PUERTO GAITÁN</v>
          </cell>
        </row>
        <row r="721">
          <cell r="AI721" t="str">
            <v>PUERTO LÓPEZ</v>
          </cell>
        </row>
        <row r="722">
          <cell r="AI722" t="str">
            <v>PUERTO LLERAS</v>
          </cell>
        </row>
        <row r="723">
          <cell r="AI723" t="str">
            <v>PUERTO RICO - META</v>
          </cell>
        </row>
        <row r="724">
          <cell r="AI724" t="str">
            <v>RESTREPO - META</v>
          </cell>
        </row>
        <row r="725">
          <cell r="AI725" t="str">
            <v>SAN CARLOS DE GUAROA</v>
          </cell>
        </row>
        <row r="726">
          <cell r="AI726" t="str">
            <v>SAN JUAN DE ARAMA</v>
          </cell>
        </row>
        <row r="727">
          <cell r="AI727" t="str">
            <v>SAN JUANITO</v>
          </cell>
        </row>
        <row r="728">
          <cell r="AI728" t="str">
            <v>SAN MARTÍN - META</v>
          </cell>
        </row>
        <row r="729">
          <cell r="AI729" t="str">
            <v>VISTA HERMOSA</v>
          </cell>
        </row>
        <row r="730">
          <cell r="AI730" t="str">
            <v>DEPARTAMENTO DE NARIÑO</v>
          </cell>
        </row>
        <row r="731">
          <cell r="AI731" t="str">
            <v>SAN JUAN DE PASTO</v>
          </cell>
        </row>
        <row r="732">
          <cell r="AI732" t="str">
            <v>ALBÁN (SAN JOSÉ)</v>
          </cell>
        </row>
        <row r="733">
          <cell r="AI733" t="str">
            <v>ALDANA</v>
          </cell>
        </row>
        <row r="734">
          <cell r="AI734" t="str">
            <v>ANCUYA</v>
          </cell>
        </row>
        <row r="735">
          <cell r="AI735" t="str">
            <v>ARBOLEDA - BERRUECOS</v>
          </cell>
        </row>
        <row r="736">
          <cell r="AI736" t="str">
            <v>BARBACOAS</v>
          </cell>
        </row>
        <row r="737">
          <cell r="AI737" t="str">
            <v>BELÉN - NARIÑO</v>
          </cell>
        </row>
        <row r="738">
          <cell r="AI738" t="str">
            <v>BUESACO</v>
          </cell>
        </row>
        <row r="739">
          <cell r="AI739" t="str">
            <v>COLÓN (GÉNOVA) - NARIÑO</v>
          </cell>
        </row>
        <row r="740">
          <cell r="AI740" t="str">
            <v>CONSACÁ</v>
          </cell>
        </row>
        <row r="741">
          <cell r="AI741" t="str">
            <v>CONTADERO</v>
          </cell>
        </row>
        <row r="742">
          <cell r="AI742" t="str">
            <v>CÓRDOBA - NARIÑO</v>
          </cell>
        </row>
        <row r="743">
          <cell r="AI743" t="str">
            <v>CUASPUD (CARLOSAMA)</v>
          </cell>
        </row>
        <row r="744">
          <cell r="AI744" t="str">
            <v>CUMBAL</v>
          </cell>
        </row>
        <row r="745">
          <cell r="AI745" t="str">
            <v>CUMBITARA</v>
          </cell>
        </row>
        <row r="746">
          <cell r="AI746" t="str">
            <v>CHACHAGüÍ</v>
          </cell>
        </row>
        <row r="747">
          <cell r="AI747" t="str">
            <v>EL CHARCO</v>
          </cell>
        </row>
        <row r="748">
          <cell r="AI748" t="str">
            <v>EL PEÑOL - NARIÑO</v>
          </cell>
        </row>
        <row r="749">
          <cell r="AI749" t="str">
            <v>EL ROSARIO</v>
          </cell>
        </row>
        <row r="750">
          <cell r="AI750" t="str">
            <v>EL TABLÓN DE GÓMEZ</v>
          </cell>
        </row>
        <row r="751">
          <cell r="AI751" t="str">
            <v>EL TAMBO - NARIÑO</v>
          </cell>
        </row>
        <row r="752">
          <cell r="AI752" t="str">
            <v>FUNES</v>
          </cell>
        </row>
        <row r="753">
          <cell r="AI753" t="str">
            <v>GUACHUCAL</v>
          </cell>
        </row>
        <row r="754">
          <cell r="AI754" t="str">
            <v>GUAITARILLA</v>
          </cell>
        </row>
        <row r="755">
          <cell r="AI755" t="str">
            <v>GUALMATÁN</v>
          </cell>
        </row>
        <row r="756">
          <cell r="AI756" t="str">
            <v>ILES</v>
          </cell>
        </row>
        <row r="757">
          <cell r="AI757" t="str">
            <v>IMUÉS</v>
          </cell>
        </row>
        <row r="758">
          <cell r="AI758" t="str">
            <v>IPIALES</v>
          </cell>
        </row>
        <row r="759">
          <cell r="AI759" t="str">
            <v>LA CRUZ</v>
          </cell>
        </row>
        <row r="760">
          <cell r="AI760" t="str">
            <v>LA FLORIDA</v>
          </cell>
        </row>
        <row r="761">
          <cell r="AI761" t="str">
            <v>LA LLANADA</v>
          </cell>
        </row>
        <row r="762">
          <cell r="AI762" t="str">
            <v>LA TOLA</v>
          </cell>
        </row>
        <row r="763">
          <cell r="AI763" t="str">
            <v>LA UNIÓN - NARIÑO</v>
          </cell>
        </row>
        <row r="764">
          <cell r="AI764" t="str">
            <v>LEIVA</v>
          </cell>
        </row>
        <row r="765">
          <cell r="AI765" t="str">
            <v>LINARES</v>
          </cell>
        </row>
        <row r="766">
          <cell r="AI766" t="str">
            <v>LOS ANDES (SOTOMAYOR)</v>
          </cell>
        </row>
        <row r="767">
          <cell r="AI767" t="str">
            <v>MAGÜÍ (PAYÁN)</v>
          </cell>
        </row>
        <row r="768">
          <cell r="AI768" t="str">
            <v>MALLAMA (PIEDRANCHA)</v>
          </cell>
        </row>
        <row r="769">
          <cell r="AI769" t="str">
            <v>MOSQUERA - NARIÑO</v>
          </cell>
        </row>
        <row r="770">
          <cell r="AI770" t="str">
            <v>NARIÑO - NARIÑO</v>
          </cell>
        </row>
        <row r="771">
          <cell r="AI771" t="str">
            <v>OLAYA HERRERA (BOCAS DE SATINGA)</v>
          </cell>
        </row>
        <row r="772">
          <cell r="AI772" t="str">
            <v>OSPINA</v>
          </cell>
        </row>
        <row r="773">
          <cell r="AI773" t="str">
            <v>FRANCISCO PIZARRO (SALAHONDA)</v>
          </cell>
        </row>
        <row r="774">
          <cell r="AI774" t="str">
            <v>POLICARPA</v>
          </cell>
        </row>
        <row r="775">
          <cell r="AI775" t="str">
            <v>POTOSÍ</v>
          </cell>
        </row>
        <row r="776">
          <cell r="AI776" t="str">
            <v>PROVIDENCIA - NARIÑO</v>
          </cell>
        </row>
        <row r="777">
          <cell r="AI777" t="str">
            <v>PUERRES</v>
          </cell>
        </row>
        <row r="778">
          <cell r="AI778" t="str">
            <v>PUPIALES</v>
          </cell>
        </row>
        <row r="779">
          <cell r="AI779" t="str">
            <v>RICAURTE - NARIÑO</v>
          </cell>
        </row>
        <row r="780">
          <cell r="AI780" t="str">
            <v>ROBERTO PAYÁN (SAN JOSÉ)</v>
          </cell>
        </row>
        <row r="781">
          <cell r="AI781" t="str">
            <v>SAMANIEGO</v>
          </cell>
        </row>
        <row r="782">
          <cell r="AI782" t="str">
            <v>SANDONÁ</v>
          </cell>
        </row>
        <row r="783">
          <cell r="AI783" t="str">
            <v>SAN BERNARDO - NARIÑO</v>
          </cell>
        </row>
        <row r="784">
          <cell r="AI784" t="str">
            <v>SAN LORENZO</v>
          </cell>
        </row>
        <row r="785">
          <cell r="AI785" t="str">
            <v>SAN PABLO - NARIÑO</v>
          </cell>
        </row>
        <row r="786">
          <cell r="AI786" t="str">
            <v>SAN PEDRO DE CARTAGO</v>
          </cell>
        </row>
        <row r="787">
          <cell r="AI787" t="str">
            <v>SANTA BÁRBARA  (ISCUANDÉ)</v>
          </cell>
        </row>
        <row r="788">
          <cell r="AI788" t="str">
            <v>SANTACRUZ  (GUACHAVÉS)</v>
          </cell>
        </row>
        <row r="789">
          <cell r="AI789" t="str">
            <v>SAPUYES</v>
          </cell>
        </row>
        <row r="790">
          <cell r="AI790" t="str">
            <v>TAMINANGO</v>
          </cell>
        </row>
        <row r="791">
          <cell r="AI791" t="str">
            <v>TANGUA</v>
          </cell>
        </row>
        <row r="792">
          <cell r="AI792" t="str">
            <v>TUMACO</v>
          </cell>
        </row>
        <row r="793">
          <cell r="AI793" t="str">
            <v>TUQUERRES</v>
          </cell>
        </row>
        <row r="794">
          <cell r="AI794" t="str">
            <v>YACUANQUER</v>
          </cell>
        </row>
        <row r="795">
          <cell r="AI795" t="str">
            <v>DEPARTAMENTO DEL NORTE DE SANTANDER</v>
          </cell>
        </row>
        <row r="796">
          <cell r="AI796" t="str">
            <v>SAN JOSÉ DE CUCUTA</v>
          </cell>
        </row>
        <row r="797">
          <cell r="AI797" t="str">
            <v>ÁBREGO</v>
          </cell>
        </row>
        <row r="798">
          <cell r="AI798" t="str">
            <v>ARBOLEDAS</v>
          </cell>
        </row>
        <row r="799">
          <cell r="AI799" t="str">
            <v>BOCHALEMA</v>
          </cell>
        </row>
        <row r="800">
          <cell r="AI800" t="str">
            <v>BUCARASICA</v>
          </cell>
        </row>
        <row r="801">
          <cell r="AI801" t="str">
            <v>CÁCOTA</v>
          </cell>
        </row>
        <row r="802">
          <cell r="AI802" t="str">
            <v>CÁCHIRA</v>
          </cell>
        </row>
        <row r="803">
          <cell r="AI803" t="str">
            <v>CHINÁCOTA</v>
          </cell>
        </row>
        <row r="804">
          <cell r="AI804" t="str">
            <v>CHITAGÁ</v>
          </cell>
        </row>
        <row r="805">
          <cell r="AI805" t="str">
            <v>CONVENCIÓN</v>
          </cell>
        </row>
        <row r="806">
          <cell r="AI806" t="str">
            <v>CUCUTILLA</v>
          </cell>
        </row>
        <row r="807">
          <cell r="AI807" t="str">
            <v>DURANIA</v>
          </cell>
        </row>
        <row r="808">
          <cell r="AI808" t="str">
            <v>EL CARMEN</v>
          </cell>
        </row>
        <row r="809">
          <cell r="AI809" t="str">
            <v>EL TARRA</v>
          </cell>
        </row>
        <row r="810">
          <cell r="AI810" t="str">
            <v>EL ZULIA</v>
          </cell>
        </row>
        <row r="811">
          <cell r="AI811" t="str">
            <v>GRAMALOTE</v>
          </cell>
        </row>
        <row r="812">
          <cell r="AI812" t="str">
            <v>HACARÍ</v>
          </cell>
        </row>
        <row r="813">
          <cell r="AI813" t="str">
            <v>HERRÁN</v>
          </cell>
        </row>
        <row r="814">
          <cell r="AI814" t="str">
            <v>LABATECA</v>
          </cell>
        </row>
        <row r="815">
          <cell r="AI815" t="str">
            <v>LA ESPERANZA</v>
          </cell>
        </row>
        <row r="816">
          <cell r="AI816" t="str">
            <v>LA PLAYA DE BELEN</v>
          </cell>
        </row>
        <row r="817">
          <cell r="AI817" t="str">
            <v>LOS PATIOS</v>
          </cell>
        </row>
        <row r="818">
          <cell r="AI818" t="str">
            <v>LOURDES</v>
          </cell>
        </row>
        <row r="819">
          <cell r="AI819" t="str">
            <v>MUTISCUA</v>
          </cell>
        </row>
        <row r="820">
          <cell r="AI820" t="str">
            <v>OCAÑA</v>
          </cell>
        </row>
        <row r="821">
          <cell r="AI821" t="str">
            <v>PAMPLONA</v>
          </cell>
        </row>
        <row r="822">
          <cell r="AI822" t="str">
            <v>PAMPLONITA</v>
          </cell>
        </row>
        <row r="823">
          <cell r="AI823" t="str">
            <v>PUERTO SANTANDER</v>
          </cell>
        </row>
        <row r="824">
          <cell r="AI824" t="str">
            <v>RAGONVALIA</v>
          </cell>
        </row>
        <row r="825">
          <cell r="AI825" t="str">
            <v>SALAZAR DE LAS PALMAS</v>
          </cell>
        </row>
        <row r="826">
          <cell r="AI826" t="str">
            <v>SAN CALIXTO</v>
          </cell>
        </row>
        <row r="827">
          <cell r="AI827" t="str">
            <v>SAN CAYETANO - NORTE DE SANTANDER</v>
          </cell>
        </row>
        <row r="828">
          <cell r="AI828" t="str">
            <v>SANTIAGO - NORTE DE SANTANDER</v>
          </cell>
        </row>
        <row r="829">
          <cell r="AI829" t="str">
            <v>SARDINATA</v>
          </cell>
        </row>
        <row r="830">
          <cell r="AI830" t="str">
            <v>SANTO DOMINGO DE SILOS</v>
          </cell>
        </row>
        <row r="831">
          <cell r="AI831" t="str">
            <v>TEORAMA</v>
          </cell>
        </row>
        <row r="832">
          <cell r="AI832" t="str">
            <v>TIBÚ</v>
          </cell>
        </row>
        <row r="833">
          <cell r="AI833" t="str">
            <v>TOLEDO - NORTE DE SANTANDER</v>
          </cell>
        </row>
        <row r="834">
          <cell r="AI834" t="str">
            <v>VILLACARO</v>
          </cell>
        </row>
        <row r="835">
          <cell r="AI835" t="str">
            <v>VILLA DEL ROSARIO</v>
          </cell>
        </row>
        <row r="836">
          <cell r="AI836" t="str">
            <v>DEPARTAMENTO DEL QUINDIO</v>
          </cell>
        </row>
        <row r="837">
          <cell r="AI837" t="str">
            <v>ARMENIA</v>
          </cell>
        </row>
        <row r="838">
          <cell r="AI838" t="str">
            <v>BUENAVISTA - QUINDIO</v>
          </cell>
        </row>
        <row r="839">
          <cell r="AI839" t="str">
            <v>CALARCÁ</v>
          </cell>
        </row>
        <row r="840">
          <cell r="AI840" t="str">
            <v>CIRCASIA</v>
          </cell>
        </row>
        <row r="841">
          <cell r="AI841" t="str">
            <v>CÓRDOBA - QUINDIO</v>
          </cell>
        </row>
        <row r="842">
          <cell r="AI842" t="str">
            <v>FILANDIA</v>
          </cell>
        </row>
        <row r="843">
          <cell r="AI843" t="str">
            <v>GÉNOVA</v>
          </cell>
        </row>
        <row r="844">
          <cell r="AI844" t="str">
            <v>LA TEBAIDA</v>
          </cell>
        </row>
        <row r="845">
          <cell r="AI845" t="str">
            <v>MONTENEGRO</v>
          </cell>
        </row>
        <row r="846">
          <cell r="AI846" t="str">
            <v>PIJAO</v>
          </cell>
        </row>
        <row r="847">
          <cell r="AI847" t="str">
            <v>QUIMBAYA</v>
          </cell>
        </row>
        <row r="848">
          <cell r="AI848" t="str">
            <v>SALENTO</v>
          </cell>
        </row>
        <row r="849">
          <cell r="AI849" t="str">
            <v>DEPARTAMENTO DE RISARALDA</v>
          </cell>
        </row>
        <row r="850">
          <cell r="AI850" t="str">
            <v>PEREIRA</v>
          </cell>
        </row>
        <row r="851">
          <cell r="AI851" t="str">
            <v>APÍA</v>
          </cell>
        </row>
        <row r="852">
          <cell r="AI852" t="str">
            <v>BALBOA - RISARALDA</v>
          </cell>
        </row>
        <row r="853">
          <cell r="AI853" t="str">
            <v>BELÉN DE UMBRÍA</v>
          </cell>
        </row>
        <row r="854">
          <cell r="AI854" t="str">
            <v>DOSQUEBRADAS</v>
          </cell>
        </row>
        <row r="855">
          <cell r="AI855" t="str">
            <v>GUÁTICA</v>
          </cell>
        </row>
        <row r="856">
          <cell r="AI856" t="str">
            <v>LA CELIA</v>
          </cell>
        </row>
        <row r="857">
          <cell r="AI857" t="str">
            <v>LA VIRGINIA</v>
          </cell>
        </row>
        <row r="858">
          <cell r="AI858" t="str">
            <v>MARSELLA</v>
          </cell>
        </row>
        <row r="859">
          <cell r="AI859" t="str">
            <v>MISTRATÓ</v>
          </cell>
        </row>
        <row r="860">
          <cell r="AI860" t="str">
            <v>PUEBLO RICO - RISARALDA</v>
          </cell>
        </row>
        <row r="861">
          <cell r="AI861" t="str">
            <v>QUINCHÍA</v>
          </cell>
        </row>
        <row r="862">
          <cell r="AI862" t="str">
            <v>SANTA ROSA DE CABAL</v>
          </cell>
        </row>
        <row r="863">
          <cell r="AI863" t="str">
            <v>SANTUARIO - RISARALDA</v>
          </cell>
        </row>
        <row r="864">
          <cell r="AI864" t="str">
            <v>DEPARTAMENTO DE SANTANDER</v>
          </cell>
        </row>
        <row r="865">
          <cell r="AI865" t="str">
            <v>BUCARAMANGA</v>
          </cell>
        </row>
        <row r="866">
          <cell r="AI866" t="str">
            <v>AGUADA - SANTANDER</v>
          </cell>
        </row>
        <row r="867">
          <cell r="AI867" t="str">
            <v>ALBANIA - SANTANDER</v>
          </cell>
        </row>
        <row r="868">
          <cell r="AI868" t="str">
            <v>ARATOCA</v>
          </cell>
        </row>
        <row r="869">
          <cell r="AI869" t="str">
            <v>BARBOSA - SANTANDER</v>
          </cell>
        </row>
        <row r="870">
          <cell r="AI870" t="str">
            <v>BARICHARA</v>
          </cell>
        </row>
        <row r="871">
          <cell r="AI871" t="str">
            <v>BARRANCABERMEJA</v>
          </cell>
        </row>
        <row r="872">
          <cell r="AI872" t="str">
            <v>BETULIA - SANTANDER</v>
          </cell>
        </row>
        <row r="873">
          <cell r="AI873" t="str">
            <v>BOLÍVAR - SANTANDER</v>
          </cell>
        </row>
        <row r="874">
          <cell r="AI874" t="str">
            <v>CABRERA - SANTANDER</v>
          </cell>
        </row>
        <row r="875">
          <cell r="AI875" t="str">
            <v>CALIFORNIA</v>
          </cell>
        </row>
        <row r="876">
          <cell r="AI876" t="str">
            <v>CAPITANEJO</v>
          </cell>
        </row>
        <row r="877">
          <cell r="AI877" t="str">
            <v>CARCASÍ</v>
          </cell>
        </row>
        <row r="878">
          <cell r="AI878" t="str">
            <v>CEPITÁ</v>
          </cell>
        </row>
        <row r="879">
          <cell r="AI879" t="str">
            <v>CERRITO</v>
          </cell>
        </row>
        <row r="880">
          <cell r="AI880" t="str">
            <v>CHARALÁ</v>
          </cell>
        </row>
        <row r="881">
          <cell r="AI881" t="str">
            <v>CHARTA</v>
          </cell>
        </row>
        <row r="882">
          <cell r="AI882" t="str">
            <v>CHIMA - SANTANDER</v>
          </cell>
        </row>
        <row r="883">
          <cell r="AI883" t="str">
            <v>CHIPATÁ</v>
          </cell>
        </row>
        <row r="884">
          <cell r="AI884" t="str">
            <v>CIMITARRA</v>
          </cell>
        </row>
        <row r="885">
          <cell r="AI885" t="str">
            <v>CONCEPCIÓN - SANTANDER</v>
          </cell>
        </row>
        <row r="886">
          <cell r="AI886" t="str">
            <v>CONFINES</v>
          </cell>
        </row>
        <row r="887">
          <cell r="AI887" t="str">
            <v>CONTRATACIÓN</v>
          </cell>
        </row>
        <row r="888">
          <cell r="AI888" t="str">
            <v>COROMORO</v>
          </cell>
        </row>
        <row r="889">
          <cell r="AI889" t="str">
            <v>CURITÍ</v>
          </cell>
        </row>
        <row r="890">
          <cell r="AI890" t="str">
            <v>EL CARMEN DE CHUCURI</v>
          </cell>
        </row>
        <row r="891">
          <cell r="AI891" t="str">
            <v>EL GUACAMAYO</v>
          </cell>
        </row>
        <row r="892">
          <cell r="AI892" t="str">
            <v>EL PEÑÓN - SANTANDER</v>
          </cell>
        </row>
        <row r="893">
          <cell r="AI893" t="str">
            <v>EL PLAYÓN</v>
          </cell>
        </row>
        <row r="894">
          <cell r="AI894" t="str">
            <v>ENCINO</v>
          </cell>
        </row>
        <row r="895">
          <cell r="AI895" t="str">
            <v>ENCISO</v>
          </cell>
        </row>
        <row r="896">
          <cell r="AI896" t="str">
            <v>FLORIÁN</v>
          </cell>
        </row>
        <row r="897">
          <cell r="AI897" t="str">
            <v>FLORIDABLANCA</v>
          </cell>
        </row>
        <row r="898">
          <cell r="AI898" t="str">
            <v>GALÁN</v>
          </cell>
        </row>
        <row r="899">
          <cell r="AI899" t="str">
            <v>GÁMBITA</v>
          </cell>
        </row>
        <row r="900">
          <cell r="AI900" t="str">
            <v>GIRÓN</v>
          </cell>
        </row>
        <row r="901">
          <cell r="AI901" t="str">
            <v>GUACA</v>
          </cell>
        </row>
        <row r="902">
          <cell r="AI902" t="str">
            <v>GUADALUPE - SANTANDER</v>
          </cell>
        </row>
        <row r="903">
          <cell r="AI903" t="str">
            <v>GUAPOTÁ</v>
          </cell>
        </row>
        <row r="904">
          <cell r="AI904" t="str">
            <v>GUAVATÁ</v>
          </cell>
        </row>
        <row r="905">
          <cell r="AI905" t="str">
            <v>GÜEPSA</v>
          </cell>
        </row>
        <row r="906">
          <cell r="AI906" t="str">
            <v>HATO</v>
          </cell>
        </row>
        <row r="907">
          <cell r="AI907" t="str">
            <v>JESÚS MARÍA</v>
          </cell>
        </row>
        <row r="908">
          <cell r="AI908" t="str">
            <v>JORDÁN</v>
          </cell>
        </row>
        <row r="909">
          <cell r="AI909" t="str">
            <v>LA BELLEZA</v>
          </cell>
        </row>
        <row r="910">
          <cell r="AI910" t="str">
            <v>LANDÁZURI</v>
          </cell>
        </row>
        <row r="911">
          <cell r="AI911" t="str">
            <v>LA PAZ - SANTANDER</v>
          </cell>
        </row>
        <row r="912">
          <cell r="AI912" t="str">
            <v>LEBRIJA</v>
          </cell>
        </row>
        <row r="913">
          <cell r="AI913" t="str">
            <v>LOS SANTOS</v>
          </cell>
        </row>
        <row r="914">
          <cell r="AI914" t="str">
            <v>MACARAVITA</v>
          </cell>
        </row>
        <row r="915">
          <cell r="AI915" t="str">
            <v>MÁLAGA</v>
          </cell>
        </row>
        <row r="916">
          <cell r="AI916" t="str">
            <v>MATANZA</v>
          </cell>
        </row>
        <row r="917">
          <cell r="AI917" t="str">
            <v>MOGOTES</v>
          </cell>
        </row>
        <row r="918">
          <cell r="AI918" t="str">
            <v>MOLAGAVITA</v>
          </cell>
        </row>
        <row r="919">
          <cell r="AI919" t="str">
            <v>OCAMONTE</v>
          </cell>
        </row>
        <row r="920">
          <cell r="AI920" t="str">
            <v>OIBA</v>
          </cell>
        </row>
        <row r="921">
          <cell r="AI921" t="str">
            <v>ONZAGA</v>
          </cell>
        </row>
        <row r="922">
          <cell r="AI922" t="str">
            <v>PALMAR</v>
          </cell>
        </row>
        <row r="923">
          <cell r="AI923" t="str">
            <v>PALMAS DEL SOCORRO</v>
          </cell>
        </row>
        <row r="924">
          <cell r="AI924" t="str">
            <v>PÁRAMO</v>
          </cell>
        </row>
        <row r="925">
          <cell r="AI925" t="str">
            <v>PIEDECUESTA</v>
          </cell>
        </row>
        <row r="926">
          <cell r="AI926" t="str">
            <v>PINCHOTE</v>
          </cell>
        </row>
        <row r="927">
          <cell r="AI927" t="str">
            <v>PUENTE NACIONAL</v>
          </cell>
        </row>
        <row r="928">
          <cell r="AI928" t="str">
            <v>PUERTO PARRA</v>
          </cell>
        </row>
        <row r="929">
          <cell r="AI929" t="str">
            <v>PUERTO WILCHES</v>
          </cell>
        </row>
        <row r="930">
          <cell r="AI930" t="str">
            <v>RIONEGRO - SANTANDER</v>
          </cell>
        </row>
        <row r="931">
          <cell r="AI931" t="str">
            <v>SABANA DE TORRES</v>
          </cell>
        </row>
        <row r="932">
          <cell r="AI932" t="str">
            <v>SAN ANDRÉS - SANTANDER</v>
          </cell>
        </row>
        <row r="933">
          <cell r="AI933" t="str">
            <v>SAN BENITO</v>
          </cell>
        </row>
        <row r="934">
          <cell r="AI934" t="str">
            <v>SAN GIL</v>
          </cell>
        </row>
        <row r="935">
          <cell r="AI935" t="str">
            <v>SAN JOAQUÍN</v>
          </cell>
        </row>
        <row r="936">
          <cell r="AI936" t="str">
            <v>SAN JOSÉ DE MIRANDA</v>
          </cell>
        </row>
        <row r="937">
          <cell r="AI937" t="str">
            <v>SAN MIGUEL - SANTANDER</v>
          </cell>
        </row>
        <row r="938">
          <cell r="AI938" t="str">
            <v>SAN VICENTE DE CHUCURÍ</v>
          </cell>
        </row>
        <row r="939">
          <cell r="AI939" t="str">
            <v>SANTA BÁRBARA - SANTANDER</v>
          </cell>
        </row>
        <row r="940">
          <cell r="AI940" t="str">
            <v>SANTA HELENA DE OPÓN</v>
          </cell>
        </row>
        <row r="941">
          <cell r="AI941" t="str">
            <v>SIMACOTA</v>
          </cell>
        </row>
        <row r="942">
          <cell r="AI942" t="str">
            <v>SOCORRO</v>
          </cell>
        </row>
        <row r="943">
          <cell r="AI943" t="str">
            <v>SUAITA</v>
          </cell>
        </row>
        <row r="944">
          <cell r="AI944" t="str">
            <v>SUCRE - SANTANDER</v>
          </cell>
        </row>
        <row r="945">
          <cell r="AI945" t="str">
            <v>SURATÁ</v>
          </cell>
        </row>
        <row r="946">
          <cell r="AI946" t="str">
            <v>TONA</v>
          </cell>
        </row>
        <row r="947">
          <cell r="AI947" t="str">
            <v>VALLE DE SAN JOSÉ</v>
          </cell>
        </row>
        <row r="948">
          <cell r="AI948" t="str">
            <v>VÉLEZ</v>
          </cell>
        </row>
        <row r="949">
          <cell r="AI949" t="str">
            <v>VETAS</v>
          </cell>
        </row>
        <row r="950">
          <cell r="AI950" t="str">
            <v>VILLANUEVA - SANTANDER</v>
          </cell>
        </row>
        <row r="951">
          <cell r="AI951" t="str">
            <v>ZAPATOCA</v>
          </cell>
        </row>
        <row r="952">
          <cell r="AI952" t="str">
            <v>DEPARTAMENTO DE SUCRE</v>
          </cell>
        </row>
        <row r="953">
          <cell r="AI953" t="str">
            <v>SINCELEJO</v>
          </cell>
        </row>
        <row r="954">
          <cell r="AI954" t="str">
            <v>BUENAVISTA - SUCRE</v>
          </cell>
        </row>
        <row r="955">
          <cell r="AI955" t="str">
            <v>CAIMITO</v>
          </cell>
        </row>
        <row r="956">
          <cell r="AI956" t="str">
            <v>COLOSÓ (RICAURTE)</v>
          </cell>
        </row>
        <row r="957">
          <cell r="AI957" t="str">
            <v>COROZAL</v>
          </cell>
        </row>
        <row r="958">
          <cell r="AI958" t="str">
            <v>CHALÁN</v>
          </cell>
        </row>
        <row r="959">
          <cell r="AI959" t="str">
            <v>EL ROBLE</v>
          </cell>
        </row>
        <row r="960">
          <cell r="AI960" t="str">
            <v>GALERAS</v>
          </cell>
        </row>
        <row r="961">
          <cell r="AI961" t="str">
            <v>GUARANDA</v>
          </cell>
        </row>
        <row r="962">
          <cell r="AI962" t="str">
            <v>GUACHENÉ</v>
          </cell>
        </row>
        <row r="963">
          <cell r="AI963" t="str">
            <v>LA UNIÓN DE SUCRE</v>
          </cell>
        </row>
        <row r="964">
          <cell r="AI964" t="str">
            <v>LOS PALMITOS</v>
          </cell>
        </row>
        <row r="965">
          <cell r="AI965" t="str">
            <v>MAJAGUAL</v>
          </cell>
        </row>
        <row r="966">
          <cell r="AI966" t="str">
            <v>MORROA</v>
          </cell>
        </row>
        <row r="967">
          <cell r="AI967" t="str">
            <v>OVEJAS</v>
          </cell>
        </row>
        <row r="968">
          <cell r="AI968" t="str">
            <v>SAN ANTONIO DE PALMITO</v>
          </cell>
        </row>
        <row r="969">
          <cell r="AI969" t="str">
            <v>SAMPUÉS</v>
          </cell>
        </row>
        <row r="970">
          <cell r="AI970" t="str">
            <v>SAN BENITO ABAD</v>
          </cell>
        </row>
        <row r="971">
          <cell r="AI971" t="str">
            <v>SAN JUAN DE BETULIA</v>
          </cell>
        </row>
        <row r="972">
          <cell r="AI972" t="str">
            <v>SAN MARCOS</v>
          </cell>
        </row>
        <row r="973">
          <cell r="AI973" t="str">
            <v>SAN ONOFRE</v>
          </cell>
        </row>
        <row r="974">
          <cell r="AI974" t="str">
            <v>SAN PEDRO - SUCRE</v>
          </cell>
        </row>
        <row r="975">
          <cell r="AI975" t="str">
            <v>SINCÉ</v>
          </cell>
        </row>
        <row r="976">
          <cell r="AI976" t="str">
            <v>SUCRE - SUCRE</v>
          </cell>
        </row>
        <row r="977">
          <cell r="AI977" t="str">
            <v>SANTIAGO DE TOLÚ</v>
          </cell>
        </row>
        <row r="978">
          <cell r="AI978" t="str">
            <v>TOLUVIEJO</v>
          </cell>
        </row>
        <row r="979">
          <cell r="AI979" t="str">
            <v>MANIZALES SEGURA S.A</v>
          </cell>
        </row>
        <row r="980">
          <cell r="AI980" t="str">
            <v>SAN JOSE DE URE</v>
          </cell>
        </row>
        <row r="981">
          <cell r="AI981" t="str">
            <v>NOROSI</v>
          </cell>
        </row>
        <row r="982">
          <cell r="AI982" t="str">
            <v>TUCHIN</v>
          </cell>
        </row>
        <row r="983">
          <cell r="AI983" t="str">
            <v>TELECALI S.A.</v>
          </cell>
        </row>
        <row r="984">
          <cell r="AI984" t="str">
            <v>MONTERÍA CIUDAD AMABLE S.A.S.</v>
          </cell>
        </row>
        <row r="985">
          <cell r="AI985" t="str">
            <v>CENIT TRANSPORTE Y LOGÍSTICA DE HIDROCARBUROS S.A.S.</v>
          </cell>
        </row>
        <row r="986">
          <cell r="AI986" t="str">
            <v>DEPARTAMENTO DEL TOLIMA</v>
          </cell>
        </row>
        <row r="987">
          <cell r="AI987" t="str">
            <v>IBAGUE</v>
          </cell>
        </row>
        <row r="988">
          <cell r="AI988" t="str">
            <v>ALPUJARRA</v>
          </cell>
        </row>
        <row r="989">
          <cell r="AI989" t="str">
            <v>ALVARADO</v>
          </cell>
        </row>
        <row r="990">
          <cell r="AI990" t="str">
            <v>AMBALEMA</v>
          </cell>
        </row>
        <row r="991">
          <cell r="AI991" t="str">
            <v>ANZOÁTEGUI</v>
          </cell>
        </row>
        <row r="992">
          <cell r="AI992" t="str">
            <v>ARMERO - GUAYABAL</v>
          </cell>
        </row>
        <row r="993">
          <cell r="AI993" t="str">
            <v>ATACO</v>
          </cell>
        </row>
        <row r="994">
          <cell r="AI994" t="str">
            <v>CAJAMARCA</v>
          </cell>
        </row>
        <row r="995">
          <cell r="AI995" t="str">
            <v>CARMEN DE APICALA</v>
          </cell>
        </row>
        <row r="996">
          <cell r="AI996" t="str">
            <v>CASABIANCA</v>
          </cell>
        </row>
        <row r="997">
          <cell r="AI997" t="str">
            <v>CHAPARRAL</v>
          </cell>
        </row>
        <row r="998">
          <cell r="AI998" t="str">
            <v>COELLO</v>
          </cell>
        </row>
        <row r="999">
          <cell r="AI999" t="str">
            <v>COYAIMA</v>
          </cell>
        </row>
        <row r="1000">
          <cell r="AI1000" t="str">
            <v>CUNDAY</v>
          </cell>
        </row>
        <row r="1001">
          <cell r="AI1001" t="str">
            <v>DOLORES</v>
          </cell>
        </row>
        <row r="1002">
          <cell r="AI1002" t="str">
            <v>EL ESPINAL</v>
          </cell>
        </row>
        <row r="1003">
          <cell r="AI1003" t="str">
            <v>FALAN</v>
          </cell>
        </row>
        <row r="1004">
          <cell r="AI1004" t="str">
            <v>FLANDES</v>
          </cell>
        </row>
        <row r="1005">
          <cell r="AI1005" t="str">
            <v>FRESNO</v>
          </cell>
        </row>
        <row r="1006">
          <cell r="AI1006" t="str">
            <v>EL GUAMO - TOLIMA</v>
          </cell>
        </row>
        <row r="1007">
          <cell r="AI1007" t="str">
            <v>HERVEO</v>
          </cell>
        </row>
        <row r="1008">
          <cell r="AI1008" t="str">
            <v>HONDA</v>
          </cell>
        </row>
        <row r="1009">
          <cell r="AI1009" t="str">
            <v>ICONONZO</v>
          </cell>
        </row>
        <row r="1010">
          <cell r="AI1010" t="str">
            <v>LÉRIDA</v>
          </cell>
        </row>
        <row r="1011">
          <cell r="AI1011" t="str">
            <v>LIBANO</v>
          </cell>
        </row>
        <row r="1012">
          <cell r="AI1012" t="str">
            <v>SAN SEBASTIAN DE MARIQUITA</v>
          </cell>
        </row>
        <row r="1013">
          <cell r="AI1013" t="str">
            <v>MELGAR</v>
          </cell>
        </row>
        <row r="1014">
          <cell r="AI1014" t="str">
            <v>MURILLO</v>
          </cell>
        </row>
        <row r="1015">
          <cell r="AI1015" t="str">
            <v>NATAGAIMA</v>
          </cell>
        </row>
        <row r="1016">
          <cell r="AI1016" t="str">
            <v>ORTEGA</v>
          </cell>
        </row>
        <row r="1017">
          <cell r="AI1017" t="str">
            <v>PALOCABILDO</v>
          </cell>
        </row>
        <row r="1018">
          <cell r="AI1018" t="str">
            <v>PIEDRAS</v>
          </cell>
        </row>
        <row r="1019">
          <cell r="AI1019" t="str">
            <v>PLANADAS</v>
          </cell>
        </row>
        <row r="1020">
          <cell r="AI1020" t="str">
            <v>PRADO</v>
          </cell>
        </row>
        <row r="1021">
          <cell r="AI1021" t="str">
            <v>PURIFICACIÓN</v>
          </cell>
        </row>
        <row r="1022">
          <cell r="AI1022" t="str">
            <v>RIOBLANCO</v>
          </cell>
        </row>
        <row r="1023">
          <cell r="AI1023" t="str">
            <v>RONCESVALLES</v>
          </cell>
        </row>
        <row r="1024">
          <cell r="AI1024" t="str">
            <v>ROVIRA</v>
          </cell>
        </row>
        <row r="1025">
          <cell r="AI1025" t="str">
            <v>SALDAÑA</v>
          </cell>
        </row>
        <row r="1026">
          <cell r="AI1026" t="str">
            <v>SAN ANTONIO</v>
          </cell>
        </row>
        <row r="1027">
          <cell r="AI1027" t="str">
            <v>SAN LUIS - TOLIMA</v>
          </cell>
        </row>
        <row r="1028">
          <cell r="AI1028" t="str">
            <v>SANTA ISABEL</v>
          </cell>
        </row>
        <row r="1029">
          <cell r="AI1029" t="str">
            <v>SUÁREZ - TOLIMA</v>
          </cell>
        </row>
        <row r="1030">
          <cell r="AI1030" t="str">
            <v>VALLE DE SAN JUAN</v>
          </cell>
        </row>
        <row r="1031">
          <cell r="AI1031" t="str">
            <v>VENADILLO</v>
          </cell>
        </row>
        <row r="1032">
          <cell r="AI1032" t="str">
            <v>VILLAHERMOSA</v>
          </cell>
        </row>
        <row r="1033">
          <cell r="AI1033" t="str">
            <v>VILLARRICA - TOLIMA</v>
          </cell>
        </row>
        <row r="1034">
          <cell r="AI1034" t="str">
            <v>DEPARTAMENTO DEL VALLE DEL CAUCA</v>
          </cell>
        </row>
        <row r="1035">
          <cell r="AI1035" t="str">
            <v>SANTIAGO DE CALI</v>
          </cell>
        </row>
        <row r="1036">
          <cell r="AI1036" t="str">
            <v>ALCALÁ</v>
          </cell>
        </row>
        <row r="1037">
          <cell r="AI1037" t="str">
            <v>ANDALUCÍA</v>
          </cell>
        </row>
        <row r="1038">
          <cell r="AI1038" t="str">
            <v>ANSERMANUEVO</v>
          </cell>
        </row>
        <row r="1039">
          <cell r="AI1039" t="str">
            <v>ARGELIA - VALLE DEL CAUCA</v>
          </cell>
        </row>
        <row r="1040">
          <cell r="AI1040" t="str">
            <v>BOLÍVAR - VALLE DEL CAUCA</v>
          </cell>
        </row>
        <row r="1041">
          <cell r="AI1041" t="str">
            <v>BUENAVENTURA</v>
          </cell>
        </row>
        <row r="1042">
          <cell r="AI1042" t="str">
            <v>GUADALAJARA DE BUGA</v>
          </cell>
        </row>
        <row r="1043">
          <cell r="AI1043" t="str">
            <v>BUGALAGRANDE</v>
          </cell>
        </row>
        <row r="1044">
          <cell r="AI1044" t="str">
            <v>CAICEDONIA</v>
          </cell>
        </row>
        <row r="1045">
          <cell r="AI1045" t="str">
            <v>CALIMA DEL DARIEN</v>
          </cell>
        </row>
        <row r="1046">
          <cell r="AI1046" t="str">
            <v>CANDELARIA - VALLE DEL CAUCA</v>
          </cell>
        </row>
        <row r="1047">
          <cell r="AI1047" t="str">
            <v>CARTAGO</v>
          </cell>
        </row>
        <row r="1048">
          <cell r="AI1048" t="str">
            <v>DAGUA</v>
          </cell>
        </row>
        <row r="1049">
          <cell r="AI1049" t="str">
            <v>EL AGUILA</v>
          </cell>
        </row>
        <row r="1050">
          <cell r="AI1050" t="str">
            <v>EL CAIRO</v>
          </cell>
        </row>
        <row r="1051">
          <cell r="AI1051" t="str">
            <v>EL CERRITO</v>
          </cell>
        </row>
        <row r="1052">
          <cell r="AI1052" t="str">
            <v>EL DOVIO</v>
          </cell>
        </row>
        <row r="1053">
          <cell r="AI1053" t="str">
            <v>FLORIDA</v>
          </cell>
        </row>
        <row r="1054">
          <cell r="AI1054" t="str">
            <v>GINEBRA</v>
          </cell>
        </row>
        <row r="1055">
          <cell r="AI1055" t="str">
            <v>SAN JUAN BAUTISTA DE GUACARI</v>
          </cell>
        </row>
        <row r="1056">
          <cell r="AI1056" t="str">
            <v>JAMUNDÍ</v>
          </cell>
        </row>
        <row r="1057">
          <cell r="AI1057" t="str">
            <v>LA CUMBRE</v>
          </cell>
        </row>
        <row r="1058">
          <cell r="AI1058" t="str">
            <v>LA UNIÓN - VALLE DEL CAUCA</v>
          </cell>
        </row>
        <row r="1059">
          <cell r="AI1059" t="str">
            <v>LA VICTORIA - VALLE DEL CAUCA</v>
          </cell>
        </row>
        <row r="1060">
          <cell r="AI1060" t="str">
            <v>OBANDO</v>
          </cell>
        </row>
        <row r="1061">
          <cell r="AI1061" t="str">
            <v>PALMIRA</v>
          </cell>
        </row>
        <row r="1062">
          <cell r="AI1062" t="str">
            <v>PRADERA</v>
          </cell>
        </row>
        <row r="1063">
          <cell r="AI1063" t="str">
            <v>RESTREPO - VALLE DEL CAUCA</v>
          </cell>
        </row>
        <row r="1064">
          <cell r="AI1064" t="str">
            <v>RIOFRÍO</v>
          </cell>
        </row>
        <row r="1065">
          <cell r="AI1065" t="str">
            <v>ROLDANILLO</v>
          </cell>
        </row>
        <row r="1066">
          <cell r="AI1066" t="str">
            <v>SAN PEDRO - VALLE DEL CAUCA</v>
          </cell>
        </row>
        <row r="1067">
          <cell r="AI1067" t="str">
            <v>SEVILLA</v>
          </cell>
        </row>
        <row r="1068">
          <cell r="AI1068" t="str">
            <v>TORO</v>
          </cell>
        </row>
        <row r="1069">
          <cell r="AI1069" t="str">
            <v>TRUJILLO</v>
          </cell>
        </row>
        <row r="1070">
          <cell r="AI1070" t="str">
            <v>TULUÁ</v>
          </cell>
        </row>
        <row r="1071">
          <cell r="AI1071" t="str">
            <v>ULLOA</v>
          </cell>
        </row>
        <row r="1072">
          <cell r="AI1072" t="str">
            <v>VERSALLES</v>
          </cell>
        </row>
        <row r="1073">
          <cell r="AI1073" t="str">
            <v>VIJES</v>
          </cell>
        </row>
        <row r="1074">
          <cell r="AI1074" t="str">
            <v>YOTOCO</v>
          </cell>
        </row>
        <row r="1075">
          <cell r="AI1075" t="str">
            <v>YUMBO</v>
          </cell>
        </row>
        <row r="1076">
          <cell r="AI1076" t="str">
            <v>ZARZAL</v>
          </cell>
        </row>
        <row r="1077">
          <cell r="AI1077" t="str">
            <v>DEPARTAMENTO DEL ARAUCA</v>
          </cell>
        </row>
        <row r="1078">
          <cell r="AI1078" t="str">
            <v>ARAUCA</v>
          </cell>
        </row>
        <row r="1079">
          <cell r="AI1079" t="str">
            <v>ARAUQUITA</v>
          </cell>
        </row>
        <row r="1080">
          <cell r="AI1080" t="str">
            <v>CRAVO NORTE</v>
          </cell>
        </row>
        <row r="1081">
          <cell r="AI1081" t="str">
            <v>FORTUL</v>
          </cell>
        </row>
        <row r="1082">
          <cell r="AI1082" t="str">
            <v>PUERTO RONDÓN</v>
          </cell>
        </row>
        <row r="1083">
          <cell r="AI1083" t="str">
            <v>SARAVENA</v>
          </cell>
        </row>
        <row r="1084">
          <cell r="AI1084" t="str">
            <v>TAME</v>
          </cell>
        </row>
        <row r="1085">
          <cell r="AI1085" t="str">
            <v>DEPARTAMENTO DEL CASANARE</v>
          </cell>
        </row>
        <row r="1086">
          <cell r="AI1086" t="str">
            <v>YOPAL</v>
          </cell>
        </row>
        <row r="1087">
          <cell r="AI1087" t="str">
            <v>AGUAZUL</v>
          </cell>
        </row>
        <row r="1088">
          <cell r="AI1088" t="str">
            <v>CHÁMEZA</v>
          </cell>
        </row>
        <row r="1089">
          <cell r="AI1089" t="str">
            <v>HATO COROZAL</v>
          </cell>
        </row>
        <row r="1090">
          <cell r="AI1090" t="str">
            <v>LA SALINA</v>
          </cell>
        </row>
        <row r="1091">
          <cell r="AI1091" t="str">
            <v>MANÍ</v>
          </cell>
        </row>
        <row r="1092">
          <cell r="AI1092" t="str">
            <v>MONTERREY</v>
          </cell>
        </row>
        <row r="1093">
          <cell r="AI1093" t="str">
            <v>NUNCHÍA</v>
          </cell>
        </row>
        <row r="1094">
          <cell r="AI1094" t="str">
            <v>OROCUÉ</v>
          </cell>
        </row>
        <row r="1095">
          <cell r="AI1095" t="str">
            <v>PAZ DE ARIPORO</v>
          </cell>
        </row>
        <row r="1096">
          <cell r="AI1096" t="str">
            <v>PORE</v>
          </cell>
        </row>
        <row r="1097">
          <cell r="AI1097" t="str">
            <v>RECETOR</v>
          </cell>
        </row>
        <row r="1098">
          <cell r="AI1098" t="str">
            <v>SABANALARGA - CASANARE</v>
          </cell>
        </row>
        <row r="1099">
          <cell r="AI1099" t="str">
            <v>SÁCAMA</v>
          </cell>
        </row>
        <row r="1100">
          <cell r="AI1100" t="str">
            <v>SAN LUIS DE PALENQUE</v>
          </cell>
        </row>
        <row r="1101">
          <cell r="AI1101" t="str">
            <v>TÁMARA</v>
          </cell>
        </row>
        <row r="1102">
          <cell r="AI1102" t="str">
            <v>TAURAMENA</v>
          </cell>
        </row>
        <row r="1103">
          <cell r="AI1103" t="str">
            <v>TRINIDAD</v>
          </cell>
        </row>
        <row r="1104">
          <cell r="AI1104" t="str">
            <v>VILLANUEVA - CASANARE</v>
          </cell>
        </row>
        <row r="1105">
          <cell r="AI1105" t="str">
            <v>DEPARTAMENTO DEL PUTUMAYO</v>
          </cell>
        </row>
        <row r="1106">
          <cell r="AI1106" t="str">
            <v>SAN MIGUEL DE MOCOA</v>
          </cell>
        </row>
        <row r="1107">
          <cell r="AI1107" t="str">
            <v>COLÓN - PUTUMAYO</v>
          </cell>
        </row>
        <row r="1108">
          <cell r="AI1108" t="str">
            <v>ORITO</v>
          </cell>
        </row>
        <row r="1109">
          <cell r="AI1109" t="str">
            <v>PUERTO ASÍS</v>
          </cell>
        </row>
        <row r="1110">
          <cell r="AI1110" t="str">
            <v>PUERTO CAICEDO</v>
          </cell>
        </row>
        <row r="1111">
          <cell r="AI1111" t="str">
            <v>PUERTO GUZMÁN</v>
          </cell>
        </row>
        <row r="1112">
          <cell r="AI1112" t="str">
            <v>PUERTO LEGUÍZAMO</v>
          </cell>
        </row>
        <row r="1113">
          <cell r="AI1113" t="str">
            <v>SIBUNDOY</v>
          </cell>
        </row>
        <row r="1114">
          <cell r="AI1114" t="str">
            <v>SAN FRANCISCO - PUTUMAYO</v>
          </cell>
        </row>
        <row r="1115">
          <cell r="AI1115" t="str">
            <v>SAN MIGUEL - PUTUMAYO</v>
          </cell>
        </row>
        <row r="1116">
          <cell r="AI1116" t="str">
            <v>SANTIAGO - PUTUMAYO</v>
          </cell>
        </row>
        <row r="1117">
          <cell r="AI1117" t="str">
            <v>VALLE DEL GUAMUEZ (LA HORMIGA)</v>
          </cell>
        </row>
        <row r="1118">
          <cell r="AI1118" t="str">
            <v>VILLAGARZÓN (VILLA AMAZONICA)</v>
          </cell>
        </row>
        <row r="1119">
          <cell r="AI1119" t="str">
            <v>DEPARTAMENTO DEL ARCHIPIÉLAGO DE SAN ANDRÉS, PROVIDENCIA Y SANTA CATALINA</v>
          </cell>
        </row>
        <row r="1120">
          <cell r="AI1120" t="str">
            <v>PROVIDENCIA</v>
          </cell>
        </row>
        <row r="1121">
          <cell r="AI1121" t="str">
            <v>DEPARTAMENTO DEL AMAZONAS</v>
          </cell>
        </row>
        <row r="1122">
          <cell r="AI1122" t="str">
            <v>LETICIA</v>
          </cell>
        </row>
        <row r="1123">
          <cell r="AI1123" t="str">
            <v>PUERTO NARIÑO</v>
          </cell>
        </row>
        <row r="1124">
          <cell r="AI1124" t="str">
            <v>DEPARTAMENTO DEL GUAINIA</v>
          </cell>
        </row>
        <row r="1125">
          <cell r="AI1125" t="str">
            <v>PUERTO INÍRIDA</v>
          </cell>
        </row>
        <row r="1126">
          <cell r="AI1126" t="str">
            <v>DEPARTAMENTO DEL GUAVIARE</v>
          </cell>
        </row>
        <row r="1127">
          <cell r="AI1127" t="str">
            <v>SAN JOSÉ DEL GUAVIARE</v>
          </cell>
        </row>
        <row r="1128">
          <cell r="AI1128" t="str">
            <v>CALAMAR - GUAVIARE</v>
          </cell>
        </row>
        <row r="1129">
          <cell r="AI1129" t="str">
            <v>EL RETORNO</v>
          </cell>
        </row>
        <row r="1130">
          <cell r="AI1130" t="str">
            <v>MIRAFLORES - GUAVIARE</v>
          </cell>
        </row>
        <row r="1131">
          <cell r="AI1131" t="str">
            <v>DEPARTAMENTO DEL VAUPES</v>
          </cell>
        </row>
        <row r="1132">
          <cell r="AI1132" t="str">
            <v>MITU</v>
          </cell>
        </row>
        <row r="1133">
          <cell r="AI1133" t="str">
            <v>CARURU</v>
          </cell>
        </row>
        <row r="1134">
          <cell r="AI1134" t="str">
            <v>TARAIRA</v>
          </cell>
        </row>
        <row r="1135">
          <cell r="AI1135" t="str">
            <v>DEPARTAMENTO DEL VICHADA</v>
          </cell>
        </row>
        <row r="1136">
          <cell r="AI1136" t="str">
            <v>PUERTO CARREÑO</v>
          </cell>
        </row>
        <row r="1137">
          <cell r="AI1137" t="str">
            <v>LA PRIMAVERA</v>
          </cell>
        </row>
        <row r="1138">
          <cell r="AI1138" t="str">
            <v>SANTA ROSALÍA</v>
          </cell>
        </row>
        <row r="1139">
          <cell r="AI1139" t="str">
            <v>CUMARIBO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  <sheetName val="RESUMEN"/>
      <sheetName val="EMBI"/>
      <sheetName val="Educa 94-01 miles corrientes"/>
    </sheetNames>
    <sheetDataSet>
      <sheetData sheetId="0" refreshError="1"/>
      <sheetData sheetId="1" refreshError="1">
        <row r="9">
          <cell r="B9" t="str">
            <v>Cuadro 2b</v>
          </cell>
        </row>
        <row r="10">
          <cell r="B10" t="str">
            <v xml:space="preserve">SECTOR PUBLICO NO FINANCIERO </v>
          </cell>
        </row>
        <row r="12">
          <cell r="B12" t="str">
            <v>(MILLONES DE PESOS)</v>
          </cell>
        </row>
        <row r="13">
          <cell r="C13" t="str">
            <v>ESCENARIO CON AJUSTES</v>
          </cell>
          <cell r="H13" t="str">
            <v xml:space="preserve">  </v>
          </cell>
        </row>
        <row r="14">
          <cell r="B14" t="str">
            <v>GOBIERNO NACIONAL</v>
          </cell>
        </row>
        <row r="15">
          <cell r="Y15">
            <v>36504.734179629631</v>
          </cell>
        </row>
        <row r="17">
          <cell r="W17" t="str">
            <v>PORCENTAJE DEL PIB</v>
          </cell>
        </row>
        <row r="18">
          <cell r="E18" t="str">
            <v>CONCEPTOS</v>
          </cell>
          <cell r="H18" t="str">
            <v xml:space="preserve">        1993</v>
          </cell>
          <cell r="I18" t="str">
            <v xml:space="preserve">        1994</v>
          </cell>
          <cell r="J18" t="str">
            <v xml:space="preserve">        1995</v>
          </cell>
          <cell r="K18" t="str">
            <v xml:space="preserve">        1996</v>
          </cell>
          <cell r="L18" t="str">
            <v xml:space="preserve">        1997</v>
          </cell>
          <cell r="M18" t="str">
            <v xml:space="preserve">        1998</v>
          </cell>
          <cell r="N18" t="str">
            <v xml:space="preserve">        1999</v>
          </cell>
          <cell r="O18" t="str">
            <v xml:space="preserve">        2000</v>
          </cell>
          <cell r="P18">
            <v>2001</v>
          </cell>
          <cell r="Q18">
            <v>2002</v>
          </cell>
          <cell r="R18">
            <v>2003</v>
          </cell>
          <cell r="S18">
            <v>2004</v>
          </cell>
          <cell r="T18">
            <v>2005</v>
          </cell>
          <cell r="U18" t="str">
            <v xml:space="preserve">        1993</v>
          </cell>
          <cell r="V18" t="str">
            <v xml:space="preserve">        1994</v>
          </cell>
          <cell r="W18" t="str">
            <v xml:space="preserve">        1995</v>
          </cell>
          <cell r="X18" t="str">
            <v xml:space="preserve">        1996</v>
          </cell>
          <cell r="Y18" t="str">
            <v xml:space="preserve">        1997</v>
          </cell>
          <cell r="Z18" t="str">
            <v xml:space="preserve">        1998</v>
          </cell>
          <cell r="AA18" t="str">
            <v xml:space="preserve">        1999</v>
          </cell>
          <cell r="AB18" t="str">
            <v xml:space="preserve">        2000</v>
          </cell>
        </row>
        <row r="21">
          <cell r="C21" t="str">
            <v xml:space="preserve"> 1.</v>
          </cell>
          <cell r="D21" t="str">
            <v xml:space="preserve"> INGRESOS TOTALES</v>
          </cell>
          <cell r="H21">
            <v>5907600.3079954172</v>
          </cell>
          <cell r="I21">
            <v>7700800</v>
          </cell>
          <cell r="J21">
            <v>9523699.209999999</v>
          </cell>
          <cell r="K21">
            <v>12048768</v>
          </cell>
          <cell r="L21">
            <v>15287795.690864535</v>
          </cell>
          <cell r="M21">
            <v>16883418</v>
          </cell>
          <cell r="N21">
            <v>20104461</v>
          </cell>
          <cell r="O21">
            <v>22954281.374545835</v>
          </cell>
          <cell r="P21">
            <v>26884218.527028114</v>
          </cell>
          <cell r="Q21">
            <v>30400205.534018699</v>
          </cell>
          <cell r="R21">
            <v>33447283.291050017</v>
          </cell>
          <cell r="S21">
            <v>36346372.138895892</v>
          </cell>
          <cell r="T21">
            <v>40860117.549001813</v>
          </cell>
          <cell r="U21">
            <v>13.45751052104413</v>
          </cell>
          <cell r="V21">
            <v>13.281296754577992</v>
          </cell>
          <cell r="W21">
            <v>12.955499297505174</v>
          </cell>
          <cell r="X21">
            <v>13.458728036460998</v>
          </cell>
          <cell r="Y21">
            <v>12.314731967955858</v>
          </cell>
          <cell r="Z21">
            <v>11.844430210932694</v>
          </cell>
          <cell r="AA21">
            <v>13.100613585202014</v>
          </cell>
          <cell r="AB21">
            <v>13.025585863029439</v>
          </cell>
        </row>
        <row r="22">
          <cell r="D22" t="str">
            <v xml:space="preserve"> 1.1.</v>
          </cell>
          <cell r="E22" t="str">
            <v>INGRESOS CORRIENTES</v>
          </cell>
          <cell r="H22">
            <v>5263700.6850998439</v>
          </cell>
          <cell r="I22">
            <v>6861486</v>
          </cell>
          <cell r="J22">
            <v>8461545.209999999</v>
          </cell>
          <cell r="K22">
            <v>10503503</v>
          </cell>
          <cell r="L22">
            <v>13687699.342834629</v>
          </cell>
          <cell r="M22">
            <v>15006976</v>
          </cell>
          <cell r="N22">
            <v>16400237</v>
          </cell>
          <cell r="O22">
            <v>20121494.774545837</v>
          </cell>
          <cell r="P22">
            <v>23540534.267028112</v>
          </cell>
          <cell r="Q22">
            <v>26701514.8384187</v>
          </cell>
          <cell r="R22">
            <v>29623705.342883013</v>
          </cell>
          <cell r="S22">
            <v>32256610.720940348</v>
          </cell>
          <cell r="T22">
            <v>36473628.937412955</v>
          </cell>
          <cell r="U22">
            <v>11.990707504955546</v>
          </cell>
          <cell r="V22">
            <v>11.833761653773937</v>
          </cell>
          <cell r="W22">
            <v>11.510605344282316</v>
          </cell>
          <cell r="X22">
            <v>11.732634432595283</v>
          </cell>
          <cell r="Y22">
            <v>11.025811181248315</v>
          </cell>
          <cell r="Z22">
            <v>10.528026961669838</v>
          </cell>
          <cell r="AA22">
            <v>10.686840479967742</v>
          </cell>
          <cell r="AB22">
            <v>11.418099029185171</v>
          </cell>
        </row>
        <row r="23">
          <cell r="E23" t="str">
            <v xml:space="preserve">  1.1.1.</v>
          </cell>
          <cell r="F23" t="str">
            <v>TRIBUTARIOS</v>
          </cell>
          <cell r="H23">
            <v>5051354.6850998439</v>
          </cell>
          <cell r="I23">
            <v>6731364</v>
          </cell>
          <cell r="J23">
            <v>8229679.2799999993</v>
          </cell>
          <cell r="K23">
            <v>10171715</v>
          </cell>
          <cell r="L23">
            <v>13148299.554000001</v>
          </cell>
          <cell r="M23">
            <v>14825238</v>
          </cell>
          <cell r="N23">
            <v>16128233</v>
          </cell>
          <cell r="O23">
            <v>19382413.840017654</v>
          </cell>
          <cell r="P23">
            <v>23059998.070563033</v>
          </cell>
          <cell r="Q23">
            <v>26545378.694288172</v>
          </cell>
          <cell r="R23">
            <v>29431895.680207804</v>
          </cell>
          <cell r="S23">
            <v>32037180.466513693</v>
          </cell>
          <cell r="T23">
            <v>36222600.726463035</v>
          </cell>
          <cell r="U23">
            <v>11.506983424090755</v>
          </cell>
          <cell r="V23">
            <v>11.60934485340265</v>
          </cell>
          <cell r="W23">
            <v>11.195188107031038</v>
          </cell>
          <cell r="X23">
            <v>11.362020237205238</v>
          </cell>
          <cell r="Y23">
            <v>10.591310095716423</v>
          </cell>
          <cell r="Z23">
            <v>10.400530085286485</v>
          </cell>
          <cell r="AA23">
            <v>10.509595275650685</v>
          </cell>
          <cell r="AB23">
            <v>10.998701792768076</v>
          </cell>
        </row>
        <row r="24">
          <cell r="F24" t="str">
            <v>Renta</v>
          </cell>
          <cell r="H24">
            <v>2053778</v>
          </cell>
          <cell r="I24">
            <v>2726730</v>
          </cell>
          <cell r="J24">
            <v>3257473</v>
          </cell>
          <cell r="K24">
            <v>3637291</v>
          </cell>
          <cell r="L24">
            <v>5081160.7374290004</v>
          </cell>
          <cell r="M24">
            <v>5764752</v>
          </cell>
          <cell r="N24">
            <v>6035064</v>
          </cell>
          <cell r="O24">
            <v>6761800</v>
          </cell>
          <cell r="P24">
            <v>7864403.8464191798</v>
          </cell>
          <cell r="Q24">
            <v>9076043.5092593804</v>
          </cell>
          <cell r="R24">
            <v>10943170.717495337</v>
          </cell>
          <cell r="S24">
            <v>12377808.872159338</v>
          </cell>
          <cell r="T24">
            <v>14011512.910577733</v>
          </cell>
          <cell r="U24">
            <v>4.6785052478046572</v>
          </cell>
          <cell r="V24">
            <v>4.7026945641505362</v>
          </cell>
          <cell r="W24">
            <v>4.4312811894383719</v>
          </cell>
          <cell r="X24">
            <v>4.0629307791856615</v>
          </cell>
          <cell r="Y24">
            <v>4.0930120883896057</v>
          </cell>
          <cell r="Z24">
            <v>4.044216801795387</v>
          </cell>
          <cell r="AA24">
            <v>3.9326118430115393</v>
          </cell>
          <cell r="AB24">
            <v>3.8370361089282898</v>
          </cell>
        </row>
        <row r="25">
          <cell r="F25" t="str">
            <v>Ventas internas</v>
          </cell>
          <cell r="H25">
            <v>1270304</v>
          </cell>
          <cell r="I25">
            <v>1688410</v>
          </cell>
          <cell r="J25">
            <v>2064330</v>
          </cell>
          <cell r="K25">
            <v>2804742</v>
          </cell>
          <cell r="L25">
            <v>3829700</v>
          </cell>
          <cell r="M25">
            <v>4037970</v>
          </cell>
          <cell r="N25">
            <v>3993819</v>
          </cell>
          <cell r="O25">
            <v>5222366.5599999996</v>
          </cell>
          <cell r="P25">
            <v>6360920.4053122215</v>
          </cell>
          <cell r="Q25">
            <v>7480264.3391452357</v>
          </cell>
          <cell r="R25">
            <v>8614424.9488249905</v>
          </cell>
          <cell r="S25">
            <v>9854902.0121063925</v>
          </cell>
          <cell r="T25">
            <v>11274007.752722001</v>
          </cell>
          <cell r="U25">
            <v>2.8937518710918355</v>
          </cell>
          <cell r="V25">
            <v>2.91194087022089</v>
          </cell>
          <cell r="W25">
            <v>2.8081972430142361</v>
          </cell>
          <cell r="X25">
            <v>3.1329559827560542</v>
          </cell>
          <cell r="Y25">
            <v>3.084926693902823</v>
          </cell>
          <cell r="Z25">
            <v>2.8328063582172689</v>
          </cell>
          <cell r="AA25">
            <v>2.6024810835882608</v>
          </cell>
          <cell r="AB25">
            <v>2.963472605634538</v>
          </cell>
        </row>
        <row r="26">
          <cell r="F26" t="str">
            <v>Ventas externas</v>
          </cell>
          <cell r="H26">
            <v>811677</v>
          </cell>
          <cell r="I26">
            <v>1083655</v>
          </cell>
          <cell r="J26">
            <v>1412000.57</v>
          </cell>
          <cell r="K26">
            <v>1378928.75</v>
          </cell>
          <cell r="L26">
            <v>2006900</v>
          </cell>
          <cell r="M26">
            <v>2368507</v>
          </cell>
          <cell r="N26">
            <v>1867124</v>
          </cell>
          <cell r="O26">
            <v>2764967</v>
          </cell>
          <cell r="P26">
            <v>2810127.8624632023</v>
          </cell>
          <cell r="Q26">
            <v>3237569.8594494509</v>
          </cell>
          <cell r="R26">
            <v>3969400.4033376002</v>
          </cell>
          <cell r="S26">
            <v>4429317.2790943999</v>
          </cell>
          <cell r="T26">
            <v>4905586.9443504</v>
          </cell>
          <cell r="U26">
            <v>1.8489997964835252</v>
          </cell>
          <cell r="V26">
            <v>1.8689413612328867</v>
          </cell>
          <cell r="W26">
            <v>1.9208053498270774</v>
          </cell>
          <cell r="X26">
            <v>1.5402925035909993</v>
          </cell>
          <cell r="Y26">
            <v>1.6166121059074015</v>
          </cell>
          <cell r="Z26">
            <v>1.6616076120134893</v>
          </cell>
          <cell r="AA26">
            <v>1.2166687801108782</v>
          </cell>
          <cell r="AB26">
            <v>1.5690020732637948</v>
          </cell>
        </row>
        <row r="27">
          <cell r="F27" t="str">
            <v>Aduanas</v>
          </cell>
          <cell r="H27">
            <v>508123</v>
          </cell>
          <cell r="I27">
            <v>718041</v>
          </cell>
          <cell r="J27">
            <v>868730.35</v>
          </cell>
          <cell r="K27">
            <v>912710</v>
          </cell>
          <cell r="L27">
            <v>1240900</v>
          </cell>
          <cell r="M27">
            <v>1646641</v>
          </cell>
          <cell r="N27">
            <v>1360239</v>
          </cell>
          <cell r="O27">
            <v>2110784</v>
          </cell>
          <cell r="P27">
            <v>2253717.4192327252</v>
          </cell>
          <cell r="Q27">
            <v>2597327.7729860581</v>
          </cell>
          <cell r="R27">
            <v>2416436.9338500001</v>
          </cell>
          <cell r="S27">
            <v>2696418.7981499997</v>
          </cell>
          <cell r="T27">
            <v>2986355.6885249997</v>
          </cell>
          <cell r="U27">
            <v>1.1575039376360279</v>
          </cell>
          <cell r="V27">
            <v>1.2383798570218596</v>
          </cell>
          <cell r="W27">
            <v>1.1817714095095224</v>
          </cell>
          <cell r="X27">
            <v>1.0195163245037433</v>
          </cell>
          <cell r="Y27">
            <v>0.99957843550774539</v>
          </cell>
          <cell r="Z27">
            <v>1.1551881501103878</v>
          </cell>
          <cell r="AA27">
            <v>0.88636872794160482</v>
          </cell>
          <cell r="AB27">
            <v>1.197780831457318</v>
          </cell>
        </row>
        <row r="28">
          <cell r="F28" t="str">
            <v>Gasolina</v>
          </cell>
          <cell r="H28">
            <v>319997.68509984389</v>
          </cell>
          <cell r="I28">
            <v>405857</v>
          </cell>
          <cell r="J28">
            <v>465782.39</v>
          </cell>
          <cell r="K28">
            <v>637180.5</v>
          </cell>
          <cell r="L28">
            <v>636400</v>
          </cell>
          <cell r="M28">
            <v>641768</v>
          </cell>
          <cell r="N28">
            <v>799292</v>
          </cell>
          <cell r="O28">
            <v>939040.28001765453</v>
          </cell>
          <cell r="P28">
            <v>1310298</v>
          </cell>
          <cell r="Q28">
            <v>1512491</v>
          </cell>
          <cell r="R28">
            <v>1700369.0592616</v>
          </cell>
          <cell r="S28">
            <v>1948541.6215686558</v>
          </cell>
          <cell r="T28">
            <v>2209797.9160182984</v>
          </cell>
          <cell r="U28">
            <v>0.72895456520858726</v>
          </cell>
          <cell r="V28">
            <v>0.6999671796336433</v>
          </cell>
          <cell r="W28">
            <v>0.63362389900964566</v>
          </cell>
          <cell r="X28">
            <v>0.71174406044138594</v>
          </cell>
          <cell r="Y28">
            <v>0.51263737316232505</v>
          </cell>
          <cell r="Z28">
            <v>0.45022733474998089</v>
          </cell>
          <cell r="AA28">
            <v>0.52084040620354299</v>
          </cell>
          <cell r="AB28">
            <v>0.53286572542309341</v>
          </cell>
        </row>
        <row r="29">
          <cell r="F29" t="str">
            <v>Resto</v>
          </cell>
          <cell r="H29">
            <v>87475</v>
          </cell>
          <cell r="I29">
            <v>108671</v>
          </cell>
          <cell r="J29">
            <v>161362.96999999997</v>
          </cell>
          <cell r="K29">
            <v>171960</v>
          </cell>
          <cell r="L29">
            <v>278838.596571</v>
          </cell>
          <cell r="M29">
            <v>365600</v>
          </cell>
          <cell r="N29">
            <v>1185151</v>
          </cell>
          <cell r="O29">
            <v>1583456</v>
          </cell>
          <cell r="P29">
            <v>1405162.5371357051</v>
          </cell>
          <cell r="Q29">
            <v>1587485.2134480462</v>
          </cell>
          <cell r="R29">
            <v>1213186.6174382728</v>
          </cell>
          <cell r="S29">
            <v>730191.88343491009</v>
          </cell>
          <cell r="T29">
            <v>835339.51426960295</v>
          </cell>
          <cell r="U29">
            <v>0.19926800586612206</v>
          </cell>
          <cell r="V29">
            <v>0.18742102114283515</v>
          </cell>
          <cell r="W29">
            <v>0.21950901623218616</v>
          </cell>
          <cell r="X29">
            <v>0.19208294766318293</v>
          </cell>
          <cell r="Y29">
            <v>0.22461201395730163</v>
          </cell>
          <cell r="Z29">
            <v>0.25648382839997164</v>
          </cell>
          <cell r="AA29">
            <v>0.77227662512890816</v>
          </cell>
          <cell r="AB29">
            <v>0.89854444806104217</v>
          </cell>
        </row>
        <row r="30">
          <cell r="F30" t="str">
            <v>Reforma y Racionalización Tributarias</v>
          </cell>
          <cell r="K30">
            <v>628902.75</v>
          </cell>
          <cell r="L30">
            <v>74400.22</v>
          </cell>
          <cell r="M30">
            <v>0</v>
          </cell>
          <cell r="N30">
            <v>887544</v>
          </cell>
          <cell r="O30">
            <v>0</v>
          </cell>
          <cell r="P30">
            <v>1055368</v>
          </cell>
          <cell r="Q30">
            <v>1054197</v>
          </cell>
          <cell r="R30">
            <v>574907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0.70249763906421159</v>
          </cell>
          <cell r="Y30">
            <v>5.9931384889219175E-2</v>
          </cell>
          <cell r="Z30">
            <v>0</v>
          </cell>
          <cell r="AA30">
            <v>0.57834780966595112</v>
          </cell>
          <cell r="AB30">
            <v>0</v>
          </cell>
        </row>
        <row r="31">
          <cell r="E31" t="str">
            <v xml:space="preserve">  1.1.2.</v>
          </cell>
          <cell r="F31" t="str">
            <v>NO TRIBUTARIOS</v>
          </cell>
          <cell r="H31">
            <v>212346</v>
          </cell>
          <cell r="I31">
            <v>130122</v>
          </cell>
          <cell r="J31">
            <v>231865.93</v>
          </cell>
          <cell r="K31">
            <v>331788</v>
          </cell>
          <cell r="L31">
            <v>539399.78883462772</v>
          </cell>
          <cell r="M31">
            <v>181738</v>
          </cell>
          <cell r="N31">
            <v>272004</v>
          </cell>
          <cell r="O31">
            <v>739080.93452818377</v>
          </cell>
          <cell r="P31">
            <v>480536.19646507886</v>
          </cell>
          <cell r="Q31">
            <v>156136.14413052661</v>
          </cell>
          <cell r="R31">
            <v>191809.66267521112</v>
          </cell>
          <cell r="S31">
            <v>219430.25442665338</v>
          </cell>
          <cell r="T31">
            <v>251028.21094991729</v>
          </cell>
          <cell r="U31">
            <v>0.48372408086479063</v>
          </cell>
          <cell r="V31">
            <v>0.22441680037128575</v>
          </cell>
          <cell r="W31">
            <v>0.31541723725127863</v>
          </cell>
          <cell r="X31">
            <v>0.37061419539004498</v>
          </cell>
          <cell r="Y31">
            <v>0.43450108553189259</v>
          </cell>
          <cell r="Z31">
            <v>0.12749687638335352</v>
          </cell>
          <cell r="AA31">
            <v>0.17724520431705626</v>
          </cell>
          <cell r="AB31">
            <v>0.41939723641709403</v>
          </cell>
        </row>
        <row r="32">
          <cell r="F32" t="str">
            <v>Contribución hidrocarburos</v>
          </cell>
          <cell r="H32">
            <v>92000</v>
          </cell>
          <cell r="I32">
            <v>115700</v>
          </cell>
          <cell r="J32">
            <v>172307.49</v>
          </cell>
          <cell r="K32">
            <v>267843</v>
          </cell>
          <cell r="L32">
            <v>278800</v>
          </cell>
          <cell r="M32">
            <v>41269</v>
          </cell>
          <cell r="N32">
            <v>14000</v>
          </cell>
          <cell r="O32">
            <v>58186.551473012805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0.20957595358311781</v>
          </cell>
          <cell r="V32">
            <v>0.19954368825377539</v>
          </cell>
          <cell r="W32">
            <v>0.23439731940566821</v>
          </cell>
          <cell r="X32">
            <v>0.29918628140817577</v>
          </cell>
          <cell r="Y32">
            <v>0.22458092337783822</v>
          </cell>
          <cell r="Z32">
            <v>2.8951945060827218E-2</v>
          </cell>
          <cell r="AA32">
            <v>9.1227807695430495E-3</v>
          </cell>
          <cell r="AB32">
            <v>3.3018412117478295E-2</v>
          </cell>
        </row>
        <row r="33">
          <cell r="F33" t="str">
            <v xml:space="preserve">Resto </v>
          </cell>
          <cell r="H33">
            <v>120346</v>
          </cell>
          <cell r="I33">
            <v>14422</v>
          </cell>
          <cell r="J33">
            <v>59558.44</v>
          </cell>
          <cell r="K33">
            <v>63945</v>
          </cell>
          <cell r="L33">
            <v>260599.78883462772</v>
          </cell>
          <cell r="M33">
            <v>140469</v>
          </cell>
          <cell r="N33">
            <v>258004</v>
          </cell>
          <cell r="O33">
            <v>680894.383055171</v>
          </cell>
          <cell r="P33">
            <v>480536.19646507886</v>
          </cell>
          <cell r="Q33">
            <v>156136.14413052661</v>
          </cell>
          <cell r="R33">
            <v>191809.66267521112</v>
          </cell>
          <cell r="S33">
            <v>219430.25442665338</v>
          </cell>
          <cell r="T33">
            <v>251028.21094991729</v>
          </cell>
          <cell r="U33">
            <v>0.27414812728167276</v>
          </cell>
          <cell r="V33">
            <v>2.4873112117510362E-2</v>
          </cell>
          <cell r="W33">
            <v>8.1019917845610356E-2</v>
          </cell>
          <cell r="X33">
            <v>7.1427913981869234E-2</v>
          </cell>
          <cell r="Y33">
            <v>0.20992016215405432</v>
          </cell>
          <cell r="Z33">
            <v>9.85449313225263E-2</v>
          </cell>
          <cell r="AA33">
            <v>0.16812242354751319</v>
          </cell>
          <cell r="AB33">
            <v>0.38637882429961579</v>
          </cell>
        </row>
        <row r="34">
          <cell r="D34" t="str">
            <v xml:space="preserve"> 1.2.</v>
          </cell>
          <cell r="E34" t="str">
            <v>CONTRIBUCIONES PARAFISCALES</v>
          </cell>
          <cell r="H34">
            <v>81799.62289557296</v>
          </cell>
          <cell r="I34">
            <v>219100</v>
          </cell>
          <cell r="J34">
            <v>259554</v>
          </cell>
          <cell r="U34">
            <v>0.18633949968564281</v>
          </cell>
          <cell r="V34">
            <v>0.37787400256181675</v>
          </cell>
          <cell r="W34">
            <v>0.35308251452690081</v>
          </cell>
        </row>
        <row r="35">
          <cell r="D35" t="str">
            <v xml:space="preserve"> 1.3.</v>
          </cell>
          <cell r="E35" t="str">
            <v>FONDOS ESPECIALES</v>
          </cell>
          <cell r="K35">
            <v>400315</v>
          </cell>
          <cell r="L35">
            <v>382093.34802990541</v>
          </cell>
          <cell r="M35">
            <v>386363</v>
          </cell>
          <cell r="N35">
            <v>539961</v>
          </cell>
          <cell r="O35">
            <v>604451</v>
          </cell>
          <cell r="P35">
            <v>758201</v>
          </cell>
          <cell r="Q35">
            <v>856056</v>
          </cell>
          <cell r="R35">
            <v>1059783.7867870014</v>
          </cell>
          <cell r="S35">
            <v>1202635.0115191403</v>
          </cell>
          <cell r="T35">
            <v>1367601.312581595</v>
          </cell>
          <cell r="U35">
            <v>0</v>
          </cell>
          <cell r="V35">
            <v>0</v>
          </cell>
          <cell r="W35">
            <v>0</v>
          </cell>
          <cell r="X35">
            <v>0.44716030003365359</v>
          </cell>
          <cell r="Y35">
            <v>0.30778650257204399</v>
          </cell>
          <cell r="Z35">
            <v>0.27104994910311336</v>
          </cell>
          <cell r="AA35">
            <v>0.35185327336451672</v>
          </cell>
          <cell r="AB35">
            <v>0.34300043081395692</v>
          </cell>
        </row>
        <row r="36">
          <cell r="D36" t="str">
            <v xml:space="preserve"> 1.4.</v>
          </cell>
          <cell r="E36" t="str">
            <v>OTROS DE CAPITAL</v>
          </cell>
          <cell r="H36">
            <v>562100</v>
          </cell>
          <cell r="I36">
            <v>620214</v>
          </cell>
          <cell r="J36">
            <v>802600</v>
          </cell>
          <cell r="K36">
            <v>1144950</v>
          </cell>
          <cell r="L36">
            <v>1218003</v>
          </cell>
          <cell r="M36">
            <v>1490079</v>
          </cell>
          <cell r="N36">
            <v>3164263</v>
          </cell>
          <cell r="O36">
            <v>2228335.5999999996</v>
          </cell>
          <cell r="P36">
            <v>2585483.2600000012</v>
          </cell>
          <cell r="Q36">
            <v>2842634.6956000007</v>
          </cell>
          <cell r="R36">
            <v>2763794.1613799995</v>
          </cell>
          <cell r="S36">
            <v>2887126.4064364014</v>
          </cell>
          <cell r="T36">
            <v>3018887.299007263</v>
          </cell>
          <cell r="U36">
            <v>1.2804635164029405</v>
          </cell>
          <cell r="V36">
            <v>1.0696610982422392</v>
          </cell>
          <cell r="W36">
            <v>1.0918114386959576</v>
          </cell>
          <cell r="X36">
            <v>1.2789333038320616</v>
          </cell>
          <cell r="Y36">
            <v>0.98113428413549886</v>
          </cell>
          <cell r="Z36">
            <v>1.0453533001597413</v>
          </cell>
          <cell r="AA36">
            <v>2.0619198318697571</v>
          </cell>
          <cell r="AB36">
            <v>1.2644864030303153</v>
          </cell>
        </row>
        <row r="37">
          <cell r="E37" t="str">
            <v>Rendimientos financieros</v>
          </cell>
          <cell r="H37">
            <v>121900</v>
          </cell>
          <cell r="I37">
            <v>125100</v>
          </cell>
          <cell r="J37">
            <v>141300</v>
          </cell>
          <cell r="K37">
            <v>293738</v>
          </cell>
          <cell r="L37">
            <v>318811.99</v>
          </cell>
          <cell r="M37">
            <v>291800</v>
          </cell>
          <cell r="N37">
            <v>320558</v>
          </cell>
          <cell r="O37">
            <v>494497</v>
          </cell>
          <cell r="P37">
            <v>559493</v>
          </cell>
          <cell r="Q37">
            <v>626156</v>
          </cell>
          <cell r="R37">
            <v>657463.80000000005</v>
          </cell>
          <cell r="S37">
            <v>683762.35200000007</v>
          </cell>
          <cell r="T37">
            <v>711112.84608000005</v>
          </cell>
          <cell r="U37">
            <v>0.27768813849763108</v>
          </cell>
          <cell r="V37">
            <v>0.2157555350090519</v>
          </cell>
          <cell r="W37">
            <v>0.19221649176144878</v>
          </cell>
          <cell r="X37">
            <v>0.3281115426883463</v>
          </cell>
          <cell r="Y37">
            <v>0.25681166104062458</v>
          </cell>
          <cell r="Z37">
            <v>0.2047100140238286</v>
          </cell>
          <cell r="AA37">
            <v>0.20888431128022719</v>
          </cell>
          <cell r="AB37">
            <v>0.28060617657379883</v>
          </cell>
        </row>
        <row r="38">
          <cell r="E38" t="str">
            <v>Excedentes financieros</v>
          </cell>
          <cell r="H38">
            <v>154960</v>
          </cell>
          <cell r="I38">
            <v>220000</v>
          </cell>
          <cell r="J38">
            <v>428800</v>
          </cell>
          <cell r="K38">
            <v>550000</v>
          </cell>
          <cell r="L38">
            <v>635803</v>
          </cell>
          <cell r="M38">
            <v>712766</v>
          </cell>
          <cell r="N38">
            <v>2645009</v>
          </cell>
          <cell r="O38">
            <v>1515273.0000000002</v>
          </cell>
          <cell r="P38">
            <v>1779006.8400000003</v>
          </cell>
          <cell r="Q38">
            <v>1940644.1904000002</v>
          </cell>
          <cell r="R38">
            <v>1816704.1309200004</v>
          </cell>
          <cell r="S38">
            <v>1902152.7747580006</v>
          </cell>
          <cell r="T38">
            <v>1994514.7220617256</v>
          </cell>
          <cell r="U38">
            <v>0.35299880181782534</v>
          </cell>
          <cell r="V38">
            <v>0.37942620065540705</v>
          </cell>
          <cell r="W38">
            <v>0.58331515688116953</v>
          </cell>
          <cell r="X38">
            <v>0.61436160278408125</v>
          </cell>
          <cell r="Y38">
            <v>0.51215647355236615</v>
          </cell>
          <cell r="Z38">
            <v>0.50003542788111111</v>
          </cell>
          <cell r="AA38">
            <v>1.7235598028905921</v>
          </cell>
          <cell r="AB38">
            <v>0.85985347331836159</v>
          </cell>
        </row>
        <row r="39">
          <cell r="F39" t="str">
            <v>Ecopetrol</v>
          </cell>
          <cell r="H39">
            <v>110000</v>
          </cell>
          <cell r="I39">
            <v>139000</v>
          </cell>
          <cell r="J39">
            <v>194020</v>
          </cell>
          <cell r="K39">
            <v>226224</v>
          </cell>
          <cell r="L39">
            <v>223000</v>
          </cell>
          <cell r="M39">
            <v>279000</v>
          </cell>
          <cell r="N39">
            <v>279000</v>
          </cell>
          <cell r="O39">
            <v>674000</v>
          </cell>
          <cell r="P39">
            <v>311674</v>
          </cell>
          <cell r="Q39">
            <v>340633.9</v>
          </cell>
          <cell r="R39">
            <v>136800</v>
          </cell>
          <cell r="S39">
            <v>156499.25380120002</v>
          </cell>
          <cell r="T39">
            <v>179035.06026665284</v>
          </cell>
          <cell r="U39">
            <v>0.25057994450155385</v>
          </cell>
          <cell r="V39">
            <v>0.23972837223227988</v>
          </cell>
          <cell r="W39">
            <v>0.26393378437053289</v>
          </cell>
          <cell r="X39">
            <v>0.25269698041495636</v>
          </cell>
          <cell r="Y39">
            <v>0.17963251762287635</v>
          </cell>
          <cell r="Z39">
            <v>0.19573027386102868</v>
          </cell>
          <cell r="AA39">
            <v>0.18180398819303648</v>
          </cell>
          <cell r="AB39">
            <v>0.38246655290272824</v>
          </cell>
        </row>
        <row r="40">
          <cell r="F40" t="str">
            <v>Resto</v>
          </cell>
          <cell r="H40">
            <v>44960</v>
          </cell>
          <cell r="I40">
            <v>81000</v>
          </cell>
          <cell r="J40">
            <v>234780</v>
          </cell>
          <cell r="K40">
            <v>323776</v>
          </cell>
          <cell r="L40">
            <v>412803</v>
          </cell>
          <cell r="M40">
            <v>433766</v>
          </cell>
          <cell r="N40">
            <v>2366009</v>
          </cell>
          <cell r="O40">
            <v>841273.00000000023</v>
          </cell>
          <cell r="P40">
            <v>1467332.8400000003</v>
          </cell>
          <cell r="Q40">
            <v>1600010.2904000003</v>
          </cell>
          <cell r="R40">
            <v>1679904.1309200004</v>
          </cell>
          <cell r="S40">
            <v>1745653.5209568006</v>
          </cell>
          <cell r="T40">
            <v>1815479.6617950727</v>
          </cell>
          <cell r="U40">
            <v>0.10241885731627148</v>
          </cell>
          <cell r="V40">
            <v>0.13969782842312711</v>
          </cell>
          <cell r="W40">
            <v>0.31938137251063659</v>
          </cell>
          <cell r="X40">
            <v>0.36166462236912489</v>
          </cell>
          <cell r="Y40">
            <v>0.3325239559294898</v>
          </cell>
          <cell r="Z40">
            <v>0.30430515402008235</v>
          </cell>
          <cell r="AA40">
            <v>1.5417558146975556</v>
          </cell>
          <cell r="AB40">
            <v>0.47738692041563341</v>
          </cell>
        </row>
        <row r="41">
          <cell r="E41" t="str">
            <v>Recuperación de cartera</v>
          </cell>
          <cell r="H41">
            <v>66700</v>
          </cell>
          <cell r="I41">
            <v>55200</v>
          </cell>
          <cell r="J41">
            <v>5900</v>
          </cell>
          <cell r="K41">
            <v>8100</v>
          </cell>
          <cell r="L41">
            <v>75800</v>
          </cell>
          <cell r="M41">
            <v>75100</v>
          </cell>
          <cell r="N41">
            <v>3481</v>
          </cell>
          <cell r="O41">
            <v>3829.1000000000004</v>
          </cell>
          <cell r="P41">
            <v>4332</v>
          </cell>
          <cell r="Q41">
            <v>4887</v>
          </cell>
          <cell r="R41">
            <v>5131.3500000000004</v>
          </cell>
          <cell r="S41">
            <v>5336.6040000000003</v>
          </cell>
          <cell r="T41">
            <v>5550.0681600000007</v>
          </cell>
          <cell r="U41">
            <v>0.1519425663477604</v>
          </cell>
          <cell r="V41">
            <v>9.5201483073538498E-2</v>
          </cell>
          <cell r="W41">
            <v>8.0260247798481822E-3</v>
          </cell>
          <cell r="X41">
            <v>9.0478708773655617E-3</v>
          </cell>
          <cell r="Y41">
            <v>6.1058945452080841E-2</v>
          </cell>
          <cell r="Z41">
            <v>5.2685819236427442E-2</v>
          </cell>
          <cell r="AA41">
            <v>2.2683142756270967E-3</v>
          </cell>
          <cell r="AB41">
            <v>2.1728526375665233E-3</v>
          </cell>
        </row>
        <row r="42">
          <cell r="E42" t="str">
            <v>Reintegros y recursos no apropiados</v>
          </cell>
          <cell r="H42">
            <v>78400</v>
          </cell>
          <cell r="I42">
            <v>171400</v>
          </cell>
          <cell r="J42">
            <v>226600</v>
          </cell>
          <cell r="K42">
            <v>192000</v>
          </cell>
          <cell r="L42">
            <v>83188.009999999995</v>
          </cell>
          <cell r="M42">
            <v>199903</v>
          </cell>
          <cell r="N42">
            <v>190017</v>
          </cell>
          <cell r="O42">
            <v>209018.7</v>
          </cell>
          <cell r="P42">
            <v>236476.19600000003</v>
          </cell>
          <cell r="Q42">
            <v>264401.76776000008</v>
          </cell>
          <cell r="R42">
            <v>277621.85614800011</v>
          </cell>
          <cell r="S42">
            <v>288726.73039392009</v>
          </cell>
          <cell r="T42">
            <v>300275.79960967693</v>
          </cell>
          <cell r="U42">
            <v>0.17859516044474388</v>
          </cell>
          <cell r="V42">
            <v>0.29560750360153071</v>
          </cell>
          <cell r="W42">
            <v>0.30825376527349113</v>
          </cell>
          <cell r="X42">
            <v>0.21446805042644293</v>
          </cell>
          <cell r="Y42">
            <v>6.7010186871466426E-2</v>
          </cell>
          <cell r="Z42">
            <v>0.14024039045032696</v>
          </cell>
          <cell r="AA42">
            <v>0.12382024524901869</v>
          </cell>
          <cell r="AB42">
            <v>0.11860929032820398</v>
          </cell>
        </row>
        <row r="43">
          <cell r="E43" t="str">
            <v xml:space="preserve">Resto </v>
          </cell>
          <cell r="H43">
            <v>140140</v>
          </cell>
          <cell r="I43">
            <v>48514</v>
          </cell>
          <cell r="J43">
            <v>0</v>
          </cell>
          <cell r="K43">
            <v>101112</v>
          </cell>
          <cell r="L43">
            <v>104400</v>
          </cell>
          <cell r="M43">
            <v>210510</v>
          </cell>
          <cell r="N43">
            <v>5198</v>
          </cell>
          <cell r="O43">
            <v>5717.8</v>
          </cell>
          <cell r="P43">
            <v>6175.2240000000002</v>
          </cell>
          <cell r="Q43">
            <v>6545.7374400000008</v>
          </cell>
          <cell r="R43">
            <v>6873.0243120000014</v>
          </cell>
          <cell r="S43">
            <v>7147.9452844800016</v>
          </cell>
          <cell r="T43">
            <v>7433.8630958592021</v>
          </cell>
          <cell r="U43">
            <v>0.31923884929497964</v>
          </cell>
          <cell r="V43">
            <v>8.3670375902710981E-2</v>
          </cell>
          <cell r="W43">
            <v>0</v>
          </cell>
          <cell r="X43">
            <v>0.11294423705582549</v>
          </cell>
          <cell r="Y43">
            <v>8.4097017218960943E-2</v>
          </cell>
          <cell r="Z43">
            <v>0.14768164856804714</v>
          </cell>
          <cell r="AA43">
            <v>3.3871581742917693E-3</v>
          </cell>
          <cell r="AB43">
            <v>3.2446101723845981E-3</v>
          </cell>
        </row>
        <row r="45">
          <cell r="C45" t="str">
            <v xml:space="preserve"> 2.</v>
          </cell>
          <cell r="D45" t="str">
            <v xml:space="preserve"> PAGOS TOTALES</v>
          </cell>
          <cell r="H45">
            <v>6046333.0410558749</v>
          </cell>
          <cell r="I45">
            <v>8498337</v>
          </cell>
          <cell r="J45">
            <v>11290300</v>
          </cell>
          <cell r="K45">
            <v>15363198.08</v>
          </cell>
          <cell r="L45">
            <v>19589241</v>
          </cell>
          <cell r="M45">
            <v>23492406</v>
          </cell>
          <cell r="N45">
            <v>27734235</v>
          </cell>
          <cell r="O45">
            <v>31690348.102001004</v>
          </cell>
          <cell r="P45">
            <v>34233070.352725402</v>
          </cell>
          <cell r="Q45">
            <v>38373303.230387703</v>
          </cell>
          <cell r="R45">
            <v>41980882.71451927</v>
          </cell>
          <cell r="S45">
            <v>45846335.122750215</v>
          </cell>
          <cell r="T45">
            <v>51033025.458530419</v>
          </cell>
          <cell r="U45">
            <v>13.773543616960843</v>
          </cell>
          <cell r="V45">
            <v>14.656780544542137</v>
          </cell>
          <cell r="W45">
            <v>15.35868263930846</v>
          </cell>
          <cell r="X45">
            <v>17.161016356942035</v>
          </cell>
          <cell r="Y45">
            <v>15.779662238346509</v>
          </cell>
          <cell r="Z45">
            <v>16.48091419367195</v>
          </cell>
          <cell r="AA45">
            <v>18.07238183685627</v>
          </cell>
          <cell r="AB45">
            <v>17.982935013145163</v>
          </cell>
        </row>
        <row r="46">
          <cell r="D46" t="str">
            <v xml:space="preserve"> 2.1.</v>
          </cell>
          <cell r="E46" t="str">
            <v xml:space="preserve"> PAGOS CORRIENTES</v>
          </cell>
          <cell r="H46">
            <v>5073285.0410558749</v>
          </cell>
          <cell r="I46">
            <v>7159337</v>
          </cell>
          <cell r="J46">
            <v>9544400</v>
          </cell>
          <cell r="K46">
            <v>13046998.08</v>
          </cell>
          <cell r="L46">
            <v>16419841</v>
          </cell>
          <cell r="M46">
            <v>21212186</v>
          </cell>
          <cell r="N46">
            <v>25711137</v>
          </cell>
          <cell r="O46">
            <v>29337897.772421002</v>
          </cell>
          <cell r="P46">
            <v>32081049.352725405</v>
          </cell>
          <cell r="Q46">
            <v>36160675.230387703</v>
          </cell>
          <cell r="R46">
            <v>39158525.664519273</v>
          </cell>
          <cell r="S46">
            <v>42617558.652750216</v>
          </cell>
          <cell r="T46">
            <v>47339305.178530417</v>
          </cell>
          <cell r="U46">
            <v>11.556940763894042</v>
          </cell>
          <cell r="V46">
            <v>12.347454714189453</v>
          </cell>
          <cell r="W46">
            <v>12.983659476064913</v>
          </cell>
          <cell r="X46">
            <v>14.573772094453874</v>
          </cell>
          <cell r="Y46">
            <v>13.226625012544069</v>
          </cell>
          <cell r="Z46">
            <v>14.881243637889172</v>
          </cell>
          <cell r="AA46">
            <v>16.75407615619191</v>
          </cell>
          <cell r="AB46">
            <v>16.648018739511112</v>
          </cell>
        </row>
        <row r="47">
          <cell r="E47" t="str">
            <v xml:space="preserve"> 2.1.1.</v>
          </cell>
          <cell r="F47" t="str">
            <v xml:space="preserve"> Interes deuda Externa</v>
          </cell>
          <cell r="H47">
            <v>338748</v>
          </cell>
          <cell r="I47">
            <v>375230</v>
          </cell>
          <cell r="J47">
            <v>383400</v>
          </cell>
          <cell r="K47">
            <v>467078</v>
          </cell>
          <cell r="L47">
            <v>617500</v>
          </cell>
          <cell r="M47">
            <v>889000</v>
          </cell>
          <cell r="N47">
            <v>1417360</v>
          </cell>
          <cell r="O47">
            <v>2280777.8724210002</v>
          </cell>
          <cell r="P47">
            <v>2554433</v>
          </cell>
          <cell r="Q47">
            <v>3248517</v>
          </cell>
          <cell r="R47">
            <v>2777321.1498819999</v>
          </cell>
          <cell r="S47">
            <v>3084712.2691718875</v>
          </cell>
          <cell r="T47">
            <v>3426119.7874645363</v>
          </cell>
          <cell r="U47">
            <v>0.77166777309102164</v>
          </cell>
          <cell r="V47">
            <v>0.64714587850876526</v>
          </cell>
          <cell r="W47">
            <v>0.52155557637182925</v>
          </cell>
          <cell r="X47">
            <v>0.52173597946396932</v>
          </cell>
          <cell r="Y47">
            <v>0.49741291314854769</v>
          </cell>
          <cell r="Z47">
            <v>0.62367101599446062</v>
          </cell>
          <cell r="AA47">
            <v>0.92359032510853833</v>
          </cell>
          <cell r="AB47">
            <v>1.2942451792309768</v>
          </cell>
        </row>
        <row r="48">
          <cell r="E48" t="str">
            <v xml:space="preserve"> 2.1.2.</v>
          </cell>
          <cell r="F48" t="str">
            <v xml:space="preserve"> Interes deuda Interna</v>
          </cell>
          <cell r="H48">
            <v>243638</v>
          </cell>
          <cell r="I48">
            <v>404920</v>
          </cell>
          <cell r="J48">
            <v>652700</v>
          </cell>
          <cell r="K48">
            <v>1411444</v>
          </cell>
          <cell r="L48">
            <v>1832800</v>
          </cell>
          <cell r="M48">
            <v>3201700</v>
          </cell>
          <cell r="N48">
            <v>3535289</v>
          </cell>
          <cell r="O48">
            <v>4814374.9000000004</v>
          </cell>
          <cell r="P48">
            <v>4087899</v>
          </cell>
          <cell r="Q48">
            <v>4167775</v>
          </cell>
          <cell r="R48">
            <v>5441978.6862513637</v>
          </cell>
          <cell r="S48">
            <v>6082000.8508751765</v>
          </cell>
          <cell r="T48">
            <v>7184995.5533625428</v>
          </cell>
          <cell r="U48">
            <v>0.55500724107699628</v>
          </cell>
          <cell r="V48">
            <v>0.69835116895176097</v>
          </cell>
          <cell r="W48">
            <v>0.8878959955604927</v>
          </cell>
          <cell r="X48">
            <v>1.5766127237817722</v>
          </cell>
          <cell r="Y48">
            <v>1.4763698578439808</v>
          </cell>
          <cell r="Z48">
            <v>2.2461276624403426</v>
          </cell>
          <cell r="AA48">
            <v>2.3036904645697911</v>
          </cell>
          <cell r="AB48">
            <v>2.7319545584338529</v>
          </cell>
        </row>
        <row r="49">
          <cell r="E49" t="str">
            <v xml:space="preserve"> 2.1.3.</v>
          </cell>
          <cell r="F49" t="str">
            <v xml:space="preserve"> Otros</v>
          </cell>
          <cell r="H49">
            <v>4490899.0410558749</v>
          </cell>
          <cell r="I49">
            <v>6379187</v>
          </cell>
          <cell r="J49">
            <v>8508300</v>
          </cell>
          <cell r="K49">
            <v>11168476.08</v>
          </cell>
          <cell r="L49">
            <v>13969541</v>
          </cell>
          <cell r="M49">
            <v>17121486</v>
          </cell>
          <cell r="N49">
            <v>20758488</v>
          </cell>
          <cell r="O49">
            <v>22242745</v>
          </cell>
          <cell r="P49">
            <v>25438717.352725405</v>
          </cell>
          <cell r="Q49">
            <v>28744383.230387703</v>
          </cell>
          <cell r="R49">
            <v>30939225.828385908</v>
          </cell>
          <cell r="S49">
            <v>33450845.532703154</v>
          </cell>
          <cell r="T49">
            <v>36728189.83770334</v>
          </cell>
          <cell r="U49">
            <v>10.230265749726025</v>
          </cell>
          <cell r="V49">
            <v>11.001957666728927</v>
          </cell>
          <cell r="W49">
            <v>11.57420790413259</v>
          </cell>
          <cell r="X49">
            <v>12.475423391208132</v>
          </cell>
          <cell r="Y49">
            <v>11.252842241551541</v>
          </cell>
          <cell r="Z49">
            <v>12.011444959454369</v>
          </cell>
          <cell r="AA49">
            <v>13.526795366513584</v>
          </cell>
          <cell r="AB49">
            <v>12.62181900184628</v>
          </cell>
        </row>
        <row r="50">
          <cell r="F50" t="str">
            <v xml:space="preserve"> 2.1.3.1.</v>
          </cell>
          <cell r="G50" t="str">
            <v xml:space="preserve"> Servicios Personales</v>
          </cell>
          <cell r="H50">
            <v>1092593.0410558751</v>
          </cell>
          <cell r="I50">
            <v>1525331</v>
          </cell>
          <cell r="J50">
            <v>1946082.4</v>
          </cell>
          <cell r="K50">
            <v>2377977.85</v>
          </cell>
          <cell r="L50">
            <v>2848199.6999999997</v>
          </cell>
          <cell r="M50">
            <v>3547894.0000000005</v>
          </cell>
          <cell r="N50">
            <v>4084291.9999999995</v>
          </cell>
          <cell r="O50">
            <v>4453811</v>
          </cell>
          <cell r="P50">
            <v>4821438.6027839063</v>
          </cell>
          <cell r="Q50">
            <v>5294024.3743477929</v>
          </cell>
          <cell r="R50">
            <v>5666457.5972418422</v>
          </cell>
          <cell r="S50">
            <v>5935094.2064066734</v>
          </cell>
          <cell r="T50">
            <v>6315404.7765845414</v>
          </cell>
          <cell r="U50">
            <v>2.4889263962778654</v>
          </cell>
          <cell r="V50">
            <v>2.6306843003268758</v>
          </cell>
          <cell r="W50">
            <v>2.6473399264451558</v>
          </cell>
          <cell r="X50">
            <v>2.6562514242018973</v>
          </cell>
          <cell r="Y50">
            <v>2.2943017166086146</v>
          </cell>
          <cell r="Z50">
            <v>2.4889973629028694</v>
          </cell>
          <cell r="AA50">
            <v>2.661435751057037</v>
          </cell>
          <cell r="AB50">
            <v>2.5273497632793065</v>
          </cell>
        </row>
        <row r="51">
          <cell r="F51" t="str">
            <v xml:space="preserve"> 2.1.3.2.</v>
          </cell>
          <cell r="G51" t="str">
            <v>Operación Comercial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F52" t="str">
            <v xml:space="preserve"> 2.1.3.3.</v>
          </cell>
          <cell r="G52" t="str">
            <v xml:space="preserve"> Transferencias</v>
          </cell>
          <cell r="H52">
            <v>3000623</v>
          </cell>
          <cell r="I52">
            <v>4254181</v>
          </cell>
          <cell r="J52">
            <v>5837260.2000000002</v>
          </cell>
          <cell r="K52">
            <v>7937416.0999999996</v>
          </cell>
          <cell r="L52">
            <v>9799363</v>
          </cell>
          <cell r="M52">
            <v>12259100</v>
          </cell>
          <cell r="N52">
            <v>15462616</v>
          </cell>
          <cell r="O52">
            <v>16633000</v>
          </cell>
          <cell r="P52">
            <v>19372949.384746965</v>
          </cell>
          <cell r="Q52">
            <v>22095485.799481384</v>
          </cell>
          <cell r="R52">
            <v>23800751.239357423</v>
          </cell>
          <cell r="S52">
            <v>25971200.689425431</v>
          </cell>
          <cell r="T52">
            <v>28754312.309958752</v>
          </cell>
          <cell r="U52">
            <v>6.8354176800916919</v>
          </cell>
          <cell r="V52">
            <v>7.337035153320091</v>
          </cell>
          <cell r="W52">
            <v>7.940677120613822</v>
          </cell>
          <cell r="X52">
            <v>8.8662612312003102</v>
          </cell>
          <cell r="Y52">
            <v>7.8936513308989351</v>
          </cell>
          <cell r="Z52">
            <v>8.6002759867015666</v>
          </cell>
          <cell r="AA52">
            <v>10.075861135116334</v>
          </cell>
          <cell r="AB52">
            <v>9.4385254813517481</v>
          </cell>
        </row>
        <row r="53">
          <cell r="F53" t="str">
            <v xml:space="preserve"> 2.1.3.4.</v>
          </cell>
          <cell r="G53" t="str">
            <v>Gastos Generales y otros</v>
          </cell>
          <cell r="H53">
            <v>397683</v>
          </cell>
          <cell r="I53">
            <v>599675</v>
          </cell>
          <cell r="J53">
            <v>724957.4</v>
          </cell>
          <cell r="K53">
            <v>853082.13</v>
          </cell>
          <cell r="L53">
            <v>1321978.2999999998</v>
          </cell>
          <cell r="M53">
            <v>1314492</v>
          </cell>
          <cell r="N53">
            <v>1211580</v>
          </cell>
          <cell r="O53">
            <v>1155934</v>
          </cell>
          <cell r="P53">
            <v>1244329.3651945342</v>
          </cell>
          <cell r="Q53">
            <v>1354873.0565585278</v>
          </cell>
          <cell r="R53">
            <v>1472016.9917866443</v>
          </cell>
          <cell r="S53">
            <v>1544550.6368710471</v>
          </cell>
          <cell r="T53">
            <v>1658472.7511600466</v>
          </cell>
          <cell r="U53">
            <v>0.90592167335646778</v>
          </cell>
          <cell r="V53">
            <v>1.0342382130819601</v>
          </cell>
          <cell r="W53">
            <v>0.98619085707361187</v>
          </cell>
          <cell r="X53">
            <v>0.95291073580592356</v>
          </cell>
          <cell r="Y53">
            <v>1.0648891940439915</v>
          </cell>
          <cell r="Z53">
            <v>0.92217160984993318</v>
          </cell>
          <cell r="AA53">
            <v>0.78949848034021197</v>
          </cell>
          <cell r="AB53">
            <v>0.6559437572152258</v>
          </cell>
        </row>
        <row r="54">
          <cell r="D54" t="str">
            <v xml:space="preserve"> 2.2.</v>
          </cell>
          <cell r="E54" t="str">
            <v xml:space="preserve"> PAGOS DE CAPITAL</v>
          </cell>
          <cell r="H54">
            <v>973048</v>
          </cell>
          <cell r="I54">
            <v>1339000</v>
          </cell>
          <cell r="J54">
            <v>1745900</v>
          </cell>
          <cell r="K54">
            <v>2316200</v>
          </cell>
          <cell r="L54">
            <v>3169400</v>
          </cell>
          <cell r="M54">
            <v>2280220</v>
          </cell>
          <cell r="N54">
            <v>2023098</v>
          </cell>
          <cell r="O54">
            <v>2352450.3295800001</v>
          </cell>
          <cell r="P54">
            <v>2152021</v>
          </cell>
          <cell r="Q54">
            <v>2212628</v>
          </cell>
          <cell r="R54">
            <v>2822357.0500000003</v>
          </cell>
          <cell r="S54">
            <v>3228776.47</v>
          </cell>
          <cell r="T54">
            <v>3693720.2800000003</v>
          </cell>
          <cell r="U54">
            <v>2.2166028530667998</v>
          </cell>
          <cell r="V54">
            <v>2.3093258303526816</v>
          </cell>
          <cell r="W54">
            <v>2.375023163243549</v>
          </cell>
          <cell r="X54">
            <v>2.587244262488162</v>
          </cell>
          <cell r="Y54">
            <v>2.5530372258024405</v>
          </cell>
          <cell r="Z54">
            <v>1.5996705557827773</v>
          </cell>
          <cell r="AA54">
            <v>1.3183056806643574</v>
          </cell>
          <cell r="AB54">
            <v>1.3349162736340496</v>
          </cell>
        </row>
        <row r="55">
          <cell r="E55" t="str">
            <v xml:space="preserve"> 2.2.1.</v>
          </cell>
          <cell r="F55" t="str">
            <v xml:space="preserve"> Formación bruta de Capital Fijo</v>
          </cell>
          <cell r="H55">
            <v>973048</v>
          </cell>
          <cell r="I55">
            <v>1309000</v>
          </cell>
          <cell r="J55">
            <v>1745900</v>
          </cell>
          <cell r="K55">
            <v>2316200</v>
          </cell>
          <cell r="L55">
            <v>3169400</v>
          </cell>
          <cell r="M55">
            <v>2280220</v>
          </cell>
          <cell r="N55">
            <v>2023098</v>
          </cell>
          <cell r="O55">
            <v>2352450.3295800001</v>
          </cell>
          <cell r="P55">
            <v>2152021</v>
          </cell>
          <cell r="Q55">
            <v>2212628</v>
          </cell>
          <cell r="R55">
            <v>2822357.0500000003</v>
          </cell>
          <cell r="S55">
            <v>3228776.47</v>
          </cell>
          <cell r="T55">
            <v>3693720.2800000003</v>
          </cell>
          <cell r="U55">
            <v>2.2166028530667998</v>
          </cell>
          <cell r="V55">
            <v>2.2575858938996718</v>
          </cell>
          <cell r="W55">
            <v>2.375023163243549</v>
          </cell>
          <cell r="X55">
            <v>2.587244262488162</v>
          </cell>
          <cell r="Y55">
            <v>2.5530372258024405</v>
          </cell>
          <cell r="Z55">
            <v>1.5996705557827773</v>
          </cell>
          <cell r="AA55">
            <v>1.3183056806643574</v>
          </cell>
          <cell r="AB55">
            <v>1.3349162736340496</v>
          </cell>
        </row>
        <row r="56">
          <cell r="E56" t="str">
            <v xml:space="preserve"> 2.1.1.</v>
          </cell>
          <cell r="F56" t="str">
            <v xml:space="preserve"> Otros</v>
          </cell>
          <cell r="H56">
            <v>0</v>
          </cell>
          <cell r="I56">
            <v>30000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5.1739936453010053E-2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8">
          <cell r="C58" t="str">
            <v xml:space="preserve"> 3.</v>
          </cell>
          <cell r="D58" t="str">
            <v xml:space="preserve"> (DEFICIT) / SUPERAVIT REAL</v>
          </cell>
          <cell r="H58">
            <v>-138732.73306045774</v>
          </cell>
          <cell r="I58">
            <v>-797537</v>
          </cell>
          <cell r="J58">
            <v>-1766600.790000001</v>
          </cell>
          <cell r="K58">
            <v>-3314430.08</v>
          </cell>
          <cell r="L58">
            <v>-4301445.309135465</v>
          </cell>
          <cell r="M58">
            <v>-6608988</v>
          </cell>
          <cell r="N58">
            <v>-7629774</v>
          </cell>
          <cell r="O58">
            <v>-8736066.727455169</v>
          </cell>
          <cell r="P58">
            <v>-7348851.8256972879</v>
          </cell>
          <cell r="Q58">
            <v>-7973097.6963690035</v>
          </cell>
          <cell r="R58">
            <v>-8533599.4234692529</v>
          </cell>
          <cell r="S58">
            <v>-9499962.9838543236</v>
          </cell>
          <cell r="T58">
            <v>-10172907.909528606</v>
          </cell>
          <cell r="U58">
            <v>-0.31603309591671264</v>
          </cell>
          <cell r="V58">
            <v>-1.3754837899641426</v>
          </cell>
          <cell r="W58">
            <v>-2.4031833418032846</v>
          </cell>
          <cell r="X58">
            <v>-3.7022883204810375</v>
          </cell>
          <cell r="Y58">
            <v>-3.464930270390651</v>
          </cell>
          <cell r="Z58">
            <v>-4.6364839827392554</v>
          </cell>
          <cell r="AA58">
            <v>-4.9717682516542538</v>
          </cell>
          <cell r="AB58">
            <v>-4.9573491501157214</v>
          </cell>
        </row>
        <row r="60">
          <cell r="C60" t="str">
            <v xml:space="preserve"> 4.</v>
          </cell>
          <cell r="D60" t="str">
            <v xml:space="preserve"> PRESTAMO NETO</v>
          </cell>
          <cell r="H60">
            <v>96184.1</v>
          </cell>
          <cell r="I60">
            <v>129400</v>
          </cell>
          <cell r="J60">
            <v>172000</v>
          </cell>
          <cell r="K60">
            <v>385074.61</v>
          </cell>
          <cell r="L60">
            <v>248214.72892595999</v>
          </cell>
          <cell r="M60">
            <v>321089.15788879001</v>
          </cell>
          <cell r="N60">
            <v>259276.78503759997</v>
          </cell>
          <cell r="O60">
            <v>302834.40776999999</v>
          </cell>
          <cell r="P60">
            <v>1393080.9171751225</v>
          </cell>
          <cell r="Q60">
            <v>550863.16884596727</v>
          </cell>
          <cell r="R60">
            <v>159563.92936776136</v>
          </cell>
          <cell r="S60">
            <v>198341.09975731745</v>
          </cell>
          <cell r="T60">
            <v>272650.99781816173</v>
          </cell>
          <cell r="U60">
            <v>0.2191073312721083</v>
          </cell>
          <cell r="V60">
            <v>0.22317159256731667</v>
          </cell>
          <cell r="W60">
            <v>0.23397902748031985</v>
          </cell>
          <cell r="X60">
            <v>0.43013646289282725</v>
          </cell>
          <cell r="Y60">
            <v>0.19994366218856491</v>
          </cell>
          <cell r="Z60">
            <v>0.2252575942916844</v>
          </cell>
          <cell r="AA60">
            <v>0.16895180489499742</v>
          </cell>
          <cell r="AB60">
            <v>0.17184574486666329</v>
          </cell>
        </row>
        <row r="62">
          <cell r="C62" t="str">
            <v xml:space="preserve"> 5.</v>
          </cell>
          <cell r="D62" t="str">
            <v xml:space="preserve"> (DEFICIT) / SUPERAVIT (3-4)</v>
          </cell>
          <cell r="H62">
            <v>-234916.83306045775</v>
          </cell>
          <cell r="I62">
            <v>-926937</v>
          </cell>
          <cell r="J62">
            <v>-1938600.790000001</v>
          </cell>
          <cell r="K62">
            <v>-3699504.69</v>
          </cell>
          <cell r="L62">
            <v>-4549660.0380614251</v>
          </cell>
          <cell r="M62">
            <v>-6930077.1578887897</v>
          </cell>
          <cell r="N62">
            <v>-7889050.7850375995</v>
          </cell>
          <cell r="O62">
            <v>-9038901.1352251694</v>
          </cell>
          <cell r="P62">
            <v>-8741932.7428724095</v>
          </cell>
          <cell r="Q62">
            <v>-8523960.86521497</v>
          </cell>
          <cell r="R62">
            <v>-8693163.3528370149</v>
          </cell>
          <cell r="S62">
            <v>-9698304.0836116411</v>
          </cell>
          <cell r="T62">
            <v>-10445558.907346766</v>
          </cell>
          <cell r="U62">
            <v>-0.53514042718882093</v>
          </cell>
          <cell r="V62">
            <v>-1.5986553825314591</v>
          </cell>
          <cell r="W62">
            <v>-2.6371623692836046</v>
          </cell>
          <cell r="X62">
            <v>-4.1324247833738648</v>
          </cell>
          <cell r="Y62">
            <v>-3.6648739325792157</v>
          </cell>
          <cell r="Z62">
            <v>-4.8617415770309398</v>
          </cell>
          <cell r="AA62">
            <v>-5.1407200565492506</v>
          </cell>
          <cell r="AB62">
            <v>-5.1291948949823851</v>
          </cell>
        </row>
        <row r="64">
          <cell r="C64" t="str">
            <v xml:space="preserve"> 6.</v>
          </cell>
          <cell r="D64" t="str">
            <v xml:space="preserve"> FINANCIAMIENTO</v>
          </cell>
          <cell r="H64">
            <v>234916.83306045775</v>
          </cell>
          <cell r="I64">
            <v>926937</v>
          </cell>
          <cell r="J64">
            <v>1938600.790000001</v>
          </cell>
          <cell r="K64">
            <v>3699504.69</v>
          </cell>
          <cell r="L64">
            <v>4549660.0380614251</v>
          </cell>
          <cell r="M64">
            <v>6930077.1578887897</v>
          </cell>
          <cell r="N64">
            <v>7889050.7850375995</v>
          </cell>
          <cell r="O64">
            <v>9038901.1352251694</v>
          </cell>
          <cell r="P64">
            <v>8741932.7428724095</v>
          </cell>
          <cell r="Q64">
            <v>8523960.86521497</v>
          </cell>
          <cell r="R64">
            <v>8693163.3528370149</v>
          </cell>
          <cell r="S64">
            <v>9698304.0836116411</v>
          </cell>
          <cell r="T64">
            <v>10445558.907346766</v>
          </cell>
          <cell r="U64">
            <v>0.53514042718882093</v>
          </cell>
          <cell r="V64">
            <v>1.5986553825314591</v>
          </cell>
          <cell r="W64">
            <v>2.6371623692836046</v>
          </cell>
          <cell r="X64">
            <v>4.1324247833738648</v>
          </cell>
          <cell r="Y64">
            <v>3.6648739325792157</v>
          </cell>
          <cell r="Z64">
            <v>4.8617415770309398</v>
          </cell>
          <cell r="AA64">
            <v>5.1407200565492506</v>
          </cell>
          <cell r="AB64">
            <v>5.1291948949823851</v>
          </cell>
        </row>
        <row r="65">
          <cell r="D65" t="str">
            <v xml:space="preserve"> 6.1.</v>
          </cell>
          <cell r="E65" t="str">
            <v xml:space="preserve"> CREDITO EXTERNO NETO</v>
          </cell>
          <cell r="H65">
            <v>-281000</v>
          </cell>
          <cell r="I65">
            <v>119500</v>
          </cell>
          <cell r="J65">
            <v>223200</v>
          </cell>
          <cell r="K65">
            <v>1079814</v>
          </cell>
          <cell r="L65">
            <v>1096414</v>
          </cell>
          <cell r="M65">
            <v>2657500</v>
          </cell>
          <cell r="N65">
            <v>3116594</v>
          </cell>
          <cell r="O65">
            <v>1951997.6952539999</v>
          </cell>
          <cell r="P65">
            <v>2246137</v>
          </cell>
          <cell r="Q65">
            <v>2359507</v>
          </cell>
          <cell r="R65">
            <v>2898600.0920546278</v>
          </cell>
          <cell r="S65">
            <v>3315998.5102401618</v>
          </cell>
          <cell r="T65">
            <v>3793502.2939893613</v>
          </cell>
          <cell r="U65">
            <v>-0.64011785822669676</v>
          </cell>
          <cell r="V65">
            <v>0.20609741353782335</v>
          </cell>
          <cell r="W65">
            <v>0.30362859845120577</v>
          </cell>
          <cell r="X65">
            <v>1.2061750177248909</v>
          </cell>
          <cell r="Y65">
            <v>0.88319106357384902</v>
          </cell>
          <cell r="Z65">
            <v>1.864348397081304</v>
          </cell>
          <cell r="AA65">
            <v>2.0308574149766607</v>
          </cell>
          <cell r="AB65">
            <v>1.1076763053084087</v>
          </cell>
        </row>
        <row r="66">
          <cell r="E66" t="str">
            <v xml:space="preserve"> 6.1.1.</v>
          </cell>
          <cell r="F66" t="str">
            <v xml:space="preserve"> Mediano y Largo Plazo</v>
          </cell>
          <cell r="H66">
            <v>-281000</v>
          </cell>
          <cell r="I66">
            <v>119500</v>
          </cell>
          <cell r="J66">
            <v>223200</v>
          </cell>
          <cell r="K66">
            <v>1079814</v>
          </cell>
          <cell r="L66">
            <v>1096414</v>
          </cell>
          <cell r="M66">
            <v>2657500</v>
          </cell>
          <cell r="N66">
            <v>3116594</v>
          </cell>
          <cell r="O66">
            <v>1951997.6952539999</v>
          </cell>
          <cell r="P66">
            <v>2246137</v>
          </cell>
          <cell r="Q66">
            <v>2359507</v>
          </cell>
          <cell r="R66">
            <v>2898600.0920546278</v>
          </cell>
          <cell r="S66">
            <v>3315998.5102401618</v>
          </cell>
          <cell r="T66">
            <v>3793502.2939893613</v>
          </cell>
          <cell r="U66">
            <v>-0.64011785822669676</v>
          </cell>
          <cell r="V66">
            <v>0.20609741353782335</v>
          </cell>
          <cell r="W66">
            <v>0.30362859845120577</v>
          </cell>
          <cell r="X66">
            <v>1.2061750177248909</v>
          </cell>
          <cell r="Y66">
            <v>0.88319106357384902</v>
          </cell>
          <cell r="Z66">
            <v>1.864348397081304</v>
          </cell>
          <cell r="AA66">
            <v>2.0308574149766607</v>
          </cell>
          <cell r="AB66">
            <v>1.1076763053084087</v>
          </cell>
        </row>
        <row r="67">
          <cell r="F67" t="str">
            <v xml:space="preserve"> 6.1.1.1.</v>
          </cell>
          <cell r="G67" t="str">
            <v xml:space="preserve"> Desembolsos</v>
          </cell>
          <cell r="H67">
            <v>397000</v>
          </cell>
          <cell r="I67">
            <v>791500</v>
          </cell>
          <cell r="J67">
            <v>847900</v>
          </cell>
          <cell r="K67">
            <v>1819962</v>
          </cell>
          <cell r="L67">
            <v>1889514</v>
          </cell>
          <cell r="M67">
            <v>3663300</v>
          </cell>
          <cell r="N67">
            <v>4711114</v>
          </cell>
          <cell r="O67">
            <v>4094839</v>
          </cell>
          <cell r="P67">
            <v>7304402</v>
          </cell>
          <cell r="Q67">
            <v>7080917</v>
          </cell>
          <cell r="R67">
            <v>8698743.7070672754</v>
          </cell>
          <cell r="S67">
            <v>9951362.8156789709</v>
          </cell>
          <cell r="T67">
            <v>11384359.055958839</v>
          </cell>
          <cell r="U67">
            <v>0.90436579970106268</v>
          </cell>
          <cell r="V67">
            <v>1.3650719900852486</v>
          </cell>
          <cell r="W67">
            <v>1.1534349848869954</v>
          </cell>
          <cell r="X67">
            <v>2.0329359478656763</v>
          </cell>
          <cell r="Y67">
            <v>1.5220545152631013</v>
          </cell>
          <cell r="Z67">
            <v>2.5699595420613135</v>
          </cell>
          <cell r="AA67">
            <v>3.0698900144517882</v>
          </cell>
          <cell r="AB67">
            <v>2.3236483041864311</v>
          </cell>
        </row>
        <row r="68">
          <cell r="F68" t="str">
            <v xml:space="preserve"> 6.1.1.2.</v>
          </cell>
          <cell r="G68" t="str">
            <v xml:space="preserve"> Amortizaciones</v>
          </cell>
          <cell r="H68">
            <v>678000</v>
          </cell>
          <cell r="I68">
            <v>672000</v>
          </cell>
          <cell r="J68">
            <v>624700</v>
          </cell>
          <cell r="K68">
            <v>740148</v>
          </cell>
          <cell r="L68">
            <v>793100</v>
          </cell>
          <cell r="M68">
            <v>1005800</v>
          </cell>
          <cell r="N68">
            <v>1594520</v>
          </cell>
          <cell r="O68">
            <v>2142841.3047460001</v>
          </cell>
          <cell r="P68">
            <v>5058265</v>
          </cell>
          <cell r="Q68">
            <v>4721410</v>
          </cell>
          <cell r="R68">
            <v>5800143.6150126476</v>
          </cell>
          <cell r="S68">
            <v>6635364.3054388091</v>
          </cell>
          <cell r="T68">
            <v>7590856.7619694779</v>
          </cell>
          <cell r="U68">
            <v>1.5444836579277594</v>
          </cell>
          <cell r="V68">
            <v>1.1589745765474251</v>
          </cell>
          <cell r="W68">
            <v>0.84980638643578965</v>
          </cell>
          <cell r="X68">
            <v>0.82676093014078578</v>
          </cell>
          <cell r="Y68">
            <v>0.63886345168925207</v>
          </cell>
          <cell r="Z68">
            <v>0.70561114498000954</v>
          </cell>
          <cell r="AA68">
            <v>1.0390325994751273</v>
          </cell>
          <cell r="AB68">
            <v>1.2159719988780227</v>
          </cell>
        </row>
        <row r="69">
          <cell r="E69" t="str">
            <v xml:space="preserve"> 6.1.2.</v>
          </cell>
          <cell r="F69" t="str">
            <v xml:space="preserve"> Corto Plazo Neto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D70" t="str">
            <v xml:space="preserve"> 6.2.</v>
          </cell>
          <cell r="E70" t="str">
            <v xml:space="preserve"> CREDITO INTERNO NETO</v>
          </cell>
          <cell r="H70">
            <v>484000</v>
          </cell>
          <cell r="I70">
            <v>235200</v>
          </cell>
          <cell r="J70">
            <v>1755400</v>
          </cell>
          <cell r="K70">
            <v>1790859</v>
          </cell>
          <cell r="L70">
            <v>3517900</v>
          </cell>
          <cell r="M70">
            <v>3985000</v>
          </cell>
          <cell r="N70">
            <v>4804244</v>
          </cell>
          <cell r="O70">
            <v>5272589.5999999996</v>
          </cell>
          <cell r="P70">
            <v>2875616</v>
          </cell>
          <cell r="Q70">
            <v>3462251</v>
          </cell>
          <cell r="R70">
            <v>5794563.2607823871</v>
          </cell>
          <cell r="S70">
            <v>6382305.5733714774</v>
          </cell>
          <cell r="T70">
            <v>6652056.6133574042</v>
          </cell>
          <cell r="U70">
            <v>1.1025517558068372</v>
          </cell>
          <cell r="V70">
            <v>0.40564110179159873</v>
          </cell>
          <cell r="W70">
            <v>2.3879464234822878</v>
          </cell>
          <cell r="X70">
            <v>2.000427282909631</v>
          </cell>
          <cell r="Y70">
            <v>2.8337633800247382</v>
          </cell>
          <cell r="Z70">
            <v>2.7956456678716823</v>
          </cell>
          <cell r="AA70">
            <v>3.130576055385184</v>
          </cell>
          <cell r="AB70">
            <v>2.9919720611020391</v>
          </cell>
        </row>
        <row r="71">
          <cell r="E71" t="str">
            <v xml:space="preserve"> 6.2.1.</v>
          </cell>
          <cell r="F71" t="str">
            <v xml:space="preserve"> Desembolsos</v>
          </cell>
          <cell r="H71">
            <v>722000</v>
          </cell>
          <cell r="I71">
            <v>1633300</v>
          </cell>
          <cell r="J71">
            <v>2510800</v>
          </cell>
          <cell r="K71">
            <v>3874081</v>
          </cell>
          <cell r="L71">
            <v>6918965</v>
          </cell>
          <cell r="M71">
            <v>7708700</v>
          </cell>
          <cell r="N71">
            <v>11396854</v>
          </cell>
          <cell r="O71">
            <v>11729855</v>
          </cell>
          <cell r="P71">
            <v>9900804</v>
          </cell>
          <cell r="Q71">
            <v>12607011</v>
          </cell>
          <cell r="R71">
            <v>14910296.678260127</v>
          </cell>
          <cell r="S71">
            <v>18065715.92827341</v>
          </cell>
          <cell r="T71">
            <v>20784079.36663647</v>
          </cell>
          <cell r="U71">
            <v>1.6447156357283812</v>
          </cell>
          <cell r="V71">
            <v>2.8168946069567102</v>
          </cell>
          <cell r="W71">
            <v>3.4155496639394602</v>
          </cell>
          <cell r="X71">
            <v>4.3274302045006481</v>
          </cell>
          <cell r="Y71">
            <v>5.5734130147738323</v>
          </cell>
          <cell r="Z71">
            <v>5.4079783588262078</v>
          </cell>
          <cell r="AA71">
            <v>7.4265000360349847</v>
          </cell>
          <cell r="AB71">
            <v>6.6561976378320935</v>
          </cell>
        </row>
        <row r="72">
          <cell r="E72" t="str">
            <v xml:space="preserve"> 6.2.2.</v>
          </cell>
          <cell r="F72" t="str">
            <v xml:space="preserve"> Amortizaciones</v>
          </cell>
          <cell r="H72">
            <v>238000</v>
          </cell>
          <cell r="I72">
            <v>1398100</v>
          </cell>
          <cell r="J72">
            <v>755400</v>
          </cell>
          <cell r="K72">
            <v>2083222</v>
          </cell>
          <cell r="L72">
            <v>3401065</v>
          </cell>
          <cell r="M72">
            <v>3723700</v>
          </cell>
          <cell r="N72">
            <v>6592610</v>
          </cell>
          <cell r="O72">
            <v>6457265.4000000004</v>
          </cell>
          <cell r="P72">
            <v>7025188</v>
          </cell>
          <cell r="Q72">
            <v>9144760</v>
          </cell>
          <cell r="R72">
            <v>9115733.41747774</v>
          </cell>
          <cell r="S72">
            <v>11683410.354901932</v>
          </cell>
          <cell r="T72">
            <v>14132022.753279066</v>
          </cell>
          <cell r="U72">
            <v>0.54216387992154391</v>
          </cell>
          <cell r="V72">
            <v>2.4112535051651114</v>
          </cell>
          <cell r="W72">
            <v>1.0276032404571722</v>
          </cell>
          <cell r="X72">
            <v>2.3270029215910171</v>
          </cell>
          <cell r="Y72">
            <v>2.7396496347490937</v>
          </cell>
          <cell r="Z72">
            <v>2.6123326909545255</v>
          </cell>
          <cell r="AA72">
            <v>4.2959239806498006</v>
          </cell>
          <cell r="AB72">
            <v>3.664225576730054</v>
          </cell>
        </row>
        <row r="73">
          <cell r="D73" t="str">
            <v xml:space="preserve"> 6.3.</v>
          </cell>
          <cell r="E73" t="str">
            <v>OTROS RECURSOS</v>
          </cell>
          <cell r="H73">
            <v>31916.83306045772</v>
          </cell>
          <cell r="I73">
            <v>572237</v>
          </cell>
          <cell r="J73">
            <v>-39999.209999999031</v>
          </cell>
          <cell r="K73">
            <v>828831.69</v>
          </cell>
          <cell r="L73">
            <v>-64653.96193857491</v>
          </cell>
          <cell r="M73">
            <v>287577.15788878966</v>
          </cell>
          <cell r="N73">
            <v>-31787.214962400496</v>
          </cell>
          <cell r="O73">
            <v>1814313.8399711698</v>
          </cell>
          <cell r="P73">
            <v>3620179.7428724095</v>
          </cell>
          <cell r="Q73">
            <v>2702202.86521497</v>
          </cell>
          <cell r="R73">
            <v>0</v>
          </cell>
          <cell r="S73">
            <v>1.862645149230957E-9</v>
          </cell>
          <cell r="T73">
            <v>9.3132257461547852E-10</v>
          </cell>
          <cell r="U73">
            <v>7.2706529608680515E-2</v>
          </cell>
          <cell r="V73">
            <v>0.98691686720203708</v>
          </cell>
          <cell r="W73">
            <v>-5.4412652649888704E-2</v>
          </cell>
          <cell r="X73">
            <v>0.9258224827393432</v>
          </cell>
          <cell r="Y73">
            <v>-5.2080511019371445E-2</v>
          </cell>
          <cell r="Z73">
            <v>0.20174751207795374</v>
          </cell>
          <cell r="AA73">
            <v>-2.0713413812594166E-2</v>
          </cell>
          <cell r="AB73">
            <v>1.0295465285719367</v>
          </cell>
        </row>
        <row r="74">
          <cell r="E74" t="str">
            <v xml:space="preserve"> 6.3.1.</v>
          </cell>
          <cell r="F74" t="str">
            <v>Telefonía</v>
          </cell>
          <cell r="H74">
            <v>0</v>
          </cell>
          <cell r="K74">
            <v>90000</v>
          </cell>
          <cell r="L74">
            <v>91614</v>
          </cell>
          <cell r="M74">
            <v>111391</v>
          </cell>
          <cell r="N74">
            <v>138701</v>
          </cell>
          <cell r="O74">
            <v>193889.75599999996</v>
          </cell>
          <cell r="P74">
            <v>215254.33600000001</v>
          </cell>
          <cell r="Q74">
            <v>238515.96599999999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0.10053189863739512</v>
          </cell>
          <cell r="Y74">
            <v>7.3797549190592782E-2</v>
          </cell>
          <cell r="Z74">
            <v>7.8145487224565768E-2</v>
          </cell>
          <cell r="AA74">
            <v>9.0381343965456468E-2</v>
          </cell>
          <cell r="AB74">
            <v>0.11002425314609948</v>
          </cell>
        </row>
        <row r="75">
          <cell r="E75" t="str">
            <v xml:space="preserve"> 6.3.2.</v>
          </cell>
          <cell r="F75" t="str">
            <v>Privatizaciones y concesiones</v>
          </cell>
          <cell r="H75">
            <v>0</v>
          </cell>
          <cell r="I75">
            <v>1412500</v>
          </cell>
          <cell r="J75">
            <v>5900</v>
          </cell>
          <cell r="K75">
            <v>733300</v>
          </cell>
          <cell r="L75">
            <v>429765</v>
          </cell>
          <cell r="M75">
            <v>0</v>
          </cell>
          <cell r="N75">
            <v>1100379</v>
          </cell>
          <cell r="O75">
            <v>4027199</v>
          </cell>
          <cell r="P75">
            <v>625713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2.4360886746625567</v>
          </cell>
          <cell r="W75">
            <v>8.0260247798481822E-3</v>
          </cell>
          <cell r="X75">
            <v>0.81911156967557597</v>
          </cell>
          <cell r="Y75">
            <v>0.34618730464661635</v>
          </cell>
          <cell r="Z75">
            <v>0</v>
          </cell>
          <cell r="AA75">
            <v>0.71703688431492929</v>
          </cell>
          <cell r="AB75">
            <v>2.2852654590256885</v>
          </cell>
        </row>
        <row r="76">
          <cell r="E76" t="str">
            <v xml:space="preserve"> 6.3.3.</v>
          </cell>
          <cell r="F76" t="str">
            <v>Fondo Comunicaciones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E77" t="str">
            <v xml:space="preserve"> 6.3.4.</v>
          </cell>
          <cell r="F77" t="str">
            <v>Faltante</v>
          </cell>
          <cell r="K77">
            <v>76882.689999999944</v>
          </cell>
          <cell r="L77">
            <v>-73746.96193857491</v>
          </cell>
          <cell r="M77">
            <v>19880.157888789661</v>
          </cell>
          <cell r="N77">
            <v>-2662266.2149624005</v>
          </cell>
          <cell r="O77">
            <v>-1693197.9160288302</v>
          </cell>
          <cell r="P77">
            <v>3197389.4068724094</v>
          </cell>
          <cell r="Q77">
            <v>2263686.8992149699</v>
          </cell>
          <cell r="R77">
            <v>0</v>
          </cell>
          <cell r="S77">
            <v>1.862645149230957E-9</v>
          </cell>
          <cell r="T77">
            <v>9.3132257461547852E-10</v>
          </cell>
          <cell r="U77">
            <v>0</v>
          </cell>
          <cell r="V77">
            <v>0</v>
          </cell>
          <cell r="W77">
            <v>0</v>
          </cell>
          <cell r="X77">
            <v>8.5879586645002948E-2</v>
          </cell>
          <cell r="Y77">
            <v>-5.9405167892666581E-2</v>
          </cell>
          <cell r="Z77">
            <v>1.3946769705997458E-2</v>
          </cell>
          <cell r="AA77">
            <v>-1.7348050735187963</v>
          </cell>
          <cell r="AB77">
            <v>-0.96081835359885726</v>
          </cell>
        </row>
        <row r="78">
          <cell r="E78" t="str">
            <v xml:space="preserve"> 6.3.5</v>
          </cell>
          <cell r="F78" t="str">
            <v>Otros</v>
          </cell>
          <cell r="H78">
            <v>31916.83306045772</v>
          </cell>
          <cell r="I78">
            <v>-840263</v>
          </cell>
          <cell r="J78">
            <v>-45899.209999999031</v>
          </cell>
          <cell r="K78">
            <v>-71351</v>
          </cell>
          <cell r="L78">
            <v>-512286</v>
          </cell>
          <cell r="M78">
            <v>156306</v>
          </cell>
          <cell r="N78">
            <v>1391399</v>
          </cell>
          <cell r="O78">
            <v>-713577</v>
          </cell>
          <cell r="P78">
            <v>-418176.99999999988</v>
          </cell>
          <cell r="Q78">
            <v>200000.00000000003</v>
          </cell>
          <cell r="R78">
            <v>0</v>
          </cell>
          <cell r="S78">
            <v>0</v>
          </cell>
          <cell r="T78">
            <v>0</v>
          </cell>
          <cell r="U78">
            <v>7.2706529608680515E-2</v>
          </cell>
          <cell r="V78">
            <v>-1.4491718074605193</v>
          </cell>
          <cell r="W78">
            <v>-6.2438677429736883E-2</v>
          </cell>
          <cell r="X78">
            <v>-7.9700572218630875E-2</v>
          </cell>
          <cell r="Y78">
            <v>-0.41266019696391404</v>
          </cell>
          <cell r="AA78">
            <v>0.90667343142581625</v>
          </cell>
          <cell r="AB78">
            <v>-0.40492483000099416</v>
          </cell>
        </row>
        <row r="79">
          <cell r="D79" t="str">
            <v>DEFICIT REAL / PIB</v>
          </cell>
          <cell r="H79">
            <v>-3.1603309591671266E-3</v>
          </cell>
          <cell r="I79">
            <v>-1.3754837899641425E-2</v>
          </cell>
          <cell r="J79">
            <v>-2.4031833418032847E-2</v>
          </cell>
          <cell r="K79">
            <v>-3.7022883204810376E-2</v>
          </cell>
          <cell r="L79">
            <v>-3.4649302703906509E-2</v>
          </cell>
          <cell r="M79">
            <v>-4.6364839827392555E-2</v>
          </cell>
          <cell r="N79">
            <v>-4.9717682516542537E-2</v>
          </cell>
          <cell r="O79">
            <v>-4.957349150115721E-2</v>
          </cell>
          <cell r="P79">
            <v>-3.5869029695593177E-2</v>
          </cell>
          <cell r="Q79">
            <v>-3.4704210002917429E-2</v>
          </cell>
          <cell r="R79">
            <v>-3.0235718841700957E-2</v>
          </cell>
          <cell r="S79">
            <v>-2.9422795514408354E-2</v>
          </cell>
          <cell r="T79">
            <v>-2.7541089033218849E-2</v>
          </cell>
        </row>
        <row r="80">
          <cell r="D80" t="str">
            <v>PIB NOMINAL</v>
          </cell>
          <cell r="H80">
            <v>43898166</v>
          </cell>
          <cell r="I80">
            <v>57982290</v>
          </cell>
          <cell r="J80">
            <v>73510862</v>
          </cell>
          <cell r="K80">
            <v>89523824</v>
          </cell>
          <cell r="L80">
            <v>124142334</v>
          </cell>
          <cell r="M80">
            <v>142543100</v>
          </cell>
          <cell r="N80">
            <v>153461980</v>
          </cell>
          <cell r="O80">
            <v>176224560</v>
          </cell>
          <cell r="P80">
            <v>204880140</v>
          </cell>
          <cell r="Q80">
            <v>229744394</v>
          </cell>
          <cell r="R80">
            <v>282235705</v>
          </cell>
          <cell r="S80">
            <v>322877647</v>
          </cell>
          <cell r="T80">
            <v>369372028</v>
          </cell>
        </row>
        <row r="82">
          <cell r="H82">
            <v>36504.734179629631</v>
          </cell>
        </row>
        <row r="83">
          <cell r="H83">
            <v>36504.734179629631</v>
          </cell>
        </row>
        <row r="154">
          <cell r="AK154" t="str">
            <v xml:space="preserve">  </v>
          </cell>
        </row>
        <row r="156">
          <cell r="AY156">
            <v>36504.734179629631</v>
          </cell>
        </row>
        <row r="158">
          <cell r="AP158" t="str">
            <v>1998</v>
          </cell>
          <cell r="AU158"/>
          <cell r="AW158" t="str">
            <v>PORCENTAJE DEL PIB</v>
          </cell>
          <cell r="AX158"/>
          <cell r="AZ158" t="str">
            <v>1998</v>
          </cell>
          <cell r="BB158"/>
        </row>
        <row r="159">
          <cell r="AH159" t="str">
            <v>CONCEPTOS</v>
          </cell>
          <cell r="AK159" t="str">
            <v xml:space="preserve">        1993</v>
          </cell>
          <cell r="AL159" t="str">
            <v xml:space="preserve">        1994</v>
          </cell>
          <cell r="AM159" t="str">
            <v xml:space="preserve">        1995</v>
          </cell>
          <cell r="AN159" t="str">
            <v xml:space="preserve">        1996</v>
          </cell>
          <cell r="AO159" t="str">
            <v xml:space="preserve">        1997</v>
          </cell>
          <cell r="AP159" t="str">
            <v>Revisión</v>
          </cell>
          <cell r="AQ159" t="str">
            <v>Con Reforma</v>
          </cell>
          <cell r="AS159" t="str">
            <v xml:space="preserve">        1999</v>
          </cell>
          <cell r="AT159" t="str">
            <v xml:space="preserve">        2000</v>
          </cell>
          <cell r="AU159" t="str">
            <v xml:space="preserve">        1993</v>
          </cell>
          <cell r="AV159" t="str">
            <v xml:space="preserve">        1994</v>
          </cell>
          <cell r="AW159" t="str">
            <v xml:space="preserve">        1995</v>
          </cell>
          <cell r="AX159" t="str">
            <v xml:space="preserve">        1996</v>
          </cell>
          <cell r="AY159" t="str">
            <v xml:space="preserve">        1997</v>
          </cell>
          <cell r="AZ159" t="str">
            <v>Revisión</v>
          </cell>
          <cell r="BA159" t="str">
            <v>Con Reforma</v>
          </cell>
          <cell r="BB159" t="str">
            <v xml:space="preserve">        2000</v>
          </cell>
        </row>
        <row r="160">
          <cell r="AP160" t="str">
            <v>Sin Reforma</v>
          </cell>
          <cell r="AZ160" t="str">
            <v>Sin Reforma</v>
          </cell>
        </row>
        <row r="162">
          <cell r="AK162">
            <v>5907600.3079954172</v>
          </cell>
          <cell r="AL162">
            <v>7700800</v>
          </cell>
          <cell r="AM162">
            <v>9523699.209999999</v>
          </cell>
          <cell r="AN162">
            <v>12048768</v>
          </cell>
          <cell r="AO162">
            <v>15287795.690864535</v>
          </cell>
          <cell r="AP162">
            <v>16883418</v>
          </cell>
          <cell r="AQ162">
            <v>17191608</v>
          </cell>
          <cell r="AS162">
            <v>20104461</v>
          </cell>
          <cell r="AT162">
            <v>22954281.374545835</v>
          </cell>
          <cell r="AU162" t="e">
            <v>#DIV/0!</v>
          </cell>
          <cell r="AV162" t="e">
            <v>#DIV/0!</v>
          </cell>
          <cell r="AW162" t="e">
            <v>#DIV/0!</v>
          </cell>
          <cell r="AX162">
            <v>13.458728036460998</v>
          </cell>
          <cell r="AY162">
            <v>12.314731967955858</v>
          </cell>
          <cell r="AZ162">
            <v>11.844430210932694</v>
          </cell>
          <cell r="BA162">
            <v>12.060638501618106</v>
          </cell>
          <cell r="BB162" t="e">
            <v>#DIV/0!</v>
          </cell>
        </row>
        <row r="163">
          <cell r="AH163" t="str">
            <v>INGRESOS CORRIENTES</v>
          </cell>
          <cell r="AK163">
            <v>5263700.6850998439</v>
          </cell>
          <cell r="AL163">
            <v>6861486</v>
          </cell>
          <cell r="AM163">
            <v>8461545.209999999</v>
          </cell>
          <cell r="AN163">
            <v>10503503</v>
          </cell>
          <cell r="AO163">
            <v>13687699.342834629</v>
          </cell>
          <cell r="AP163">
            <v>15006976</v>
          </cell>
          <cell r="AQ163">
            <v>14966094</v>
          </cell>
          <cell r="AS163">
            <v>16400237</v>
          </cell>
          <cell r="AT163">
            <v>20121494.774545837</v>
          </cell>
          <cell r="AU163" t="e">
            <v>#DIV/0!</v>
          </cell>
          <cell r="AV163" t="e">
            <v>#DIV/0!</v>
          </cell>
          <cell r="AW163" t="e">
            <v>#DIV/0!</v>
          </cell>
          <cell r="AX163">
            <v>11.732634432595283</v>
          </cell>
          <cell r="AY163">
            <v>11.025811181248315</v>
          </cell>
          <cell r="AZ163">
            <v>10.528026961669838</v>
          </cell>
          <cell r="BA163">
            <v>10.499346513440496</v>
          </cell>
          <cell r="BB163" t="e">
            <v>#DIV/0!</v>
          </cell>
        </row>
        <row r="164">
          <cell r="AH164" t="str">
            <v xml:space="preserve">  1.1.1.</v>
          </cell>
          <cell r="AI164" t="str">
            <v>TRIBUTARIOS</v>
          </cell>
          <cell r="AK164">
            <v>5051354.6850998439</v>
          </cell>
          <cell r="AL164">
            <v>6731364</v>
          </cell>
          <cell r="AM164">
            <v>8229679.2799999993</v>
          </cell>
          <cell r="AN164">
            <v>10171715</v>
          </cell>
          <cell r="AO164">
            <v>13148299.554000001</v>
          </cell>
          <cell r="AP164">
            <v>14825238</v>
          </cell>
          <cell r="AQ164">
            <v>14784356</v>
          </cell>
          <cell r="AS164">
            <v>16128233</v>
          </cell>
          <cell r="AT164">
            <v>19382413.840017654</v>
          </cell>
          <cell r="AU164" t="e">
            <v>#DIV/0!</v>
          </cell>
          <cell r="AV164" t="e">
            <v>#DIV/0!</v>
          </cell>
          <cell r="AW164" t="e">
            <v>#DIV/0!</v>
          </cell>
          <cell r="AX164">
            <v>11.362020237205238</v>
          </cell>
          <cell r="AY164">
            <v>10.591310095716423</v>
          </cell>
          <cell r="AZ164">
            <v>10.400530085286485</v>
          </cell>
          <cell r="BA164">
            <v>10.371849637057142</v>
          </cell>
          <cell r="BB164" t="e">
            <v>#DIV/0!</v>
          </cell>
        </row>
        <row r="165">
          <cell r="AI165" t="str">
            <v>Renta</v>
          </cell>
          <cell r="AK165">
            <v>2053778</v>
          </cell>
          <cell r="AL165">
            <v>2726730</v>
          </cell>
          <cell r="AM165">
            <v>3257473</v>
          </cell>
          <cell r="AN165">
            <v>3637291</v>
          </cell>
          <cell r="AO165">
            <v>5081160.7374290004</v>
          </cell>
          <cell r="AP165">
            <v>5764752</v>
          </cell>
          <cell r="AQ165">
            <v>5764752</v>
          </cell>
          <cell r="AS165">
            <v>6035064</v>
          </cell>
          <cell r="AT165">
            <v>6761800</v>
          </cell>
          <cell r="AU165" t="e">
            <v>#DIV/0!</v>
          </cell>
          <cell r="AV165" t="e">
            <v>#DIV/0!</v>
          </cell>
          <cell r="AW165" t="e">
            <v>#DIV/0!</v>
          </cell>
          <cell r="AX165">
            <v>4.0629307791856615</v>
          </cell>
          <cell r="AY165">
            <v>4.0930120883896057</v>
          </cell>
          <cell r="AZ165">
            <v>4.044216801795387</v>
          </cell>
          <cell r="BA165">
            <v>4.044216801795387</v>
          </cell>
          <cell r="BB165" t="e">
            <v>#DIV/0!</v>
          </cell>
        </row>
        <row r="166">
          <cell r="AI166" t="str">
            <v>Ventas internas</v>
          </cell>
          <cell r="AK166">
            <v>1270304</v>
          </cell>
          <cell r="AL166">
            <v>1688410</v>
          </cell>
          <cell r="AM166">
            <v>2064330</v>
          </cell>
          <cell r="AN166">
            <v>2804742</v>
          </cell>
          <cell r="AO166">
            <v>3829700</v>
          </cell>
          <cell r="AP166">
            <v>4037970</v>
          </cell>
          <cell r="AQ166">
            <v>4037970</v>
          </cell>
          <cell r="AS166">
            <v>3993819</v>
          </cell>
          <cell r="AT166">
            <v>5222366.5599999996</v>
          </cell>
          <cell r="AU166" t="e">
            <v>#DIV/0!</v>
          </cell>
          <cell r="AV166" t="e">
            <v>#DIV/0!</v>
          </cell>
          <cell r="AW166" t="e">
            <v>#DIV/0!</v>
          </cell>
          <cell r="AX166">
            <v>3.1329559827560542</v>
          </cell>
          <cell r="AY166">
            <v>3.084926693902823</v>
          </cell>
          <cell r="AZ166">
            <v>2.8328063582172689</v>
          </cell>
          <cell r="BA166">
            <v>2.8328063582172689</v>
          </cell>
          <cell r="BB166" t="e">
            <v>#DIV/0!</v>
          </cell>
        </row>
        <row r="167">
          <cell r="AI167" t="str">
            <v>Ventas externas</v>
          </cell>
          <cell r="AK167">
            <v>811677</v>
          </cell>
          <cell r="AL167">
            <v>1083655</v>
          </cell>
          <cell r="AM167">
            <v>1412000.57</v>
          </cell>
          <cell r="AN167">
            <v>1378928.75</v>
          </cell>
          <cell r="AO167">
            <v>2006900</v>
          </cell>
          <cell r="AP167">
            <v>2368507</v>
          </cell>
          <cell r="AQ167">
            <v>2368507</v>
          </cell>
          <cell r="AS167">
            <v>1867124</v>
          </cell>
          <cell r="AT167">
            <v>2764967</v>
          </cell>
          <cell r="AU167" t="e">
            <v>#DIV/0!</v>
          </cell>
          <cell r="AV167" t="e">
            <v>#DIV/0!</v>
          </cell>
          <cell r="AW167" t="e">
            <v>#DIV/0!</v>
          </cell>
          <cell r="AX167">
            <v>1.5402925035909993</v>
          </cell>
          <cell r="AY167">
            <v>1.6166121059074015</v>
          </cell>
          <cell r="AZ167">
            <v>1.6616076120134893</v>
          </cell>
          <cell r="BA167">
            <v>1.6616076120134893</v>
          </cell>
          <cell r="BB167" t="e">
            <v>#DIV/0!</v>
          </cell>
        </row>
        <row r="168">
          <cell r="AI168" t="str">
            <v>Aduanas</v>
          </cell>
          <cell r="AK168">
            <v>508123</v>
          </cell>
          <cell r="AL168">
            <v>718041</v>
          </cell>
          <cell r="AM168">
            <v>868730.35</v>
          </cell>
          <cell r="AN168">
            <v>912710</v>
          </cell>
          <cell r="AO168">
            <v>1240900</v>
          </cell>
          <cell r="AP168">
            <v>1646641</v>
          </cell>
          <cell r="AQ168">
            <v>1646641</v>
          </cell>
          <cell r="AS168">
            <v>1360239</v>
          </cell>
          <cell r="AT168">
            <v>2110784</v>
          </cell>
          <cell r="AU168" t="e">
            <v>#DIV/0!</v>
          </cell>
          <cell r="AV168" t="e">
            <v>#DIV/0!</v>
          </cell>
          <cell r="AW168" t="e">
            <v>#DIV/0!</v>
          </cell>
          <cell r="AX168">
            <v>1.0195163245037433</v>
          </cell>
          <cell r="AY168">
            <v>0.99957843550774539</v>
          </cell>
          <cell r="AZ168">
            <v>1.1551881501103878</v>
          </cell>
          <cell r="BA168">
            <v>1.1551881501103878</v>
          </cell>
          <cell r="BB168" t="e">
            <v>#DIV/0!</v>
          </cell>
        </row>
        <row r="169">
          <cell r="AI169" t="str">
            <v>Gasolina</v>
          </cell>
          <cell r="AK169">
            <v>319997.68509984389</v>
          </cell>
          <cell r="AL169">
            <v>405857</v>
          </cell>
          <cell r="AM169">
            <v>465782.39</v>
          </cell>
          <cell r="AN169">
            <v>637180.5</v>
          </cell>
          <cell r="AO169">
            <v>636400</v>
          </cell>
          <cell r="AP169">
            <v>641768</v>
          </cell>
          <cell r="AQ169">
            <v>421768</v>
          </cell>
          <cell r="AS169">
            <v>799292</v>
          </cell>
          <cell r="AT169">
            <v>939040.28001765453</v>
          </cell>
          <cell r="AU169" t="e">
            <v>#DIV/0!</v>
          </cell>
          <cell r="AV169" t="e">
            <v>#DIV/0!</v>
          </cell>
          <cell r="AW169" t="e">
            <v>#DIV/0!</v>
          </cell>
          <cell r="AX169">
            <v>0.71174406044138594</v>
          </cell>
          <cell r="AY169">
            <v>0.51263737316232505</v>
          </cell>
          <cell r="AZ169">
            <v>0.45022733474998089</v>
          </cell>
          <cell r="BA169">
            <v>0.29588805070185792</v>
          </cell>
          <cell r="BB169" t="e">
            <v>#DIV/0!</v>
          </cell>
        </row>
        <row r="170">
          <cell r="AI170" t="str">
            <v>Resto</v>
          </cell>
          <cell r="AK170">
            <v>87475</v>
          </cell>
          <cell r="AL170">
            <v>108671</v>
          </cell>
          <cell r="AM170">
            <v>161362.96999999997</v>
          </cell>
          <cell r="AN170">
            <v>171960</v>
          </cell>
          <cell r="AO170">
            <v>278838.596571</v>
          </cell>
          <cell r="AP170">
            <v>365600</v>
          </cell>
          <cell r="AQ170">
            <v>365600</v>
          </cell>
          <cell r="AS170">
            <v>1185151</v>
          </cell>
          <cell r="AT170">
            <v>1583456</v>
          </cell>
          <cell r="AU170" t="e">
            <v>#DIV/0!</v>
          </cell>
          <cell r="AV170" t="e">
            <v>#DIV/0!</v>
          </cell>
          <cell r="AW170" t="e">
            <v>#DIV/0!</v>
          </cell>
          <cell r="AX170">
            <v>0.19208294766318293</v>
          </cell>
          <cell r="AY170">
            <v>0.22461201395730163</v>
          </cell>
          <cell r="AZ170">
            <v>0.25648382839997164</v>
          </cell>
          <cell r="BA170">
            <v>0.25648382839997164</v>
          </cell>
          <cell r="BB170" t="e">
            <v>#DIV/0!</v>
          </cell>
        </row>
        <row r="171">
          <cell r="AI171" t="str">
            <v>Reforma y Racionalización Tributarias</v>
          </cell>
          <cell r="AK171">
            <v>0</v>
          </cell>
          <cell r="AL171">
            <v>0</v>
          </cell>
          <cell r="AM171">
            <v>0</v>
          </cell>
          <cell r="AN171">
            <v>628902.75</v>
          </cell>
          <cell r="AO171">
            <v>74400.22</v>
          </cell>
          <cell r="AP171">
            <v>0</v>
          </cell>
          <cell r="AQ171">
            <v>179118</v>
          </cell>
          <cell r="AS171">
            <v>887544</v>
          </cell>
          <cell r="AT171">
            <v>0</v>
          </cell>
          <cell r="AU171" t="e">
            <v>#DIV/0!</v>
          </cell>
          <cell r="AV171" t="e">
            <v>#DIV/0!</v>
          </cell>
          <cell r="AW171" t="e">
            <v>#DIV/0!</v>
          </cell>
          <cell r="AX171">
            <v>0.70249763906421159</v>
          </cell>
          <cell r="AY171">
            <v>5.9931384889219175E-2</v>
          </cell>
          <cell r="AZ171">
            <v>0</v>
          </cell>
          <cell r="BA171">
            <v>0.12565883581878043</v>
          </cell>
          <cell r="BB171" t="e">
            <v>#DIV/0!</v>
          </cell>
        </row>
        <row r="172">
          <cell r="AH172" t="str">
            <v xml:space="preserve">  1.1.2.</v>
          </cell>
          <cell r="AI172" t="str">
            <v>NO TRIBUTARIOS</v>
          </cell>
          <cell r="AK172">
            <v>212346</v>
          </cell>
          <cell r="AL172">
            <v>130122</v>
          </cell>
          <cell r="AM172">
            <v>231865.93</v>
          </cell>
          <cell r="AN172">
            <v>331788</v>
          </cell>
          <cell r="AO172">
            <v>539399.78883462772</v>
          </cell>
          <cell r="AP172">
            <v>181738</v>
          </cell>
          <cell r="AQ172">
            <v>181738</v>
          </cell>
          <cell r="AS172">
            <v>272004</v>
          </cell>
          <cell r="AT172">
            <v>739080.93452818377</v>
          </cell>
          <cell r="AU172" t="e">
            <v>#DIV/0!</v>
          </cell>
          <cell r="AV172" t="e">
            <v>#DIV/0!</v>
          </cell>
          <cell r="AW172" t="e">
            <v>#DIV/0!</v>
          </cell>
          <cell r="AX172">
            <v>0.37061419539004498</v>
          </cell>
          <cell r="AY172">
            <v>0.43450108553189259</v>
          </cell>
          <cell r="AZ172">
            <v>0.12749687638335352</v>
          </cell>
          <cell r="BA172">
            <v>0.12749687638335352</v>
          </cell>
          <cell r="BB172" t="e">
            <v>#DIV/0!</v>
          </cell>
        </row>
        <row r="173">
          <cell r="AI173" t="str">
            <v>Contribución hidrocarburos</v>
          </cell>
          <cell r="AK173">
            <v>92000</v>
          </cell>
          <cell r="AL173">
            <v>115700</v>
          </cell>
          <cell r="AM173">
            <v>172307.49</v>
          </cell>
          <cell r="AN173">
            <v>267843</v>
          </cell>
          <cell r="AO173">
            <v>278800</v>
          </cell>
          <cell r="AP173">
            <v>41269</v>
          </cell>
          <cell r="AQ173">
            <v>41269</v>
          </cell>
          <cell r="AS173">
            <v>14000</v>
          </cell>
          <cell r="AT173">
            <v>58186.551473012805</v>
          </cell>
          <cell r="AU173" t="e">
            <v>#DIV/0!</v>
          </cell>
          <cell r="AV173" t="e">
            <v>#DIV/0!</v>
          </cell>
          <cell r="AW173" t="e">
            <v>#DIV/0!</v>
          </cell>
          <cell r="AX173">
            <v>0.29918628140817577</v>
          </cell>
          <cell r="AY173">
            <v>0.22458092337783822</v>
          </cell>
          <cell r="AZ173">
            <v>2.8951945060827218E-2</v>
          </cell>
          <cell r="BA173">
            <v>2.8951945060827218E-2</v>
          </cell>
          <cell r="BB173" t="e">
            <v>#DIV/0!</v>
          </cell>
        </row>
        <row r="174">
          <cell r="AI174" t="str">
            <v xml:space="preserve">Resto </v>
          </cell>
          <cell r="AK174">
            <v>120346</v>
          </cell>
          <cell r="AL174">
            <v>14422</v>
          </cell>
          <cell r="AM174">
            <v>59558.44</v>
          </cell>
          <cell r="AN174">
            <v>63945</v>
          </cell>
          <cell r="AO174">
            <v>260599.78883462772</v>
          </cell>
          <cell r="AP174">
            <v>140469</v>
          </cell>
          <cell r="AQ174">
            <v>140469</v>
          </cell>
          <cell r="AS174">
            <v>258004</v>
          </cell>
          <cell r="AT174">
            <v>680894.383055171</v>
          </cell>
          <cell r="AU174" t="e">
            <v>#DIV/0!</v>
          </cell>
          <cell r="AV174" t="e">
            <v>#DIV/0!</v>
          </cell>
          <cell r="AW174" t="e">
            <v>#DIV/0!</v>
          </cell>
          <cell r="AX174">
            <v>7.1427913981869234E-2</v>
          </cell>
          <cell r="AY174">
            <v>0.20992016215405432</v>
          </cell>
          <cell r="AZ174">
            <v>9.85449313225263E-2</v>
          </cell>
          <cell r="BA174">
            <v>9.85449313225263E-2</v>
          </cell>
          <cell r="BB174" t="e">
            <v>#DIV/0!</v>
          </cell>
        </row>
        <row r="175">
          <cell r="AH175" t="str">
            <v>CONTRIBUCIONES PARAFISCALES</v>
          </cell>
          <cell r="AK175">
            <v>81799.62289557296</v>
          </cell>
          <cell r="AL175">
            <v>219100</v>
          </cell>
          <cell r="AM175">
            <v>259554</v>
          </cell>
          <cell r="AS175">
            <v>0</v>
          </cell>
          <cell r="AT175">
            <v>0</v>
          </cell>
          <cell r="AU175" t="e">
            <v>#DIV/0!</v>
          </cell>
          <cell r="AV175" t="e">
            <v>#DIV/0!</v>
          </cell>
          <cell r="AW175" t="e">
            <v>#DIV/0!</v>
          </cell>
        </row>
        <row r="176">
          <cell r="AH176" t="str">
            <v>FONDOS ESPECIALES</v>
          </cell>
          <cell r="AK176">
            <v>0</v>
          </cell>
          <cell r="AL176">
            <v>0</v>
          </cell>
          <cell r="AM176">
            <v>0</v>
          </cell>
          <cell r="AN176">
            <v>400315</v>
          </cell>
          <cell r="AO176">
            <v>382093.34802990541</v>
          </cell>
          <cell r="AP176">
            <v>386363</v>
          </cell>
          <cell r="AQ176">
            <v>306363</v>
          </cell>
          <cell r="AS176">
            <v>539961</v>
          </cell>
          <cell r="AT176">
            <v>604451</v>
          </cell>
          <cell r="AU176" t="e">
            <v>#DIV/0!</v>
          </cell>
          <cell r="AV176" t="e">
            <v>#DIV/0!</v>
          </cell>
          <cell r="AW176" t="e">
            <v>#DIV/0!</v>
          </cell>
          <cell r="AX176">
            <v>0.44716030003365359</v>
          </cell>
          <cell r="AY176">
            <v>0.30778650257204399</v>
          </cell>
          <cell r="AZ176">
            <v>0.27104994910311336</v>
          </cell>
          <cell r="BA176">
            <v>0.21492657308561414</v>
          </cell>
          <cell r="BB176" t="e">
            <v>#DIV/0!</v>
          </cell>
        </row>
        <row r="177">
          <cell r="AH177" t="str">
            <v>OTROS DE CAPITAL</v>
          </cell>
          <cell r="AK177">
            <v>562100</v>
          </cell>
          <cell r="AL177">
            <v>620214</v>
          </cell>
          <cell r="AM177">
            <v>802600</v>
          </cell>
          <cell r="AN177">
            <v>1144950</v>
          </cell>
          <cell r="AO177">
            <v>1218003</v>
          </cell>
          <cell r="AP177">
            <v>1490079</v>
          </cell>
          <cell r="AQ177">
            <v>1919151</v>
          </cell>
          <cell r="AS177">
            <v>3164263</v>
          </cell>
          <cell r="AT177">
            <v>2228335.5999999996</v>
          </cell>
          <cell r="AU177" t="e">
            <v>#DIV/0!</v>
          </cell>
          <cell r="AV177" t="e">
            <v>#DIV/0!</v>
          </cell>
          <cell r="AW177" t="e">
            <v>#DIV/0!</v>
          </cell>
          <cell r="AX177">
            <v>1.2789333038320616</v>
          </cell>
          <cell r="AY177">
            <v>0.98113428413549886</v>
          </cell>
          <cell r="AZ177">
            <v>1.0453533001597413</v>
          </cell>
          <cell r="BA177">
            <v>1.3463654150919968</v>
          </cell>
          <cell r="BB177" t="e">
            <v>#DIV/0!</v>
          </cell>
        </row>
        <row r="178">
          <cell r="AH178" t="str">
            <v>Rendimientos financieros</v>
          </cell>
          <cell r="AK178">
            <v>121900</v>
          </cell>
          <cell r="AL178">
            <v>125100</v>
          </cell>
          <cell r="AM178">
            <v>141300</v>
          </cell>
          <cell r="AN178">
            <v>293738</v>
          </cell>
          <cell r="AO178">
            <v>318811.99</v>
          </cell>
          <cell r="AP178">
            <v>291800</v>
          </cell>
          <cell r="AQ178">
            <v>291800</v>
          </cell>
          <cell r="AS178">
            <v>320558</v>
          </cell>
          <cell r="AT178">
            <v>494497</v>
          </cell>
          <cell r="AU178" t="e">
            <v>#DIV/0!</v>
          </cell>
          <cell r="AV178" t="e">
            <v>#DIV/0!</v>
          </cell>
          <cell r="AW178" t="e">
            <v>#DIV/0!</v>
          </cell>
          <cell r="AX178">
            <v>0.3281115426883463</v>
          </cell>
          <cell r="AY178">
            <v>0.25681166104062458</v>
          </cell>
          <cell r="AZ178">
            <v>0.2047100140238286</v>
          </cell>
          <cell r="BA178">
            <v>0.2047100140238286</v>
          </cell>
          <cell r="BB178" t="e">
            <v>#DIV/0!</v>
          </cell>
        </row>
        <row r="179">
          <cell r="AH179" t="str">
            <v>Excedentes financieros</v>
          </cell>
          <cell r="AK179">
            <v>154960</v>
          </cell>
          <cell r="AL179">
            <v>220000</v>
          </cell>
          <cell r="AM179">
            <v>428800</v>
          </cell>
          <cell r="AN179">
            <v>550000</v>
          </cell>
          <cell r="AO179">
            <v>635803</v>
          </cell>
          <cell r="AP179">
            <v>712766</v>
          </cell>
          <cell r="AQ179">
            <v>1141838</v>
          </cell>
          <cell r="AS179">
            <v>2645009</v>
          </cell>
          <cell r="AT179">
            <v>1515273.0000000002</v>
          </cell>
          <cell r="AU179" t="e">
            <v>#DIV/0!</v>
          </cell>
          <cell r="AV179" t="e">
            <v>#DIV/0!</v>
          </cell>
          <cell r="AW179" t="e">
            <v>#DIV/0!</v>
          </cell>
          <cell r="AX179">
            <v>0.61436160278408125</v>
          </cell>
          <cell r="AY179">
            <v>0.51215647355236615</v>
          </cell>
          <cell r="AZ179">
            <v>0.50003542788111111</v>
          </cell>
          <cell r="BA179">
            <v>0.80104754281336665</v>
          </cell>
          <cell r="BB179" t="e">
            <v>#DIV/0!</v>
          </cell>
        </row>
        <row r="180">
          <cell r="AI180" t="str">
            <v>Ecopetrol</v>
          </cell>
          <cell r="AK180">
            <v>110000</v>
          </cell>
          <cell r="AL180">
            <v>139000</v>
          </cell>
          <cell r="AM180">
            <v>194020</v>
          </cell>
          <cell r="AN180">
            <v>226224</v>
          </cell>
          <cell r="AO180">
            <v>223000</v>
          </cell>
          <cell r="AP180">
            <v>279000</v>
          </cell>
          <cell r="AQ180">
            <v>708072</v>
          </cell>
          <cell r="AS180">
            <v>279000</v>
          </cell>
          <cell r="AT180">
            <v>674000</v>
          </cell>
          <cell r="AU180" t="e">
            <v>#DIV/0!</v>
          </cell>
          <cell r="AV180" t="e">
            <v>#DIV/0!</v>
          </cell>
          <cell r="AW180" t="e">
            <v>#DIV/0!</v>
          </cell>
          <cell r="AX180">
            <v>0.25269698041495636</v>
          </cell>
          <cell r="AY180">
            <v>0.17963251762287635</v>
          </cell>
          <cell r="AZ180">
            <v>0.19573027386102868</v>
          </cell>
          <cell r="BA180">
            <v>0.49674238879328431</v>
          </cell>
          <cell r="BB180" t="e">
            <v>#DIV/0!</v>
          </cell>
        </row>
        <row r="181">
          <cell r="AI181" t="str">
            <v>Resto</v>
          </cell>
          <cell r="AK181">
            <v>44960</v>
          </cell>
          <cell r="AL181">
            <v>81000</v>
          </cell>
          <cell r="AM181">
            <v>234780</v>
          </cell>
          <cell r="AN181">
            <v>323776</v>
          </cell>
          <cell r="AO181">
            <v>412803</v>
          </cell>
          <cell r="AP181">
            <v>433766</v>
          </cell>
          <cell r="AQ181">
            <v>433766</v>
          </cell>
          <cell r="AS181">
            <v>2366009</v>
          </cell>
          <cell r="AT181">
            <v>841273.00000000023</v>
          </cell>
          <cell r="AU181" t="e">
            <v>#DIV/0!</v>
          </cell>
          <cell r="AV181" t="e">
            <v>#DIV/0!</v>
          </cell>
          <cell r="AW181" t="e">
            <v>#DIV/0!</v>
          </cell>
          <cell r="AX181">
            <v>0.36166462236912489</v>
          </cell>
          <cell r="AY181">
            <v>0.3325239559294898</v>
          </cell>
          <cell r="AZ181">
            <v>0.30430515402008235</v>
          </cell>
          <cell r="BA181">
            <v>0.30430515402008235</v>
          </cell>
          <cell r="BB181" t="e">
            <v>#DIV/0!</v>
          </cell>
        </row>
        <row r="182">
          <cell r="AH182" t="str">
            <v>Recuperación de cartera</v>
          </cell>
          <cell r="AK182">
            <v>66700</v>
          </cell>
          <cell r="AL182">
            <v>55200</v>
          </cell>
          <cell r="AM182">
            <v>5900</v>
          </cell>
          <cell r="AN182">
            <v>8100</v>
          </cell>
          <cell r="AO182">
            <v>75800</v>
          </cell>
          <cell r="AP182">
            <v>75100</v>
          </cell>
          <cell r="AQ182">
            <v>75100</v>
          </cell>
          <cell r="AS182">
            <v>3481</v>
          </cell>
          <cell r="AT182">
            <v>3829.1000000000004</v>
          </cell>
          <cell r="AU182" t="e">
            <v>#DIV/0!</v>
          </cell>
          <cell r="AV182" t="e">
            <v>#DIV/0!</v>
          </cell>
          <cell r="AW182" t="e">
            <v>#DIV/0!</v>
          </cell>
          <cell r="AX182">
            <v>9.0478708773655617E-3</v>
          </cell>
          <cell r="AY182">
            <v>6.1058945452080841E-2</v>
          </cell>
          <cell r="AZ182">
            <v>5.2685819236427442E-2</v>
          </cell>
          <cell r="BA182">
            <v>5.2685819236427442E-2</v>
          </cell>
          <cell r="BB182" t="e">
            <v>#DIV/0!</v>
          </cell>
        </row>
        <row r="183">
          <cell r="AH183" t="str">
            <v>Reintegros y recursos no apropiados</v>
          </cell>
          <cell r="AK183">
            <v>78400</v>
          </cell>
          <cell r="AL183">
            <v>171400</v>
          </cell>
          <cell r="AM183">
            <v>226600</v>
          </cell>
          <cell r="AN183">
            <v>192000</v>
          </cell>
          <cell r="AO183">
            <v>83188.009999999995</v>
          </cell>
          <cell r="AP183">
            <v>199903</v>
          </cell>
          <cell r="AQ183">
            <v>199903</v>
          </cell>
          <cell r="AS183">
            <v>190017</v>
          </cell>
          <cell r="AT183">
            <v>209018.7</v>
          </cell>
          <cell r="AU183" t="e">
            <v>#DIV/0!</v>
          </cell>
          <cell r="AV183" t="e">
            <v>#DIV/0!</v>
          </cell>
          <cell r="AW183" t="e">
            <v>#DIV/0!</v>
          </cell>
          <cell r="AX183">
            <v>0.21446805042644293</v>
          </cell>
          <cell r="AY183">
            <v>6.7010186871466426E-2</v>
          </cell>
          <cell r="AZ183">
            <v>0.14024039045032696</v>
          </cell>
          <cell r="BA183">
            <v>0.14024039045032696</v>
          </cell>
          <cell r="BB183" t="e">
            <v>#DIV/0!</v>
          </cell>
        </row>
        <row r="184">
          <cell r="AH184" t="str">
            <v xml:space="preserve">Resto </v>
          </cell>
          <cell r="AK184">
            <v>140140</v>
          </cell>
          <cell r="AL184">
            <v>48514</v>
          </cell>
          <cell r="AM184">
            <v>0</v>
          </cell>
          <cell r="AN184">
            <v>101112</v>
          </cell>
          <cell r="AO184">
            <v>104400</v>
          </cell>
          <cell r="AP184">
            <v>210510</v>
          </cell>
          <cell r="AQ184">
            <v>210510</v>
          </cell>
          <cell r="AS184">
            <v>5198</v>
          </cell>
          <cell r="AT184">
            <v>5717.8</v>
          </cell>
          <cell r="AU184" t="e">
            <v>#DIV/0!</v>
          </cell>
          <cell r="AV184" t="e">
            <v>#DIV/0!</v>
          </cell>
          <cell r="AW184" t="e">
            <v>#DIV/0!</v>
          </cell>
          <cell r="AX184">
            <v>0.11294423705582549</v>
          </cell>
          <cell r="AY184">
            <v>8.4097017218960943E-2</v>
          </cell>
          <cell r="AZ184">
            <v>0.14768164856804714</v>
          </cell>
          <cell r="BA184">
            <v>0.14768164856804714</v>
          </cell>
          <cell r="BB184" t="e">
            <v>#DIV/0!</v>
          </cell>
        </row>
        <row r="185">
          <cell r="AK185">
            <v>0</v>
          </cell>
          <cell r="AL185">
            <v>0</v>
          </cell>
          <cell r="AM185">
            <v>0</v>
          </cell>
          <cell r="AS185">
            <v>0</v>
          </cell>
          <cell r="AT185">
            <v>0</v>
          </cell>
        </row>
        <row r="186">
          <cell r="AK186">
            <v>6046333.0410558749</v>
          </cell>
          <cell r="AL186">
            <v>8498337</v>
          </cell>
          <cell r="AM186">
            <v>11290300</v>
          </cell>
          <cell r="AN186">
            <v>15363198.08</v>
          </cell>
          <cell r="AO186">
            <v>19589241</v>
          </cell>
          <cell r="AP186">
            <v>23492406</v>
          </cell>
          <cell r="AQ186">
            <v>23492406</v>
          </cell>
          <cell r="AS186">
            <v>27734235</v>
          </cell>
          <cell r="AT186">
            <v>31690348.102001004</v>
          </cell>
          <cell r="AU186" t="e">
            <v>#DIV/0!</v>
          </cell>
          <cell r="AV186" t="e">
            <v>#DIV/0!</v>
          </cell>
          <cell r="AW186" t="e">
            <v>#DIV/0!</v>
          </cell>
          <cell r="AX186">
            <v>17.161016356942035</v>
          </cell>
          <cell r="AY186">
            <v>15.779662238346509</v>
          </cell>
          <cell r="AZ186">
            <v>16.48091419367195</v>
          </cell>
          <cell r="BA186">
            <v>16.48091419367195</v>
          </cell>
          <cell r="BB186" t="e">
            <v>#DIV/0!</v>
          </cell>
        </row>
        <row r="187">
          <cell r="AH187" t="str">
            <v xml:space="preserve"> PAGOS CORRIENTES</v>
          </cell>
          <cell r="AK187">
            <v>5073285.0410558749</v>
          </cell>
          <cell r="AL187">
            <v>7159337</v>
          </cell>
          <cell r="AM187">
            <v>9544400</v>
          </cell>
          <cell r="AN187">
            <v>13046998.08</v>
          </cell>
          <cell r="AO187">
            <v>16419841</v>
          </cell>
          <cell r="AP187">
            <v>21212186</v>
          </cell>
          <cell r="AQ187">
            <v>21212186</v>
          </cell>
          <cell r="AS187">
            <v>25711137</v>
          </cell>
          <cell r="AT187">
            <v>29337897.772421002</v>
          </cell>
          <cell r="AU187" t="e">
            <v>#DIV/0!</v>
          </cell>
          <cell r="AV187" t="e">
            <v>#DIV/0!</v>
          </cell>
          <cell r="AW187" t="e">
            <v>#DIV/0!</v>
          </cell>
          <cell r="AX187">
            <v>14.573772094453874</v>
          </cell>
          <cell r="AY187">
            <v>13.226625012544069</v>
          </cell>
          <cell r="AZ187">
            <v>14.881243637889172</v>
          </cell>
          <cell r="BA187">
            <v>14.881243637889172</v>
          </cell>
          <cell r="BB187" t="e">
            <v>#DIV/0!</v>
          </cell>
        </row>
        <row r="188">
          <cell r="AH188" t="str">
            <v xml:space="preserve"> 2.1.1.</v>
          </cell>
          <cell r="AI188" t="str">
            <v xml:space="preserve"> Interes deuda Externa</v>
          </cell>
          <cell r="AK188">
            <v>338748</v>
          </cell>
          <cell r="AL188">
            <v>375230</v>
          </cell>
          <cell r="AM188">
            <v>383400</v>
          </cell>
          <cell r="AN188">
            <v>467078</v>
          </cell>
          <cell r="AO188">
            <v>617500</v>
          </cell>
          <cell r="AP188">
            <v>889000</v>
          </cell>
          <cell r="AQ188">
            <v>889000</v>
          </cell>
          <cell r="AS188">
            <v>1417360</v>
          </cell>
          <cell r="AT188">
            <v>2280777.8724210002</v>
          </cell>
          <cell r="AU188" t="e">
            <v>#DIV/0!</v>
          </cell>
          <cell r="AV188" t="e">
            <v>#DIV/0!</v>
          </cell>
          <cell r="AW188" t="e">
            <v>#DIV/0!</v>
          </cell>
          <cell r="AX188">
            <v>0.52173597946396932</v>
          </cell>
          <cell r="AY188">
            <v>0.49741291314854769</v>
          </cell>
          <cell r="AZ188">
            <v>0.62367101599446062</v>
          </cell>
          <cell r="BA188">
            <v>0.62367101599446062</v>
          </cell>
          <cell r="BB188" t="e">
            <v>#DIV/0!</v>
          </cell>
        </row>
        <row r="189">
          <cell r="AH189" t="str">
            <v xml:space="preserve"> 2.1.2.</v>
          </cell>
          <cell r="AI189" t="str">
            <v xml:space="preserve"> Interes deuda Interna</v>
          </cell>
          <cell r="AK189">
            <v>243638</v>
          </cell>
          <cell r="AL189">
            <v>404920</v>
          </cell>
          <cell r="AM189">
            <v>652700</v>
          </cell>
          <cell r="AN189">
            <v>1411444</v>
          </cell>
          <cell r="AO189">
            <v>1832800</v>
          </cell>
          <cell r="AP189">
            <v>3201700</v>
          </cell>
          <cell r="AQ189">
            <v>3201700</v>
          </cell>
          <cell r="AS189">
            <v>3535289</v>
          </cell>
          <cell r="AT189">
            <v>4814374.9000000004</v>
          </cell>
          <cell r="AU189" t="e">
            <v>#DIV/0!</v>
          </cell>
          <cell r="AV189" t="e">
            <v>#DIV/0!</v>
          </cell>
          <cell r="AW189" t="e">
            <v>#DIV/0!</v>
          </cell>
          <cell r="AX189">
            <v>1.5766127237817722</v>
          </cell>
          <cell r="AY189">
            <v>1.4763698578439808</v>
          </cell>
          <cell r="AZ189">
            <v>2.2461276624403426</v>
          </cell>
          <cell r="BA189">
            <v>2.2461276624403426</v>
          </cell>
          <cell r="BB189" t="e">
            <v>#DIV/0!</v>
          </cell>
        </row>
        <row r="190">
          <cell r="AH190" t="str">
            <v xml:space="preserve"> 2.1.3.</v>
          </cell>
          <cell r="AI190" t="str">
            <v xml:space="preserve"> Otros</v>
          </cell>
          <cell r="AK190">
            <v>4490899.0410558749</v>
          </cell>
          <cell r="AL190">
            <v>6379187</v>
          </cell>
          <cell r="AM190">
            <v>8508300</v>
          </cell>
          <cell r="AN190">
            <v>11168476.08</v>
          </cell>
          <cell r="AO190">
            <v>13969541</v>
          </cell>
          <cell r="AP190">
            <v>17121486</v>
          </cell>
          <cell r="AQ190">
            <v>17121486</v>
          </cell>
          <cell r="AS190">
            <v>20758488</v>
          </cell>
          <cell r="AT190">
            <v>22242745</v>
          </cell>
          <cell r="AU190" t="e">
            <v>#DIV/0!</v>
          </cell>
          <cell r="AV190" t="e">
            <v>#DIV/0!</v>
          </cell>
          <cell r="AW190" t="e">
            <v>#DIV/0!</v>
          </cell>
          <cell r="AX190">
            <v>12.475423391208132</v>
          </cell>
          <cell r="AY190">
            <v>11.252842241551541</v>
          </cell>
          <cell r="AZ190">
            <v>12.011444959454369</v>
          </cell>
          <cell r="BA190">
            <v>12.011444959454369</v>
          </cell>
          <cell r="BB190" t="e">
            <v>#DIV/0!</v>
          </cell>
        </row>
        <row r="191">
          <cell r="AI191" t="str">
            <v xml:space="preserve"> 2.1.3.1.</v>
          </cell>
          <cell r="AJ191" t="str">
            <v xml:space="preserve"> Servicios Personales</v>
          </cell>
          <cell r="AK191">
            <v>1092593.0410558751</v>
          </cell>
          <cell r="AL191">
            <v>1525331</v>
          </cell>
          <cell r="AM191">
            <v>1946082.4</v>
          </cell>
          <cell r="AN191">
            <v>2377977.85</v>
          </cell>
          <cell r="AO191">
            <v>2848199.6999999997</v>
          </cell>
          <cell r="AP191">
            <v>3547894.0000000005</v>
          </cell>
          <cell r="AQ191">
            <v>3547894.0000000005</v>
          </cell>
          <cell r="AS191">
            <v>4084291.9999999995</v>
          </cell>
          <cell r="AT191">
            <v>4453811</v>
          </cell>
          <cell r="AU191" t="e">
            <v>#DIV/0!</v>
          </cell>
          <cell r="AV191" t="e">
            <v>#DIV/0!</v>
          </cell>
          <cell r="AW191" t="e">
            <v>#DIV/0!</v>
          </cell>
          <cell r="AX191">
            <v>2.6562514242018973</v>
          </cell>
          <cell r="AY191">
            <v>2.2943017166086146</v>
          </cell>
          <cell r="AZ191">
            <v>2.4889973629028694</v>
          </cell>
          <cell r="BA191">
            <v>2.4889973629028694</v>
          </cell>
          <cell r="BB191" t="e">
            <v>#DIV/0!</v>
          </cell>
        </row>
        <row r="192">
          <cell r="AI192" t="str">
            <v xml:space="preserve"> 2.1.3.2.</v>
          </cell>
          <cell r="AJ192" t="str">
            <v>Operación Comercial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S192">
            <v>0</v>
          </cell>
          <cell r="AT192">
            <v>0</v>
          </cell>
          <cell r="AU192" t="e">
            <v>#DIV/0!</v>
          </cell>
          <cell r="AV192" t="e">
            <v>#DIV/0!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 t="e">
            <v>#DIV/0!</v>
          </cell>
        </row>
        <row r="193">
          <cell r="AI193" t="str">
            <v xml:space="preserve"> 2.1.3.3.</v>
          </cell>
          <cell r="AJ193" t="str">
            <v xml:space="preserve"> Transferencias</v>
          </cell>
          <cell r="AK193">
            <v>3000623</v>
          </cell>
          <cell r="AL193">
            <v>4254181</v>
          </cell>
          <cell r="AM193">
            <v>5837260.2000000002</v>
          </cell>
          <cell r="AN193">
            <v>7937416.0999999996</v>
          </cell>
          <cell r="AO193">
            <v>9799363</v>
          </cell>
          <cell r="AP193">
            <v>12259100</v>
          </cell>
          <cell r="AQ193">
            <v>12259100</v>
          </cell>
          <cell r="AS193">
            <v>15462616</v>
          </cell>
          <cell r="AT193">
            <v>16633000</v>
          </cell>
          <cell r="AU193" t="e">
            <v>#DIV/0!</v>
          </cell>
          <cell r="AV193" t="e">
            <v>#DIV/0!</v>
          </cell>
          <cell r="AW193" t="e">
            <v>#DIV/0!</v>
          </cell>
          <cell r="AX193">
            <v>8.8662612312003102</v>
          </cell>
          <cell r="AY193">
            <v>7.8936513308989351</v>
          </cell>
          <cell r="AZ193">
            <v>8.6002759867015666</v>
          </cell>
          <cell r="BA193">
            <v>8.6002759867015666</v>
          </cell>
          <cell r="BB193" t="e">
            <v>#DIV/0!</v>
          </cell>
        </row>
        <row r="194">
          <cell r="AI194" t="str">
            <v xml:space="preserve"> 2.1.3.4.</v>
          </cell>
          <cell r="AJ194" t="str">
            <v>Gastos Generales y otros</v>
          </cell>
          <cell r="AK194">
            <v>397683</v>
          </cell>
          <cell r="AL194">
            <v>599675</v>
          </cell>
          <cell r="AM194">
            <v>724957.4</v>
          </cell>
          <cell r="AN194">
            <v>853082.13</v>
          </cell>
          <cell r="AO194">
            <v>1321978.2999999998</v>
          </cell>
          <cell r="AP194">
            <v>1314492</v>
          </cell>
          <cell r="AQ194">
            <v>1314492</v>
          </cell>
          <cell r="AS194">
            <v>1211580</v>
          </cell>
          <cell r="AT194">
            <v>1155934</v>
          </cell>
          <cell r="AU194" t="e">
            <v>#DIV/0!</v>
          </cell>
          <cell r="AV194" t="e">
            <v>#DIV/0!</v>
          </cell>
          <cell r="AW194" t="e">
            <v>#DIV/0!</v>
          </cell>
          <cell r="AX194">
            <v>0.95291073580592356</v>
          </cell>
          <cell r="AY194">
            <v>1.0648891940439915</v>
          </cell>
          <cell r="AZ194">
            <v>0.92217160984993318</v>
          </cell>
          <cell r="BA194">
            <v>0.92217160984993318</v>
          </cell>
          <cell r="BB194" t="e">
            <v>#DIV/0!</v>
          </cell>
        </row>
        <row r="195">
          <cell r="AH195" t="str">
            <v xml:space="preserve"> PAGOS DE CAPITAL</v>
          </cell>
          <cell r="AK195">
            <v>973048</v>
          </cell>
          <cell r="AL195">
            <v>1339000</v>
          </cell>
          <cell r="AM195">
            <v>1745900</v>
          </cell>
          <cell r="AN195">
            <v>2316200</v>
          </cell>
          <cell r="AO195">
            <v>3169400</v>
          </cell>
          <cell r="AP195">
            <v>2280220</v>
          </cell>
          <cell r="AQ195">
            <v>2280220</v>
          </cell>
          <cell r="AS195">
            <v>2023098</v>
          </cell>
          <cell r="AT195">
            <v>2352450.3295800001</v>
          </cell>
          <cell r="AU195" t="e">
            <v>#DIV/0!</v>
          </cell>
          <cell r="AV195" t="e">
            <v>#DIV/0!</v>
          </cell>
          <cell r="AW195" t="e">
            <v>#DIV/0!</v>
          </cell>
          <cell r="AX195">
            <v>2.587244262488162</v>
          </cell>
          <cell r="AY195">
            <v>2.5530372258024405</v>
          </cell>
          <cell r="AZ195">
            <v>1.5996705557827773</v>
          </cell>
          <cell r="BA195">
            <v>1.5996705557827773</v>
          </cell>
          <cell r="BB195" t="e">
            <v>#DIV/0!</v>
          </cell>
        </row>
        <row r="196">
          <cell r="AH196" t="str">
            <v xml:space="preserve"> 2.2.1.</v>
          </cell>
          <cell r="AI196" t="str">
            <v xml:space="preserve"> Formación bruta de Capital Fijo</v>
          </cell>
          <cell r="AK196">
            <v>973048</v>
          </cell>
          <cell r="AL196">
            <v>1309000</v>
          </cell>
          <cell r="AM196">
            <v>1745900</v>
          </cell>
          <cell r="AN196">
            <v>2316200</v>
          </cell>
          <cell r="AO196">
            <v>3169400</v>
          </cell>
          <cell r="AP196">
            <v>2280220</v>
          </cell>
          <cell r="AQ196">
            <v>2280220</v>
          </cell>
          <cell r="AS196">
            <v>2023098</v>
          </cell>
          <cell r="AT196">
            <v>2352450.3295800001</v>
          </cell>
          <cell r="AU196" t="e">
            <v>#DIV/0!</v>
          </cell>
          <cell r="AV196" t="e">
            <v>#DIV/0!</v>
          </cell>
          <cell r="AW196" t="e">
            <v>#DIV/0!</v>
          </cell>
          <cell r="AX196">
            <v>2.587244262488162</v>
          </cell>
          <cell r="AY196">
            <v>2.5530372258024405</v>
          </cell>
          <cell r="AZ196">
            <v>1.5996705557827773</v>
          </cell>
          <cell r="BA196">
            <v>1.5996705557827773</v>
          </cell>
          <cell r="BB196" t="e">
            <v>#DIV/0!</v>
          </cell>
        </row>
        <row r="197">
          <cell r="AH197" t="str">
            <v xml:space="preserve"> 2.1.1.</v>
          </cell>
          <cell r="AI197" t="str">
            <v xml:space="preserve"> Otros</v>
          </cell>
          <cell r="AK197">
            <v>0</v>
          </cell>
          <cell r="AL197">
            <v>30000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 t="e">
            <v>#DIV/0!</v>
          </cell>
          <cell r="AV197" t="e">
            <v>#DIV/0!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 t="e">
            <v>#DIV/0!</v>
          </cell>
        </row>
        <row r="198">
          <cell r="AK198">
            <v>0</v>
          </cell>
          <cell r="AL198">
            <v>0</v>
          </cell>
          <cell r="AM198">
            <v>0</v>
          </cell>
          <cell r="AS198">
            <v>0</v>
          </cell>
          <cell r="AT198">
            <v>0</v>
          </cell>
        </row>
        <row r="199">
          <cell r="AK199">
            <v>-138732.73306045774</v>
          </cell>
          <cell r="AL199">
            <v>-797537</v>
          </cell>
          <cell r="AM199">
            <v>-1766600.790000001</v>
          </cell>
          <cell r="AN199">
            <v>-3314430.08</v>
          </cell>
          <cell r="AO199">
            <v>-4301445.309135465</v>
          </cell>
          <cell r="AP199">
            <v>-6608988</v>
          </cell>
          <cell r="AQ199">
            <v>-6300798</v>
          </cell>
          <cell r="AS199">
            <v>-7629774</v>
          </cell>
          <cell r="AT199">
            <v>-8736066.727455169</v>
          </cell>
          <cell r="AU199" t="e">
            <v>#DIV/0!</v>
          </cell>
          <cell r="AV199" t="e">
            <v>#DIV/0!</v>
          </cell>
          <cell r="AW199" t="e">
            <v>#DIV/0!</v>
          </cell>
          <cell r="AX199">
            <v>-3.7022883204810375</v>
          </cell>
          <cell r="AY199">
            <v>-3.464930270390651</v>
          </cell>
          <cell r="AZ199">
            <v>-4.6364839827392554</v>
          </cell>
          <cell r="BA199">
            <v>-4.420275692053842</v>
          </cell>
          <cell r="BB199" t="e">
            <v>#DIV/0!</v>
          </cell>
        </row>
        <row r="200">
          <cell r="AK200">
            <v>0</v>
          </cell>
          <cell r="AL200">
            <v>0</v>
          </cell>
          <cell r="AM200">
            <v>0</v>
          </cell>
          <cell r="AS200">
            <v>0</v>
          </cell>
          <cell r="AT200">
            <v>0</v>
          </cell>
        </row>
        <row r="201">
          <cell r="AK201">
            <v>96184.1</v>
          </cell>
          <cell r="AL201">
            <v>129400</v>
          </cell>
          <cell r="AM201">
            <v>172000</v>
          </cell>
          <cell r="AN201">
            <v>385074.61</v>
          </cell>
          <cell r="AO201">
            <v>248214.72892595999</v>
          </cell>
          <cell r="AP201">
            <v>321089.15788879001</v>
          </cell>
          <cell r="AQ201">
            <v>321089.15788879001</v>
          </cell>
          <cell r="AS201">
            <v>259276.78503759997</v>
          </cell>
          <cell r="AT201">
            <v>302834.40776999999</v>
          </cell>
          <cell r="AU201" t="e">
            <v>#DIV/0!</v>
          </cell>
          <cell r="AV201" t="e">
            <v>#DIV/0!</v>
          </cell>
          <cell r="AW201" t="e">
            <v>#DIV/0!</v>
          </cell>
          <cell r="AX201">
            <v>0.43013646289282725</v>
          </cell>
          <cell r="AY201">
            <v>0.19994366218856491</v>
          </cell>
          <cell r="AZ201">
            <v>0.2252575942916844</v>
          </cell>
          <cell r="BA201">
            <v>0.2252575942916844</v>
          </cell>
          <cell r="BB201" t="e">
            <v>#DIV/0!</v>
          </cell>
        </row>
        <row r="202">
          <cell r="AK202">
            <v>0</v>
          </cell>
          <cell r="AL202">
            <v>0</v>
          </cell>
          <cell r="AM202">
            <v>0</v>
          </cell>
          <cell r="AS202">
            <v>0</v>
          </cell>
          <cell r="AT202">
            <v>0</v>
          </cell>
        </row>
        <row r="203">
          <cell r="AK203">
            <v>-234916.83306045775</v>
          </cell>
          <cell r="AL203">
            <v>-926937</v>
          </cell>
          <cell r="AM203">
            <v>-1938600.790000001</v>
          </cell>
          <cell r="AN203">
            <v>-3699504.69</v>
          </cell>
          <cell r="AO203">
            <v>-4549660.0380614251</v>
          </cell>
          <cell r="AP203">
            <v>-6930077.1578887897</v>
          </cell>
          <cell r="AQ203">
            <v>-6621887.1578887897</v>
          </cell>
          <cell r="AS203">
            <v>-7889050.7850375995</v>
          </cell>
          <cell r="AT203">
            <v>-9038901.1352251694</v>
          </cell>
          <cell r="AU203" t="e">
            <v>#DIV/0!</v>
          </cell>
          <cell r="AV203" t="e">
            <v>#DIV/0!</v>
          </cell>
          <cell r="AW203" t="e">
            <v>#DIV/0!</v>
          </cell>
          <cell r="AX203">
            <v>-4.1324247833738648</v>
          </cell>
          <cell r="AY203">
            <v>-3.6648739325792157</v>
          </cell>
          <cell r="AZ203">
            <v>-4.8617415770309398</v>
          </cell>
          <cell r="BA203">
            <v>-4.6455332863455263</v>
          </cell>
          <cell r="BB203" t="e">
            <v>#DIV/0!</v>
          </cell>
        </row>
        <row r="204">
          <cell r="AK204">
            <v>0</v>
          </cell>
          <cell r="AL204">
            <v>0</v>
          </cell>
          <cell r="AM204">
            <v>0</v>
          </cell>
          <cell r="AS204">
            <v>0</v>
          </cell>
          <cell r="AT204">
            <v>0</v>
          </cell>
        </row>
        <row r="205">
          <cell r="AK205">
            <v>234916.83306045775</v>
          </cell>
          <cell r="AL205">
            <v>926937</v>
          </cell>
          <cell r="AM205">
            <v>1938600.790000001</v>
          </cell>
          <cell r="AN205">
            <v>3699504.69</v>
          </cell>
          <cell r="AO205">
            <v>4549660.0380614251</v>
          </cell>
          <cell r="AP205">
            <v>6930077.1578887897</v>
          </cell>
          <cell r="AQ205">
            <v>6621887.1578887897</v>
          </cell>
          <cell r="AS205">
            <v>7889050.7850375995</v>
          </cell>
          <cell r="AT205">
            <v>9038901.1352251694</v>
          </cell>
          <cell r="AU205" t="e">
            <v>#DIV/0!</v>
          </cell>
          <cell r="AV205" t="e">
            <v>#DIV/0!</v>
          </cell>
          <cell r="AW205" t="e">
            <v>#DIV/0!</v>
          </cell>
          <cell r="AX205">
            <v>4.1324247833738648</v>
          </cell>
          <cell r="AY205">
            <v>3.6648739325792157</v>
          </cell>
          <cell r="AZ205">
            <v>4.8617415770309398</v>
          </cell>
          <cell r="BA205">
            <v>4.6455332863455263</v>
          </cell>
          <cell r="BB205" t="e">
            <v>#DIV/0!</v>
          </cell>
        </row>
        <row r="206">
          <cell r="AH206" t="str">
            <v xml:space="preserve"> CREDITO EXTERNO NETO</v>
          </cell>
          <cell r="AK206">
            <v>-281000</v>
          </cell>
          <cell r="AL206">
            <v>119500</v>
          </cell>
          <cell r="AM206">
            <v>223200</v>
          </cell>
          <cell r="AN206">
            <v>1079814</v>
          </cell>
          <cell r="AO206">
            <v>1096414</v>
          </cell>
          <cell r="AP206">
            <v>2657500</v>
          </cell>
          <cell r="AQ206">
            <v>2657500</v>
          </cell>
          <cell r="AS206">
            <v>3116594</v>
          </cell>
          <cell r="AT206">
            <v>1951997.6952539999</v>
          </cell>
          <cell r="AU206" t="e">
            <v>#DIV/0!</v>
          </cell>
          <cell r="AV206" t="e">
            <v>#DIV/0!</v>
          </cell>
          <cell r="AW206" t="e">
            <v>#DIV/0!</v>
          </cell>
          <cell r="AX206">
            <v>1.2061750177248909</v>
          </cell>
          <cell r="AY206">
            <v>0.88319106357384902</v>
          </cell>
          <cell r="AZ206">
            <v>1.864348397081304</v>
          </cell>
          <cell r="BA206">
            <v>1.864348397081304</v>
          </cell>
          <cell r="BB206" t="e">
            <v>#DIV/0!</v>
          </cell>
        </row>
        <row r="207">
          <cell r="AH207" t="str">
            <v xml:space="preserve"> 6.1.1.</v>
          </cell>
          <cell r="AI207" t="str">
            <v xml:space="preserve"> Mediano y Largo Plazo</v>
          </cell>
          <cell r="AK207">
            <v>-281000</v>
          </cell>
          <cell r="AL207">
            <v>119500</v>
          </cell>
          <cell r="AM207">
            <v>223200</v>
          </cell>
          <cell r="AN207">
            <v>1079814</v>
          </cell>
          <cell r="AO207">
            <v>1096414</v>
          </cell>
          <cell r="AP207">
            <v>2657500</v>
          </cell>
          <cell r="AQ207">
            <v>2657500</v>
          </cell>
          <cell r="AS207">
            <v>3116594</v>
          </cell>
          <cell r="AT207">
            <v>1951997.6952539999</v>
          </cell>
          <cell r="AU207" t="e">
            <v>#DIV/0!</v>
          </cell>
          <cell r="AV207" t="e">
            <v>#DIV/0!</v>
          </cell>
          <cell r="AW207" t="e">
            <v>#DIV/0!</v>
          </cell>
          <cell r="AX207">
            <v>1.2061750177248909</v>
          </cell>
          <cell r="AY207">
            <v>0.88319106357384902</v>
          </cell>
          <cell r="AZ207">
            <v>1.864348397081304</v>
          </cell>
          <cell r="BA207">
            <v>1.864348397081304</v>
          </cell>
          <cell r="BB207" t="e">
            <v>#DIV/0!</v>
          </cell>
        </row>
        <row r="208">
          <cell r="AI208" t="str">
            <v xml:space="preserve"> 6.1.1.1.</v>
          </cell>
          <cell r="AJ208" t="str">
            <v xml:space="preserve"> Desembolsos</v>
          </cell>
          <cell r="AK208">
            <v>397000</v>
          </cell>
          <cell r="AL208">
            <v>791500</v>
          </cell>
          <cell r="AM208">
            <v>847900</v>
          </cell>
          <cell r="AN208">
            <v>1819962</v>
          </cell>
          <cell r="AO208">
            <v>1889514</v>
          </cell>
          <cell r="AP208">
            <v>3663300</v>
          </cell>
          <cell r="AQ208">
            <v>3663300</v>
          </cell>
          <cell r="AS208">
            <v>4711114</v>
          </cell>
          <cell r="AT208">
            <v>4094839</v>
          </cell>
          <cell r="AU208" t="e">
            <v>#DIV/0!</v>
          </cell>
          <cell r="AV208" t="e">
            <v>#DIV/0!</v>
          </cell>
          <cell r="AW208" t="e">
            <v>#DIV/0!</v>
          </cell>
          <cell r="AX208">
            <v>2.0329359478656763</v>
          </cell>
          <cell r="AY208">
            <v>1.5220545152631013</v>
          </cell>
          <cell r="AZ208">
            <v>2.5699595420613135</v>
          </cell>
          <cell r="BA208">
            <v>2.5699595420613135</v>
          </cell>
          <cell r="BB208" t="e">
            <v>#DIV/0!</v>
          </cell>
        </row>
        <row r="209">
          <cell r="AI209" t="str">
            <v xml:space="preserve"> 6.1.1.2.</v>
          </cell>
          <cell r="AJ209" t="str">
            <v xml:space="preserve"> Amortizaciones</v>
          </cell>
          <cell r="AK209">
            <v>678000</v>
          </cell>
          <cell r="AL209">
            <v>672000</v>
          </cell>
          <cell r="AM209">
            <v>624700</v>
          </cell>
          <cell r="AN209">
            <v>740148</v>
          </cell>
          <cell r="AO209">
            <v>793100</v>
          </cell>
          <cell r="AP209">
            <v>1005800</v>
          </cell>
          <cell r="AQ209">
            <v>1005800</v>
          </cell>
          <cell r="AS209">
            <v>1594520</v>
          </cell>
          <cell r="AT209">
            <v>2142841.3047460001</v>
          </cell>
          <cell r="AU209" t="e">
            <v>#DIV/0!</v>
          </cell>
          <cell r="AV209" t="e">
            <v>#DIV/0!</v>
          </cell>
          <cell r="AW209" t="e">
            <v>#DIV/0!</v>
          </cell>
          <cell r="AX209">
            <v>0.82676093014078578</v>
          </cell>
          <cell r="AY209">
            <v>0.63886345168925207</v>
          </cell>
          <cell r="AZ209">
            <v>0.70561114498000954</v>
          </cell>
          <cell r="BA209">
            <v>0.70561114498000954</v>
          </cell>
          <cell r="BB209" t="e">
            <v>#DIV/0!</v>
          </cell>
        </row>
        <row r="210">
          <cell r="AH210" t="str">
            <v xml:space="preserve"> 6.1.2.</v>
          </cell>
          <cell r="AI210" t="str">
            <v xml:space="preserve"> Corto Plazo Neto</v>
          </cell>
          <cell r="AK210">
            <v>0</v>
          </cell>
          <cell r="AL210">
            <v>0</v>
          </cell>
          <cell r="AM210">
            <v>0</v>
          </cell>
          <cell r="AS210">
            <v>0</v>
          </cell>
          <cell r="AT210">
            <v>0</v>
          </cell>
          <cell r="AU210" t="e">
            <v>#DIV/0!</v>
          </cell>
          <cell r="AV210" t="e">
            <v>#DIV/0!</v>
          </cell>
          <cell r="AW210" t="e">
            <v>#DIV/0!</v>
          </cell>
          <cell r="BB210" t="e">
            <v>#DIV/0!</v>
          </cell>
        </row>
        <row r="211">
          <cell r="AH211" t="str">
            <v xml:space="preserve"> CREDITO INTERNO NETO</v>
          </cell>
          <cell r="AK211">
            <v>484000</v>
          </cell>
          <cell r="AL211">
            <v>235200</v>
          </cell>
          <cell r="AM211">
            <v>1755400</v>
          </cell>
          <cell r="AN211">
            <v>1790859</v>
          </cell>
          <cell r="AO211">
            <v>3517900</v>
          </cell>
          <cell r="AP211">
            <v>3985000</v>
          </cell>
          <cell r="AQ211">
            <v>3985000</v>
          </cell>
          <cell r="AS211">
            <v>4804244</v>
          </cell>
          <cell r="AT211">
            <v>5272589.5999999996</v>
          </cell>
          <cell r="AU211" t="e">
            <v>#DIV/0!</v>
          </cell>
          <cell r="AV211" t="e">
            <v>#DIV/0!</v>
          </cell>
          <cell r="AW211" t="e">
            <v>#DIV/0!</v>
          </cell>
          <cell r="AX211">
            <v>2.000427282909631</v>
          </cell>
          <cell r="AY211">
            <v>2.8337633800247382</v>
          </cell>
          <cell r="AZ211">
            <v>2.7956456678716823</v>
          </cell>
          <cell r="BA211">
            <v>2.7956456678716823</v>
          </cell>
          <cell r="BB211" t="e">
            <v>#DIV/0!</v>
          </cell>
        </row>
        <row r="212">
          <cell r="AH212" t="str">
            <v xml:space="preserve"> 6.2.1.</v>
          </cell>
          <cell r="AI212" t="str">
            <v xml:space="preserve"> Desembolsos</v>
          </cell>
          <cell r="AK212">
            <v>722000</v>
          </cell>
          <cell r="AL212">
            <v>1633300</v>
          </cell>
          <cell r="AM212">
            <v>2510800</v>
          </cell>
          <cell r="AN212">
            <v>3874081</v>
          </cell>
          <cell r="AO212">
            <v>6918965</v>
          </cell>
          <cell r="AP212">
            <v>7708700</v>
          </cell>
          <cell r="AQ212">
            <v>7708700</v>
          </cell>
          <cell r="AS212">
            <v>11396854</v>
          </cell>
          <cell r="AT212">
            <v>11729855</v>
          </cell>
          <cell r="AU212" t="e">
            <v>#DIV/0!</v>
          </cell>
          <cell r="AV212" t="e">
            <v>#DIV/0!</v>
          </cell>
          <cell r="AW212" t="e">
            <v>#DIV/0!</v>
          </cell>
          <cell r="AX212">
            <v>4.3274302045006481</v>
          </cell>
          <cell r="AY212">
            <v>5.5734130147738323</v>
          </cell>
          <cell r="AZ212">
            <v>5.4079783588262078</v>
          </cell>
          <cell r="BA212">
            <v>5.4079783588262078</v>
          </cell>
          <cell r="BB212" t="e">
            <v>#DIV/0!</v>
          </cell>
        </row>
        <row r="213">
          <cell r="AH213" t="str">
            <v xml:space="preserve"> 6.2.2.</v>
          </cell>
          <cell r="AI213" t="str">
            <v xml:space="preserve"> Amortizaciones</v>
          </cell>
          <cell r="AK213">
            <v>238000</v>
          </cell>
          <cell r="AL213">
            <v>1398100</v>
          </cell>
          <cell r="AM213">
            <v>755400</v>
          </cell>
          <cell r="AN213">
            <v>2083222</v>
          </cell>
          <cell r="AO213">
            <v>3401065</v>
          </cell>
          <cell r="AP213">
            <v>3723700</v>
          </cell>
          <cell r="AQ213">
            <v>3723700</v>
          </cell>
          <cell r="AS213">
            <v>6592610</v>
          </cell>
          <cell r="AT213">
            <v>6457265.4000000004</v>
          </cell>
          <cell r="AU213" t="e">
            <v>#DIV/0!</v>
          </cell>
          <cell r="AV213" t="e">
            <v>#DIV/0!</v>
          </cell>
          <cell r="AW213" t="e">
            <v>#DIV/0!</v>
          </cell>
          <cell r="AX213">
            <v>2.3270029215910171</v>
          </cell>
          <cell r="AY213">
            <v>2.7396496347490937</v>
          </cell>
          <cell r="AZ213">
            <v>2.6123326909545255</v>
          </cell>
          <cell r="BA213">
            <v>2.6123326909545255</v>
          </cell>
          <cell r="BB213" t="e">
            <v>#DIV/0!</v>
          </cell>
        </row>
        <row r="214">
          <cell r="AH214" t="str">
            <v>OTROS RECURSOS</v>
          </cell>
          <cell r="AK214">
            <v>31916.83306045772</v>
          </cell>
          <cell r="AL214">
            <v>572237</v>
          </cell>
          <cell r="AM214">
            <v>-39999.209999999031</v>
          </cell>
          <cell r="AN214">
            <v>828831.69</v>
          </cell>
          <cell r="AO214">
            <v>-64653.96193857491</v>
          </cell>
          <cell r="AP214">
            <v>443883.15788878966</v>
          </cell>
          <cell r="AQ214">
            <v>-20612.842111210339</v>
          </cell>
          <cell r="AS214">
            <v>-31787.214962400496</v>
          </cell>
          <cell r="AT214">
            <v>1814313.8399711698</v>
          </cell>
          <cell r="AU214" t="e">
            <v>#DIV/0!</v>
          </cell>
          <cell r="AV214" t="e">
            <v>#DIV/0!</v>
          </cell>
          <cell r="AW214" t="e">
            <v>#DIV/0!</v>
          </cell>
          <cell r="AX214">
            <v>0.9258224827393432</v>
          </cell>
          <cell r="AY214">
            <v>-5.2080511019371445E-2</v>
          </cell>
          <cell r="AZ214">
            <v>0.31140276722534421</v>
          </cell>
          <cell r="BA214">
            <v>-1.4460778607460015E-2</v>
          </cell>
          <cell r="BB214" t="e">
            <v>#DIV/0!</v>
          </cell>
        </row>
        <row r="215">
          <cell r="AH215" t="str">
            <v xml:space="preserve"> 6.3.1.</v>
          </cell>
          <cell r="AI215" t="str">
            <v>Telefonía</v>
          </cell>
          <cell r="AK215">
            <v>0</v>
          </cell>
          <cell r="AL215">
            <v>0</v>
          </cell>
          <cell r="AM215">
            <v>0</v>
          </cell>
          <cell r="AN215">
            <v>90000</v>
          </cell>
          <cell r="AO215">
            <v>91614</v>
          </cell>
          <cell r="AP215">
            <v>111391</v>
          </cell>
          <cell r="AQ215">
            <v>111391</v>
          </cell>
          <cell r="AS215">
            <v>138701</v>
          </cell>
          <cell r="AT215">
            <v>193889.75599999996</v>
          </cell>
          <cell r="AU215" t="e">
            <v>#DIV/0!</v>
          </cell>
          <cell r="AV215" t="e">
            <v>#DIV/0!</v>
          </cell>
          <cell r="AW215" t="e">
            <v>#DIV/0!</v>
          </cell>
          <cell r="AX215">
            <v>0.10053189863739512</v>
          </cell>
          <cell r="AY215">
            <v>7.3797549190592782E-2</v>
          </cell>
          <cell r="AZ215">
            <v>7.8145487224565768E-2</v>
          </cell>
          <cell r="BA215">
            <v>7.8145487224565768E-2</v>
          </cell>
          <cell r="BB215" t="e">
            <v>#DIV/0!</v>
          </cell>
        </row>
        <row r="216">
          <cell r="AH216" t="str">
            <v xml:space="preserve"> 6.3.2.</v>
          </cell>
          <cell r="AI216" t="str">
            <v>Privatizaciones y concesiones</v>
          </cell>
          <cell r="AK216">
            <v>0</v>
          </cell>
          <cell r="AL216">
            <v>1412500</v>
          </cell>
          <cell r="AM216">
            <v>5900</v>
          </cell>
          <cell r="AN216">
            <v>733300</v>
          </cell>
          <cell r="AO216">
            <v>429765</v>
          </cell>
          <cell r="AP216">
            <v>0</v>
          </cell>
          <cell r="AQ216">
            <v>0</v>
          </cell>
          <cell r="AS216">
            <v>1100379</v>
          </cell>
          <cell r="AT216">
            <v>4027199</v>
          </cell>
          <cell r="AU216" t="e">
            <v>#DIV/0!</v>
          </cell>
          <cell r="AV216" t="e">
            <v>#DIV/0!</v>
          </cell>
          <cell r="AW216" t="e">
            <v>#DIV/0!</v>
          </cell>
          <cell r="AX216">
            <v>0.81911156967557597</v>
          </cell>
          <cell r="AY216">
            <v>0.34618730464661635</v>
          </cell>
          <cell r="AZ216">
            <v>0</v>
          </cell>
          <cell r="BA216">
            <v>0</v>
          </cell>
          <cell r="BB216" t="e">
            <v>#DIV/0!</v>
          </cell>
        </row>
        <row r="217">
          <cell r="AH217" t="str">
            <v xml:space="preserve"> 6.3.3.</v>
          </cell>
          <cell r="AI217" t="str">
            <v>Fondo Comunicaciones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S217">
            <v>0</v>
          </cell>
          <cell r="AT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</row>
        <row r="218">
          <cell r="AH218" t="str">
            <v xml:space="preserve"> 6.3.4.</v>
          </cell>
          <cell r="AI218" t="str">
            <v>Faltante</v>
          </cell>
          <cell r="AK218">
            <v>0</v>
          </cell>
          <cell r="AL218">
            <v>0</v>
          </cell>
          <cell r="AM218">
            <v>0</v>
          </cell>
          <cell r="AN218">
            <v>76882.689999999944</v>
          </cell>
          <cell r="AO218">
            <v>-73746.96193857491</v>
          </cell>
          <cell r="AP218">
            <v>176186.15788878966</v>
          </cell>
          <cell r="AQ218">
            <v>-132003.84211121034</v>
          </cell>
          <cell r="AS218">
            <v>-2662266.2149624005</v>
          </cell>
          <cell r="AT218">
            <v>-1693197.9160288302</v>
          </cell>
          <cell r="AX218">
            <v>8.5879586645002948E-2</v>
          </cell>
          <cell r="AY218">
            <v>-5.9405167892666581E-2</v>
          </cell>
          <cell r="AZ218">
            <v>0.12360202485338796</v>
          </cell>
          <cell r="BA218">
            <v>-9.2606265832025775E-2</v>
          </cell>
        </row>
        <row r="219">
          <cell r="AH219" t="str">
            <v xml:space="preserve"> 6.3.5</v>
          </cell>
          <cell r="AI219" t="str">
            <v>Otros</v>
          </cell>
          <cell r="AK219">
            <v>31916.83306045772</v>
          </cell>
          <cell r="AL219">
            <v>-840263</v>
          </cell>
          <cell r="AM219">
            <v>-45899.209999999031</v>
          </cell>
          <cell r="AN219">
            <v>-71351</v>
          </cell>
          <cell r="AO219">
            <v>-512286</v>
          </cell>
          <cell r="AP219">
            <v>156306</v>
          </cell>
          <cell r="AS219">
            <v>1391399</v>
          </cell>
          <cell r="AT219">
            <v>-713577</v>
          </cell>
          <cell r="AU219" t="e">
            <v>#DIV/0!</v>
          </cell>
          <cell r="AV219" t="e">
            <v>#DIV/0!</v>
          </cell>
          <cell r="AW219" t="e">
            <v>#DIV/0!</v>
          </cell>
          <cell r="AX219">
            <v>-7.9700572218630875E-2</v>
          </cell>
          <cell r="AY219">
            <v>-0.41266019696391404</v>
          </cell>
          <cell r="AZ219">
            <v>0.10965525514739051</v>
          </cell>
          <cell r="BA219">
            <v>0</v>
          </cell>
          <cell r="BB219" t="e">
            <v>#DIV/0!</v>
          </cell>
        </row>
        <row r="220">
          <cell r="AK220">
            <v>-3.1603309591671266E-3</v>
          </cell>
          <cell r="AL220">
            <v>-1.3754837899641425E-2</v>
          </cell>
          <cell r="AM220">
            <v>-2.4031833418032847E-2</v>
          </cell>
          <cell r="AN220">
            <v>-3.7022883204810376E-2</v>
          </cell>
          <cell r="AO220">
            <v>-3.4649302703906509E-2</v>
          </cell>
          <cell r="AP220">
            <v>-4.6364839827392555E-2</v>
          </cell>
          <cell r="AQ220">
            <v>-4.4202756920538419E-2</v>
          </cell>
          <cell r="AS220">
            <v>-4.9717682516542537E-2</v>
          </cell>
          <cell r="AT220">
            <v>-4.957349150115721E-2</v>
          </cell>
        </row>
        <row r="221">
          <cell r="AK221">
            <v>43898166</v>
          </cell>
          <cell r="AL221">
            <v>57982290</v>
          </cell>
          <cell r="AM221">
            <v>73510862</v>
          </cell>
          <cell r="AN221">
            <v>89523824</v>
          </cell>
          <cell r="AO221">
            <v>124142334</v>
          </cell>
          <cell r="AP221">
            <v>142543100</v>
          </cell>
          <cell r="AQ221">
            <v>142543100</v>
          </cell>
          <cell r="AS221">
            <v>153461980</v>
          </cell>
          <cell r="AT221">
            <v>176224560</v>
          </cell>
        </row>
        <row r="223">
          <cell r="AK223">
            <v>36504.734179629631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RESUOPE"/>
      <sheetName val="CODE LIST"/>
    </sheetNames>
    <sheetDataSet>
      <sheetData sheetId="0" refreshError="1">
        <row r="3">
          <cell r="B3" t="str">
            <v>Cuadro No. 1a</v>
          </cell>
          <cell r="L3" t="str">
            <v>Cuadro No. 1b</v>
          </cell>
        </row>
        <row r="4">
          <cell r="L4" t="str">
            <v>DETALLE DE OTROS RECURSOS DE CAPITAL 1999</v>
          </cell>
        </row>
        <row r="5">
          <cell r="L5" t="str">
            <v>Miles de millones de pesos</v>
          </cell>
        </row>
        <row r="8">
          <cell r="M8" t="str">
            <v>INGRESOS</v>
          </cell>
          <cell r="N8" t="str">
            <v>INGRESOS</v>
          </cell>
          <cell r="O8" t="str">
            <v>TOTAL</v>
          </cell>
        </row>
        <row r="9">
          <cell r="M9" t="str">
            <v>NACION</v>
          </cell>
          <cell r="N9" t="str">
            <v>PROPIOS</v>
          </cell>
        </row>
        <row r="10">
          <cell r="M10" t="str">
            <v>(1)</v>
          </cell>
          <cell r="N10" t="str">
            <v>(2)</v>
          </cell>
          <cell r="O10" t="str">
            <v>(3)=(1+2)</v>
          </cell>
        </row>
        <row r="12">
          <cell r="L12" t="str">
            <v>RECUPERACION DE CARTERA</v>
          </cell>
          <cell r="M12">
            <v>214.023</v>
          </cell>
          <cell r="N12">
            <v>4.1718000000000002</v>
          </cell>
          <cell r="O12">
            <v>218.19479999999999</v>
          </cell>
        </row>
        <row r="13">
          <cell r="L13" t="str">
            <v>RENDIMIENTOS FINANCIEROS</v>
          </cell>
          <cell r="M13">
            <v>179.5</v>
          </cell>
          <cell r="N13">
            <v>304.98999335500002</v>
          </cell>
          <cell r="O13">
            <v>484.48999335500002</v>
          </cell>
        </row>
        <row r="14">
          <cell r="L14" t="str">
            <v>DONACIONES</v>
          </cell>
          <cell r="M14">
            <v>2.27</v>
          </cell>
          <cell r="N14">
            <v>19.017399999999999</v>
          </cell>
          <cell r="O14">
            <v>21.287399999999998</v>
          </cell>
        </row>
        <row r="15">
          <cell r="L15" t="str">
            <v>DIFERENCIAL CAMBIARIO</v>
          </cell>
          <cell r="N15">
            <v>0.79829651400000001</v>
          </cell>
          <cell r="O15">
            <v>0.79829651400000001</v>
          </cell>
        </row>
        <row r="16">
          <cell r="L16" t="str">
            <v>ENAJENACION DE ACTIVOS</v>
          </cell>
          <cell r="M16">
            <v>2162.6</v>
          </cell>
          <cell r="N16">
            <v>10.184663788</v>
          </cell>
          <cell r="O16">
            <v>2172.7846637879998</v>
          </cell>
        </row>
        <row r="17">
          <cell r="L17" t="str">
            <v>REINTEGROS Y OTROS RECURSOS NO APROPIADOS</v>
          </cell>
          <cell r="M17">
            <v>190</v>
          </cell>
          <cell r="O17">
            <v>190</v>
          </cell>
        </row>
        <row r="18">
          <cell r="L18" t="str">
            <v xml:space="preserve">SUPERAVIT </v>
          </cell>
          <cell r="M18">
            <v>335.01</v>
          </cell>
          <cell r="N18">
            <v>0.52547999999999995</v>
          </cell>
          <cell r="O18">
            <v>335.53548000000001</v>
          </cell>
        </row>
        <row r="19">
          <cell r="L19" t="str">
            <v xml:space="preserve">EXCEDENTES FINANCIEROS ENTIDADES DESCENTRALIZADAS </v>
          </cell>
          <cell r="M19">
            <v>1063.3</v>
          </cell>
          <cell r="O19">
            <v>1063.3</v>
          </cell>
        </row>
        <row r="20">
          <cell r="L20" t="str">
            <v>OTROS RECURSOS DEL BALANCE</v>
          </cell>
          <cell r="N20">
            <v>158.78009</v>
          </cell>
          <cell r="O20">
            <v>158.78009</v>
          </cell>
        </row>
        <row r="22">
          <cell r="L22" t="str">
            <v>TOTAL</v>
          </cell>
          <cell r="M22">
            <v>4146.7030000000004</v>
          </cell>
          <cell r="N22">
            <v>498.46772365700008</v>
          </cell>
          <cell r="O22">
            <v>4645.1707236570001</v>
          </cell>
        </row>
      </sheetData>
      <sheetData sheetId="1" refreshError="1">
        <row r="3">
          <cell r="B3" t="str">
            <v>Cuadro No. 1a</v>
          </cell>
        </row>
        <row r="4">
          <cell r="B4" t="str">
            <v>COMPOSICION INGRESOS CORRIENTES 1999</v>
          </cell>
        </row>
        <row r="5">
          <cell r="B5" t="str">
            <v>RECURSOS NACION</v>
          </cell>
        </row>
        <row r="6">
          <cell r="B6" t="str">
            <v>Miles de millones de pesos</v>
          </cell>
        </row>
        <row r="9">
          <cell r="C9" t="str">
            <v>CONCEPTO</v>
          </cell>
          <cell r="E9" t="str">
            <v>VALOR</v>
          </cell>
        </row>
        <row r="12">
          <cell r="B12" t="str">
            <v xml:space="preserve">  TOTAL INGRESOS CORRIENTES</v>
          </cell>
          <cell r="E12">
            <v>17813.984</v>
          </cell>
        </row>
        <row r="14">
          <cell r="B14" t="str">
            <v>1.1.  INGRESOS TRIBUTARIOS</v>
          </cell>
          <cell r="E14">
            <v>17369.627000000462</v>
          </cell>
        </row>
        <row r="16">
          <cell r="B16" t="str">
            <v xml:space="preserve">        1.1.1. IMPUESTOS DIRECTOS</v>
          </cell>
          <cell r="E16">
            <v>6285.366</v>
          </cell>
        </row>
        <row r="17">
          <cell r="D17" t="str">
            <v>IMPUESTO SOBRE LA RENTA Y COMPLEMENTARIOS</v>
          </cell>
          <cell r="E17">
            <v>6285.366</v>
          </cell>
        </row>
        <row r="19">
          <cell r="B19" t="str">
            <v xml:space="preserve">        1.1.2. IMPUESTOS INDIRECTOS</v>
          </cell>
          <cell r="E19">
            <v>11084.261000000462</v>
          </cell>
        </row>
        <row r="20">
          <cell r="D20" t="str">
            <v>IMPUESTOS SOBRE ADUANAS Y RECARGOS</v>
          </cell>
          <cell r="E20">
            <v>1646.4300000004641</v>
          </cell>
        </row>
        <row r="21">
          <cell r="D21" t="str">
            <v>IMPUESTO A LAS VENTAS</v>
          </cell>
          <cell r="E21">
            <v>8117.9189999999999</v>
          </cell>
        </row>
        <row r="22">
          <cell r="D22" t="str">
            <v>INTERNAS</v>
          </cell>
          <cell r="E22">
            <v>5452.433</v>
          </cell>
        </row>
        <row r="23">
          <cell r="D23" t="str">
            <v>EXTERNAS</v>
          </cell>
          <cell r="E23">
            <v>2665.4859999999999</v>
          </cell>
        </row>
        <row r="24">
          <cell r="D24" t="str">
            <v>IMPUESTO A LA GASOLINA Y ACPM</v>
          </cell>
          <cell r="E24">
            <v>917.32399999999996</v>
          </cell>
        </row>
        <row r="25">
          <cell r="D25" t="str">
            <v>IMPUESTO DE TIMBRE NACIONAL</v>
          </cell>
          <cell r="E25">
            <v>371.608</v>
          </cell>
        </row>
        <row r="26">
          <cell r="D26" t="str">
            <v>IMPUESTO DE TIMBRE NACIONAL SOBRE SALIDAS AL EXT.</v>
          </cell>
          <cell r="E26">
            <v>27.666</v>
          </cell>
        </row>
        <row r="27">
          <cell r="D27" t="str">
            <v>IMPUESTO AL ORO Y AL PLATINO</v>
          </cell>
          <cell r="E27">
            <v>3.3140000000000001</v>
          </cell>
        </row>
        <row r="29">
          <cell r="B29" t="str">
            <v>1.2</v>
          </cell>
          <cell r="C29" t="str">
            <v>INGRESOS NO TRIBUTARIOS</v>
          </cell>
          <cell r="E29">
            <v>444.35699999953806</v>
          </cell>
        </row>
        <row r="31">
          <cell r="C31" t="str">
            <v>1.2.1.</v>
          </cell>
          <cell r="D31" t="str">
            <v>TASAS Y MULTAS</v>
          </cell>
          <cell r="E31">
            <v>444.35699999953806</v>
          </cell>
        </row>
        <row r="32">
          <cell r="D32" t="str">
            <v>OTRAS TASAS, MULTAS Y CONTRIBUCIONES NO ESPECIFICADAS</v>
          </cell>
          <cell r="E32">
            <v>60.326000000000001</v>
          </cell>
        </row>
        <row r="33">
          <cell r="D33" t="str">
            <v>CONTRIBUCION ESPECIAL POR EXPLOTACION O EXPORTACION</v>
          </cell>
        </row>
        <row r="34">
          <cell r="D34" t="str">
            <v>DE PETROLEO CRUDO, GAS LIBRE, CARBON Y FERRONIQUEL</v>
          </cell>
          <cell r="E34">
            <v>34.844999999538061</v>
          </cell>
        </row>
        <row r="35">
          <cell r="D35" t="str">
            <v>FONDO DE RECURSOS DEL SUPERAVIT DE LA NACION</v>
          </cell>
          <cell r="E35">
            <v>151.52000000000001</v>
          </cell>
        </row>
        <row r="36">
          <cell r="D36" t="str">
            <v>CONCESION SOCIEDADES PORTUARIAS</v>
          </cell>
          <cell r="E36">
            <v>17.763999999999999</v>
          </cell>
        </row>
        <row r="37">
          <cell r="D37" t="str">
            <v xml:space="preserve"> CONCESION LARGA DISTANCIA</v>
          </cell>
          <cell r="E37">
            <v>179.90199999999999</v>
          </cell>
        </row>
        <row r="50">
          <cell r="B50" t="str">
            <v>Cuadro No. 1c</v>
          </cell>
        </row>
        <row r="51">
          <cell r="B51" t="str">
            <v>COMPOSICION DE LAS RENTAS PARAFISCALES Y LOS FINDOS ESPECIALES 1999</v>
          </cell>
        </row>
        <row r="52">
          <cell r="B52" t="str">
            <v>(Miles de millones de pesos)</v>
          </cell>
        </row>
        <row r="55">
          <cell r="C55" t="str">
            <v>CONCEPTO</v>
          </cell>
          <cell r="E55" t="str">
            <v>VALOR</v>
          </cell>
        </row>
        <row r="57">
          <cell r="B57">
            <v>3</v>
          </cell>
          <cell r="C57" t="str">
            <v>RENTAS PARAFISCALES</v>
          </cell>
          <cell r="E57">
            <v>495.72143714800001</v>
          </cell>
        </row>
        <row r="58">
          <cell r="D58" t="str">
            <v>FONDO DE PRESTACIONES SOCIALES DEL MAGISTERIO</v>
          </cell>
          <cell r="E58">
            <v>495.72143714800001</v>
          </cell>
        </row>
        <row r="60">
          <cell r="B60">
            <v>4</v>
          </cell>
          <cell r="C60" t="str">
            <v>FONDOS ESPECIALES</v>
          </cell>
          <cell r="E60">
            <v>2306.8786946720002</v>
          </cell>
        </row>
        <row r="61">
          <cell r="D61" t="str">
            <v>CONTRIB. ENTIDADES FISCALIZADAS POR LA CONTRALORIA</v>
          </cell>
          <cell r="E61">
            <v>121.624162707</v>
          </cell>
        </row>
        <row r="62">
          <cell r="D62" t="str">
            <v>CONTRIB. SUPERINTENDENCIA DEL SUBSIDIO FAMILIAR</v>
          </cell>
          <cell r="E62">
            <v>4.0627209999999998</v>
          </cell>
        </row>
        <row r="63">
          <cell r="D63" t="str">
            <v>CONTRIBUCIONES SUPERBANCARIA</v>
          </cell>
          <cell r="E63">
            <v>53.962781024000002</v>
          </cell>
        </row>
        <row r="64">
          <cell r="D64" t="str">
            <v>SUPERINTENDENCIA INDUSTRIA Y COMERCIO</v>
          </cell>
          <cell r="E64">
            <v>11.383514219</v>
          </cell>
        </row>
        <row r="65">
          <cell r="D65" t="str">
            <v>SUPERINTENDENCIA NACIONAL DE VALORES</v>
          </cell>
          <cell r="E65">
            <v>1.8920870000000001</v>
          </cell>
        </row>
        <row r="66">
          <cell r="D66" t="str">
            <v>CONTRIB. ENTIDADES CONTROLADAS POR SUPERPUERTOS</v>
          </cell>
          <cell r="E66">
            <v>19.847386159999999</v>
          </cell>
        </row>
        <row r="67">
          <cell r="D67" t="str">
            <v>CONTRIBUCION PARA LA DESCENTRALIZACIÓN</v>
          </cell>
          <cell r="E67">
            <v>206.59715109500002</v>
          </cell>
        </row>
        <row r="68">
          <cell r="D68" t="str">
            <v>FINANCIACION SECTOR JUSTICIA</v>
          </cell>
          <cell r="E68">
            <v>101.174956967</v>
          </cell>
        </row>
        <row r="69">
          <cell r="D69" t="str">
            <v>FONDO DE DEFENSA NACIONAL</v>
          </cell>
          <cell r="E69">
            <v>20.97</v>
          </cell>
        </row>
        <row r="70">
          <cell r="D70" t="str">
            <v>FONDO DE ESTUPEFACIENTES-MIN SALUD</v>
          </cell>
          <cell r="E70">
            <v>3.1355578780000002</v>
          </cell>
        </row>
        <row r="71">
          <cell r="D71" t="str">
            <v xml:space="preserve">FONDOS INTERNOS DEL MINISTERIO DE DEFENSA </v>
          </cell>
          <cell r="E71">
            <v>95.972661884999994</v>
          </cell>
        </row>
        <row r="72">
          <cell r="D72" t="str">
            <v xml:space="preserve">FONDOS INTERNOS DE LA POLICIA </v>
          </cell>
          <cell r="E72">
            <v>39.214421839000003</v>
          </cell>
        </row>
        <row r="73">
          <cell r="D73" t="str">
            <v>FONDO ROTATORIO MINISTERIO DE MINAS Y ENERGIA</v>
          </cell>
          <cell r="E73">
            <v>0.91249999999999998</v>
          </cell>
        </row>
        <row r="74">
          <cell r="D74" t="str">
            <v>FONDO NACIONAL DE REGALIAS</v>
          </cell>
          <cell r="E74">
            <v>523.853985201</v>
          </cell>
        </row>
        <row r="75">
          <cell r="D75" t="str">
            <v>ESCUELAS INDUSTRIALES E INSTITUTOS TECNICOS</v>
          </cell>
          <cell r="E75">
            <v>44.205705342000002</v>
          </cell>
        </row>
        <row r="76">
          <cell r="D76" t="str">
            <v>FONDO DE SOLIDARIDAD Y GARANTIA DEL SECTOR SALUD</v>
          </cell>
          <cell r="E76">
            <v>565.16685100000007</v>
          </cell>
        </row>
        <row r="77">
          <cell r="D77" t="str">
            <v>FONDO DE SOLIDARIDAD PENSIONAL</v>
          </cell>
          <cell r="E77">
            <v>150.3399</v>
          </cell>
        </row>
        <row r="78">
          <cell r="D78" t="str">
            <v>COMISION DE REGULACION DE TELECOMUNICACIONES</v>
          </cell>
          <cell r="E78">
            <v>4.8886301080000001</v>
          </cell>
        </row>
        <row r="79">
          <cell r="D79" t="str">
            <v>COMISION DE REGULACION DE ENERGIA Y GAS</v>
          </cell>
          <cell r="E79">
            <v>4.2288485199999997</v>
          </cell>
        </row>
        <row r="80">
          <cell r="D80" t="str">
            <v>COMISION DE REGULACION DE AGUA POTABLE</v>
          </cell>
          <cell r="E80">
            <v>3.189125642</v>
          </cell>
        </row>
        <row r="81">
          <cell r="D81" t="str">
            <v>FONDO DE RIESGOS PROFESIONALES ( ART. 87 DTO 1295 DE 1994 )</v>
          </cell>
          <cell r="E81">
            <v>7.032</v>
          </cell>
        </row>
        <row r="82">
          <cell r="D82" t="str">
            <v>INSTITUTO DE ESTUDIOS DEL MINISTERIO PUBLICO</v>
          </cell>
          <cell r="E82">
            <v>0.86231804400000001</v>
          </cell>
        </row>
        <row r="83">
          <cell r="D83" t="str">
            <v>FONDO BIENESTAR DE LA CONTRALORIA</v>
          </cell>
          <cell r="E83">
            <v>2.4324832540000001</v>
          </cell>
        </row>
        <row r="84">
          <cell r="D84" t="str">
            <v>FONDO SALUD FUERZAS MILITARES</v>
          </cell>
          <cell r="E84">
            <v>124.08699589999999</v>
          </cell>
        </row>
        <row r="85">
          <cell r="D85" t="str">
            <v>FONDO SALUD POLICIA</v>
          </cell>
          <cell r="E85">
            <v>139.621849887</v>
          </cell>
        </row>
        <row r="86">
          <cell r="D86" t="str">
            <v>FONDO DE COMPENSACIÓN AMBIENTAL</v>
          </cell>
          <cell r="E86">
            <v>18.425099999999997</v>
          </cell>
        </row>
        <row r="87">
          <cell r="D87" t="str">
            <v>PENSIONES EPSA-CVC</v>
          </cell>
          <cell r="E87">
            <v>10.965</v>
          </cell>
        </row>
        <row r="88">
          <cell r="D88" t="str">
            <v>FONDO DE SEGURIDAD Y CONVIVENCIA CIUDADANA</v>
          </cell>
          <cell r="E88">
            <v>26.83</v>
          </cell>
        </row>
      </sheetData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Hoja1"/>
      <sheetName val="Hoja2"/>
      <sheetName val="94-03 Mil Corr "/>
      <sheetName val="EMBI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  <sheetName val="Seguimiento CSF"/>
      <sheetName val="Resumen OPEF"/>
      <sheetName val="Resumen MES OPEF"/>
      <sheetName val="EPS"/>
    </sheetNames>
    <sheetDataSet>
      <sheetData sheetId="0" refreshError="1"/>
      <sheetData sheetId="1" refreshError="1">
        <row r="2">
          <cell r="D2" t="str">
            <v>INGRESOS PROGRAMADOS DE RECAUDO PARA LA TESORERIA</v>
          </cell>
        </row>
        <row r="3">
          <cell r="D3" t="str">
            <v>PESOS MAS DOLARES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1140.71421463775</v>
          </cell>
          <cell r="I10">
            <v>2651.9847937195022</v>
          </cell>
          <cell r="J10">
            <v>1471.5354278392447</v>
          </cell>
          <cell r="K10">
            <v>2179.6081448299437</v>
          </cell>
          <cell r="L10">
            <v>1722.8942551986092</v>
          </cell>
          <cell r="M10">
            <v>1729.869501630498</v>
          </cell>
          <cell r="N10">
            <v>2106.3267525148112</v>
          </cell>
          <cell r="O10">
            <v>2025.1217938814996</v>
          </cell>
          <cell r="P10">
            <v>2249.0322651158435</v>
          </cell>
          <cell r="Q10">
            <v>1516.7031570160511</v>
          </cell>
          <cell r="R10">
            <v>1087.8304174938371</v>
          </cell>
          <cell r="S10">
            <v>1825.5303261381632</v>
          </cell>
          <cell r="T10">
            <v>21707.151050015753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898.2148985554644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H23">
            <v>0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M23">
            <v>0</v>
          </cell>
          <cell r="N23">
            <v>3.5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H24">
            <v>0</v>
          </cell>
          <cell r="I24">
            <v>0</v>
          </cell>
          <cell r="J24">
            <v>0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36.868704966588957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H36">
            <v>0</v>
          </cell>
          <cell r="I36">
            <v>0</v>
          </cell>
          <cell r="J36">
            <v>5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 t="str">
            <v>Contraprestación Icel-Corelca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 t="str">
            <v>Otros No Tributarios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411.99226213767429</v>
          </cell>
          <cell r="I41">
            <v>1209.4085167199025</v>
          </cell>
          <cell r="J41">
            <v>612.63593395478995</v>
          </cell>
          <cell r="K41">
            <v>996.17730737216425</v>
          </cell>
          <cell r="L41">
            <v>712.91603366398579</v>
          </cell>
          <cell r="M41">
            <v>475.56815691244606</v>
          </cell>
          <cell r="N41">
            <v>1048.3826656734291</v>
          </cell>
          <cell r="O41">
            <v>714.5674845747003</v>
          </cell>
          <cell r="P41">
            <v>1320.4815308572013</v>
          </cell>
          <cell r="Q41">
            <v>207.76809372562374</v>
          </cell>
          <cell r="R41">
            <v>222.94976650111329</v>
          </cell>
          <cell r="S41">
            <v>447.69624485758766</v>
          </cell>
          <cell r="T41">
            <v>8380.5439969506187</v>
          </cell>
        </row>
        <row r="42">
          <cell r="E42" t="str">
            <v>2.1</v>
          </cell>
          <cell r="F42" t="str">
            <v>CREDITO EXTERNO</v>
          </cell>
          <cell r="H42">
            <v>31.615580854135906</v>
          </cell>
          <cell r="I42">
            <v>804.21490643300001</v>
          </cell>
          <cell r="J42">
            <v>62.173021754999994</v>
          </cell>
          <cell r="K42">
            <v>448.70730131700003</v>
          </cell>
          <cell r="L42">
            <v>21.168789650642193</v>
          </cell>
          <cell r="M42">
            <v>17.307276384997571</v>
          </cell>
          <cell r="N42">
            <v>43.08056111621061</v>
          </cell>
          <cell r="O42">
            <v>25.187102494115827</v>
          </cell>
          <cell r="P42">
            <v>413.48173885674629</v>
          </cell>
          <cell r="Q42">
            <v>21.436725135664975</v>
          </cell>
          <cell r="R42">
            <v>38.809750203640519</v>
          </cell>
          <cell r="S42">
            <v>61.866621600922549</v>
          </cell>
          <cell r="T42">
            <v>1989.0493758020766</v>
          </cell>
        </row>
        <row r="43">
          <cell r="F43" t="str">
            <v>Banca Multilateral</v>
          </cell>
          <cell r="H43">
            <v>31.615580854135906</v>
          </cell>
          <cell r="I43">
            <v>32.613038932999999</v>
          </cell>
          <cell r="J43">
            <v>62.173021754999994</v>
          </cell>
          <cell r="K43">
            <v>27.088977317000001</v>
          </cell>
          <cell r="L43">
            <v>21.168789650642193</v>
          </cell>
          <cell r="M43">
            <v>17.307276384997571</v>
          </cell>
          <cell r="N43">
            <v>43.08056111621061</v>
          </cell>
          <cell r="O43">
            <v>25.187102494115827</v>
          </cell>
          <cell r="P43">
            <v>55.992423656746311</v>
          </cell>
          <cell r="Q43">
            <v>21.436725135664975</v>
          </cell>
          <cell r="R43">
            <v>38.809750203640519</v>
          </cell>
          <cell r="S43">
            <v>61.866621600922549</v>
          </cell>
          <cell r="T43">
            <v>438.33986910207648</v>
          </cell>
        </row>
        <row r="44">
          <cell r="F44" t="str">
            <v>Banca Comercial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 t="str">
            <v>Bonos Resol. 4308/94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 t="str">
            <v>Bonos Externos</v>
          </cell>
          <cell r="H46">
            <v>0</v>
          </cell>
          <cell r="I46">
            <v>771.60186750000003</v>
          </cell>
          <cell r="J46">
            <v>0</v>
          </cell>
          <cell r="K46">
            <v>421.61832400000003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357.48931519999996</v>
          </cell>
          <cell r="Q46">
            <v>0</v>
          </cell>
          <cell r="R46">
            <v>0</v>
          </cell>
          <cell r="S46">
            <v>0</v>
          </cell>
          <cell r="T46">
            <v>1550.7095067</v>
          </cell>
        </row>
        <row r="47">
          <cell r="H47">
            <v>0</v>
          </cell>
          <cell r="I47">
            <v>771.60186750000003</v>
          </cell>
          <cell r="J47">
            <v>0</v>
          </cell>
          <cell r="K47">
            <v>421.61832400000003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357.48931519999996</v>
          </cell>
          <cell r="Q47">
            <v>0</v>
          </cell>
          <cell r="R47">
            <v>0</v>
          </cell>
          <cell r="S47">
            <v>0</v>
          </cell>
          <cell r="T47">
            <v>1550.7095067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820.70593967956142</v>
          </cell>
          <cell r="O48">
            <v>529.4886352406653</v>
          </cell>
          <cell r="P48">
            <v>717.46654953300788</v>
          </cell>
          <cell r="Q48">
            <v>157.02632428525027</v>
          </cell>
          <cell r="R48">
            <v>137.3196338237216</v>
          </cell>
          <cell r="S48">
            <v>202.79999999999998</v>
          </cell>
          <cell r="T48">
            <v>5015.4018692176123</v>
          </cell>
          <cell r="U48">
            <v>0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162.059</v>
          </cell>
          <cell r="O49">
            <v>155.102</v>
          </cell>
          <cell r="P49">
            <v>370.83500000000004</v>
          </cell>
          <cell r="Q49">
            <v>32.6</v>
          </cell>
          <cell r="R49">
            <v>32.6</v>
          </cell>
          <cell r="S49">
            <v>202.79999999999998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175.04250114310079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1376.0927519309294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H62">
            <v>0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158.43919920000002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158.43919920000002</v>
          </cell>
        </row>
        <row r="67">
          <cell r="F67" t="str">
            <v>-</v>
          </cell>
          <cell r="G67" t="str">
            <v>Banco Popular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H72">
            <v>0</v>
          </cell>
          <cell r="I72">
            <v>158.43919920000002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158.43919920000002</v>
          </cell>
        </row>
        <row r="73">
          <cell r="F73" t="str">
            <v>-</v>
          </cell>
          <cell r="G73" t="str">
            <v>Carbocol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103.5</v>
          </cell>
          <cell r="O80">
            <v>0</v>
          </cell>
          <cell r="P80">
            <v>103.5</v>
          </cell>
          <cell r="Q80">
            <v>0</v>
          </cell>
          <cell r="R80">
            <v>0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H81">
            <v>0</v>
          </cell>
          <cell r="I81">
            <v>0</v>
          </cell>
          <cell r="J81">
            <v>138.19999999999999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29</v>
          </cell>
          <cell r="T83">
            <v>29</v>
          </cell>
        </row>
        <row r="84">
          <cell r="T84">
            <v>436.05522537753154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20.542088572355723</v>
          </cell>
          <cell r="J85">
            <v>21.429380914338982</v>
          </cell>
          <cell r="K85">
            <v>21.971906138491516</v>
          </cell>
          <cell r="L85">
            <v>23.918774412177434</v>
          </cell>
          <cell r="M85">
            <v>35.375794960875339</v>
          </cell>
          <cell r="N85">
            <v>23.274859026641934</v>
          </cell>
          <cell r="O85">
            <v>18.548787561453171</v>
          </cell>
          <cell r="P85">
            <v>23.49701213548899</v>
          </cell>
          <cell r="Q85">
            <v>22.702260278133863</v>
          </cell>
          <cell r="R85">
            <v>36.716403708939026</v>
          </cell>
          <cell r="S85">
            <v>45.956902418778562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3.444755239022391</v>
          </cell>
          <cell r="J86">
            <v>2.5527331725103282</v>
          </cell>
          <cell r="K86">
            <v>2.454262661427554</v>
          </cell>
          <cell r="L86">
            <v>1.5</v>
          </cell>
          <cell r="M86">
            <v>12.590924219910802</v>
          </cell>
          <cell r="N86">
            <v>2.7474472511144099</v>
          </cell>
          <cell r="O86">
            <v>0</v>
          </cell>
          <cell r="P86">
            <v>0.79475185735512599</v>
          </cell>
          <cell r="Q86">
            <v>0</v>
          </cell>
          <cell r="R86">
            <v>15.237286551205267</v>
          </cell>
          <cell r="S86">
            <v>21.82668976738006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2" refreshError="1">
        <row r="2">
          <cell r="D2" t="str">
            <v>INGRESOS PROGRAMADOS DE RECAUDO PARA LA TESORERIA</v>
          </cell>
        </row>
        <row r="3">
          <cell r="D3" t="str">
            <v>DOLARES</v>
          </cell>
        </row>
        <row r="4">
          <cell r="D4" t="str">
            <v>1997</v>
          </cell>
        </row>
        <row r="5">
          <cell r="C5" t="str">
            <v>Millones de dólares</v>
          </cell>
        </row>
        <row r="6">
          <cell r="C6" t="str">
            <v>Millones de dólares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DEL PRESUPUESTO NACIONAL</v>
          </cell>
          <cell r="H10">
            <v>31.112160277748899</v>
          </cell>
          <cell r="I10">
            <v>861.7</v>
          </cell>
          <cell r="J10">
            <v>59.7</v>
          </cell>
          <cell r="K10">
            <v>425.7</v>
          </cell>
          <cell r="L10">
            <v>19.845725351165154</v>
          </cell>
          <cell r="M10">
            <v>16.035810890634625</v>
          </cell>
          <cell r="N10">
            <v>39.454286477204434</v>
          </cell>
          <cell r="O10">
            <v>22.803406540130013</v>
          </cell>
          <cell r="P10">
            <v>378.87059048571757</v>
          </cell>
          <cell r="Q10">
            <v>18.974318360239725</v>
          </cell>
          <cell r="R10">
            <v>33.972196701843529</v>
          </cell>
          <cell r="S10">
            <v>53.563289244788614</v>
          </cell>
          <cell r="T10">
            <v>1952.9817843294727</v>
          </cell>
        </row>
        <row r="11">
          <cell r="D11" t="str">
            <v>1.</v>
          </cell>
          <cell r="E11" t="str">
            <v>INGRESOS CORRIENTES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8.75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E12" t="str">
            <v>Timbre consulados</v>
          </cell>
          <cell r="T12">
            <v>0</v>
          </cell>
        </row>
        <row r="13">
          <cell r="E13" t="str">
            <v>Otros Ingresos Corrientes</v>
          </cell>
          <cell r="T13">
            <v>0</v>
          </cell>
        </row>
        <row r="14">
          <cell r="E14" t="str">
            <v>Concesiones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8.75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E15" t="str">
            <v>-</v>
          </cell>
          <cell r="F15" t="str">
            <v>Larga Distancia Nacional</v>
          </cell>
          <cell r="T15">
            <v>0</v>
          </cell>
        </row>
        <row r="16">
          <cell r="E16" t="str">
            <v>-</v>
          </cell>
          <cell r="F16" t="str">
            <v>Larga Distancia Internacional</v>
          </cell>
          <cell r="P16">
            <v>0</v>
          </cell>
          <cell r="T16">
            <v>0</v>
          </cell>
        </row>
        <row r="17">
          <cell r="E17" t="str">
            <v>-</v>
          </cell>
          <cell r="F17" t="str">
            <v>Telefonía Celular</v>
          </cell>
          <cell r="T17">
            <v>0</v>
          </cell>
        </row>
        <row r="18">
          <cell r="E18" t="str">
            <v>-</v>
          </cell>
          <cell r="F18" t="str">
            <v>Sociedades Portuarias</v>
          </cell>
          <cell r="T18">
            <v>0</v>
          </cell>
        </row>
        <row r="19">
          <cell r="M19">
            <v>0.62865230921037496</v>
          </cell>
          <cell r="N19">
            <v>1.116950996070021</v>
          </cell>
          <cell r="O19">
            <v>0.63163366358730622</v>
          </cell>
          <cell r="P19">
            <v>1.4278380019474304</v>
          </cell>
          <cell r="Q19">
            <v>0.52002857915163325</v>
          </cell>
          <cell r="R19">
            <v>0.95716645637821773</v>
          </cell>
          <cell r="S19">
            <v>0.60772999365501634</v>
          </cell>
        </row>
        <row r="20">
          <cell r="D20" t="str">
            <v>2.</v>
          </cell>
          <cell r="E20" t="str">
            <v>RECURSOS DE CAPITAL</v>
          </cell>
          <cell r="H20">
            <v>31.112160277748899</v>
          </cell>
          <cell r="I20">
            <v>861.7</v>
          </cell>
          <cell r="J20">
            <v>59.7</v>
          </cell>
          <cell r="K20">
            <v>425.7</v>
          </cell>
          <cell r="L20">
            <v>19.845725351165154</v>
          </cell>
          <cell r="M20">
            <v>16.035810890634625</v>
          </cell>
          <cell r="N20">
            <v>39.454286477204434</v>
          </cell>
          <cell r="O20">
            <v>22.803406540130013</v>
          </cell>
          <cell r="P20">
            <v>370.12059048571757</v>
          </cell>
          <cell r="Q20">
            <v>18.974318360239725</v>
          </cell>
          <cell r="R20">
            <v>33.972196701843529</v>
          </cell>
          <cell r="S20">
            <v>53.563289244788614</v>
          </cell>
          <cell r="T20">
            <v>1952.9817843294727</v>
          </cell>
        </row>
        <row r="21">
          <cell r="E21" t="str">
            <v>2.1</v>
          </cell>
          <cell r="F21" t="str">
            <v>CREDITO EXTERNO</v>
          </cell>
          <cell r="H21">
            <v>31.112160277748899</v>
          </cell>
          <cell r="I21">
            <v>781.7</v>
          </cell>
          <cell r="J21">
            <v>59.7</v>
          </cell>
          <cell r="K21">
            <v>425.7</v>
          </cell>
          <cell r="L21">
            <v>19.845725351165154</v>
          </cell>
          <cell r="M21">
            <v>16.035810890634625</v>
          </cell>
          <cell r="N21">
            <v>39.454286477204434</v>
          </cell>
          <cell r="O21">
            <v>22.803406540130013</v>
          </cell>
          <cell r="P21">
            <v>370.12059048571757</v>
          </cell>
          <cell r="Q21">
            <v>18.974318360239725</v>
          </cell>
          <cell r="R21">
            <v>33.972196701843529</v>
          </cell>
          <cell r="S21">
            <v>53.563289244788614</v>
          </cell>
          <cell r="T21">
            <v>1872.9817843294727</v>
          </cell>
        </row>
        <row r="22">
          <cell r="F22" t="str">
            <v>Banca Multilateral</v>
          </cell>
          <cell r="H22">
            <v>31.112160277748899</v>
          </cell>
          <cell r="I22">
            <v>31.7</v>
          </cell>
          <cell r="J22">
            <v>59.7</v>
          </cell>
          <cell r="K22">
            <v>25.7</v>
          </cell>
          <cell r="L22">
            <v>19.845725351165154</v>
          </cell>
          <cell r="M22">
            <v>16.035810890634625</v>
          </cell>
          <cell r="N22">
            <v>39.454286477204434</v>
          </cell>
          <cell r="O22">
            <v>22.803406540130013</v>
          </cell>
          <cell r="P22">
            <v>50.120590485717599</v>
          </cell>
          <cell r="Q22">
            <v>18.974318360239725</v>
          </cell>
          <cell r="R22">
            <v>33.972196701843529</v>
          </cell>
          <cell r="S22">
            <v>53.563289244788614</v>
          </cell>
          <cell r="T22">
            <v>402.98178432947265</v>
          </cell>
        </row>
        <row r="23">
          <cell r="F23" t="str">
            <v>Banca Comercial</v>
          </cell>
          <cell r="T23">
            <v>0</v>
          </cell>
        </row>
        <row r="24">
          <cell r="F24" t="str">
            <v>Bonos Res. 4308/94</v>
          </cell>
          <cell r="T24">
            <v>0</v>
          </cell>
        </row>
        <row r="25">
          <cell r="F25" t="str">
            <v>Bonos Externos</v>
          </cell>
          <cell r="I25">
            <v>750</v>
          </cell>
          <cell r="K25">
            <v>400</v>
          </cell>
          <cell r="L25">
            <v>0</v>
          </cell>
          <cell r="O25">
            <v>0</v>
          </cell>
          <cell r="P25">
            <v>320</v>
          </cell>
          <cell r="R25">
            <v>0</v>
          </cell>
          <cell r="T25">
            <v>1470</v>
          </cell>
        </row>
        <row r="26">
          <cell r="N26">
            <v>-1.4419893516166269</v>
          </cell>
          <cell r="O26">
            <v>-0.83342704551128721</v>
          </cell>
          <cell r="P26">
            <v>-1.8318252395439945</v>
          </cell>
          <cell r="Q26">
            <v>-0.69348016331401185</v>
          </cell>
          <cell r="R26">
            <v>-1.2416279768077285</v>
          </cell>
          <cell r="S26">
            <v>-1.9576502232063511</v>
          </cell>
        </row>
        <row r="27">
          <cell r="E27" t="str">
            <v>2.3.</v>
          </cell>
          <cell r="F27" t="str">
            <v>OTROS RECURSOS DE CAPITAL</v>
          </cell>
          <cell r="H27">
            <v>0</v>
          </cell>
          <cell r="I27">
            <v>80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80</v>
          </cell>
        </row>
        <row r="28">
          <cell r="F28" t="str">
            <v>Recuperación de Cartera SPNF</v>
          </cell>
          <cell r="T28">
            <v>0</v>
          </cell>
        </row>
        <row r="29">
          <cell r="F29" t="str">
            <v>Recuperación de Cartera SPF</v>
          </cell>
          <cell r="T29">
            <v>0</v>
          </cell>
        </row>
        <row r="30">
          <cell r="F30" t="str">
            <v>Rendimientos Financieros Portafolio</v>
          </cell>
          <cell r="T30">
            <v>0</v>
          </cell>
        </row>
        <row r="31">
          <cell r="F31" t="str">
            <v>Rendimientos Financieros Entidades</v>
          </cell>
          <cell r="T31">
            <v>0</v>
          </cell>
        </row>
        <row r="32">
          <cell r="F32" t="str">
            <v>Donaciones</v>
          </cell>
          <cell r="T32">
            <v>0</v>
          </cell>
        </row>
        <row r="33">
          <cell r="F33" t="str">
            <v>Apalancamiento de Betania</v>
          </cell>
          <cell r="T33">
            <v>0</v>
          </cell>
        </row>
        <row r="34">
          <cell r="F34" t="str">
            <v>Enajenación de Activos</v>
          </cell>
          <cell r="H34">
            <v>0</v>
          </cell>
          <cell r="I34">
            <v>80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80</v>
          </cell>
        </row>
        <row r="35">
          <cell r="F35" t="str">
            <v>-</v>
          </cell>
          <cell r="G35" t="str">
            <v>Banco Popular</v>
          </cell>
          <cell r="T35">
            <v>0</v>
          </cell>
        </row>
        <row r="36">
          <cell r="F36" t="str">
            <v>-</v>
          </cell>
          <cell r="G36" t="str">
            <v>Betania</v>
          </cell>
          <cell r="T36">
            <v>0</v>
          </cell>
        </row>
        <row r="37">
          <cell r="F37" t="str">
            <v>-</v>
          </cell>
          <cell r="G37" t="str">
            <v>Termotasajero</v>
          </cell>
          <cell r="T37">
            <v>0</v>
          </cell>
        </row>
        <row r="38">
          <cell r="F38" t="str">
            <v>-</v>
          </cell>
          <cell r="G38" t="str">
            <v>Termocartagena</v>
          </cell>
          <cell r="T38">
            <v>0</v>
          </cell>
        </row>
        <row r="39">
          <cell r="F39" t="str">
            <v>-</v>
          </cell>
          <cell r="G39" t="str">
            <v>Chivor</v>
          </cell>
          <cell r="T39">
            <v>0</v>
          </cell>
        </row>
        <row r="40">
          <cell r="F40" t="str">
            <v>-</v>
          </cell>
          <cell r="G40" t="str">
            <v>Cerromatoso</v>
          </cell>
          <cell r="I40">
            <v>80</v>
          </cell>
          <cell r="T40">
            <v>80</v>
          </cell>
        </row>
        <row r="41">
          <cell r="F41" t="str">
            <v>-</v>
          </cell>
          <cell r="G41" t="str">
            <v>Carbocol</v>
          </cell>
          <cell r="T41">
            <v>0</v>
          </cell>
        </row>
        <row r="42">
          <cell r="F42" t="str">
            <v>-</v>
          </cell>
          <cell r="G42" t="str">
            <v>Epsa</v>
          </cell>
          <cell r="T42">
            <v>0</v>
          </cell>
        </row>
        <row r="43">
          <cell r="F43" t="str">
            <v>Reintegros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 t="str">
            <v>-</v>
          </cell>
          <cell r="G44" t="str">
            <v>Exigibles</v>
          </cell>
          <cell r="T44">
            <v>0</v>
          </cell>
        </row>
        <row r="45">
          <cell r="F45" t="str">
            <v>-</v>
          </cell>
          <cell r="G45" t="str">
            <v>No exigibles</v>
          </cell>
          <cell r="T45">
            <v>0</v>
          </cell>
        </row>
        <row r="46">
          <cell r="F46" t="str">
            <v>Otros</v>
          </cell>
          <cell r="P46">
            <v>0</v>
          </cell>
          <cell r="T46">
            <v>0</v>
          </cell>
        </row>
        <row r="47">
          <cell r="T47">
            <v>0</v>
          </cell>
        </row>
        <row r="48">
          <cell r="C48" t="str">
            <v>confis</v>
          </cell>
          <cell r="H48">
            <v>35845.782996527778</v>
          </cell>
          <cell r="S48" t="str">
            <v>c:\ingres97.xls</v>
          </cell>
        </row>
      </sheetData>
      <sheetData sheetId="3" refreshError="1">
        <row r="2">
          <cell r="D2" t="str">
            <v>INGRESOS PROGRAMADOS DE RECAUDO PARA LA TESORERIA</v>
          </cell>
        </row>
        <row r="3">
          <cell r="D3" t="str">
            <v>PESOS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1109.0986337836141</v>
          </cell>
          <cell r="I10">
            <v>1765.6091627097242</v>
          </cell>
          <cell r="J10">
            <v>1409.3624060842446</v>
          </cell>
          <cell r="K10">
            <v>1730.9008435129435</v>
          </cell>
          <cell r="L10">
            <v>1700.2254655479671</v>
          </cell>
          <cell r="M10">
            <v>1718.3822252455006</v>
          </cell>
          <cell r="N10">
            <v>1994.2461913986008</v>
          </cell>
          <cell r="O10">
            <v>1929.9346913873837</v>
          </cell>
          <cell r="P10">
            <v>1851.2548541715967</v>
          </cell>
          <cell r="Q10">
            <v>1563.7024318803863</v>
          </cell>
          <cell r="R10">
            <v>1156.4856672901965</v>
          </cell>
          <cell r="S10">
            <v>1753.0707045372408</v>
          </cell>
          <cell r="T10">
            <v>19635.797475013678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902.40422646796435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N23">
            <v>3.5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41.058032879088955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4.1893279124999996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P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J36">
            <v>5</v>
          </cell>
          <cell r="K36">
            <v>1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T37">
            <v>0</v>
          </cell>
        </row>
        <row r="38">
          <cell r="F38" t="str">
            <v>Contraprestación Icel-Corelca</v>
          </cell>
          <cell r="T38">
            <v>0</v>
          </cell>
        </row>
        <row r="39">
          <cell r="F39" t="str">
            <v>Otros No Tributarios</v>
          </cell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380.3766812835384</v>
          </cell>
          <cell r="I41">
            <v>322.88941108690256</v>
          </cell>
          <cell r="J41">
            <v>550.46291219979003</v>
          </cell>
          <cell r="K41">
            <v>547.47000605516428</v>
          </cell>
          <cell r="L41">
            <v>691.74724401334356</v>
          </cell>
          <cell r="M41">
            <v>458.26088052744848</v>
          </cell>
          <cell r="N41">
            <v>935.30210455721863</v>
          </cell>
          <cell r="O41">
            <v>619.38038208058447</v>
          </cell>
          <cell r="P41">
            <v>918.61479200045471</v>
          </cell>
          <cell r="Q41">
            <v>254.76736858995878</v>
          </cell>
          <cell r="R41">
            <v>291.55501629747278</v>
          </cell>
          <cell r="S41">
            <v>378.68662325666514</v>
          </cell>
          <cell r="T41">
            <v>6309.1904219485423</v>
          </cell>
        </row>
        <row r="42">
          <cell r="E42" t="str">
            <v>2.1</v>
          </cell>
          <cell r="F42" t="str">
            <v>CREDITO EXTERNO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 t="str">
            <v>Banca Multilateral</v>
          </cell>
          <cell r="T43">
            <v>0</v>
          </cell>
        </row>
        <row r="44">
          <cell r="F44" t="str">
            <v>Banca Comercial</v>
          </cell>
          <cell r="T44">
            <v>0</v>
          </cell>
        </row>
        <row r="45">
          <cell r="F45" t="str">
            <v>Bonos Resol. 4308/94</v>
          </cell>
          <cell r="T45">
            <v>0</v>
          </cell>
        </row>
        <row r="46">
          <cell r="F46" t="str">
            <v>Bonos Externos</v>
          </cell>
          <cell r="T46">
            <v>0</v>
          </cell>
        </row>
        <row r="47">
          <cell r="T47">
            <v>0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750.70593967956142</v>
          </cell>
          <cell r="O48">
            <v>459.4886352406653</v>
          </cell>
          <cell r="P48">
            <v>729.08154953300777</v>
          </cell>
          <cell r="Q48">
            <v>225.46232428525028</v>
          </cell>
          <cell r="R48">
            <v>244.73463382372159</v>
          </cell>
          <cell r="S48">
            <v>195.65699999999998</v>
          </cell>
          <cell r="T48">
            <v>5015.4018692176123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92.058999999999997</v>
          </cell>
          <cell r="O49">
            <v>85.102000000000004</v>
          </cell>
          <cell r="P49">
            <v>382.45</v>
          </cell>
          <cell r="Q49">
            <v>101.036</v>
          </cell>
          <cell r="R49">
            <v>140.01499999999999</v>
          </cell>
          <cell r="S49">
            <v>195.65699999999998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92.738301943100765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1293.7885527309295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76.135000000000005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76.135000000000005</v>
          </cell>
        </row>
        <row r="67">
          <cell r="F67" t="str">
            <v>-</v>
          </cell>
          <cell r="G67" t="str">
            <v>Banco Popular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I72">
            <v>76.135000000000005</v>
          </cell>
          <cell r="T72">
            <v>76.135000000000005</v>
          </cell>
        </row>
        <row r="73">
          <cell r="F73" t="str">
            <v>-</v>
          </cell>
          <cell r="G73" t="str">
            <v>Carbocol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N80">
            <v>103.5</v>
          </cell>
          <cell r="P80">
            <v>103.5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J81">
            <v>138.19999999999999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S83">
            <v>29</v>
          </cell>
          <cell r="T83">
            <v>29</v>
          </cell>
        </row>
        <row r="84">
          <cell r="S84">
            <v>29</v>
          </cell>
          <cell r="T84">
            <v>29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20.685563195577181</v>
          </cell>
          <cell r="J85">
            <v>21.429380914338978</v>
          </cell>
          <cell r="K85">
            <v>21.971906138491516</v>
          </cell>
          <cell r="L85">
            <v>22.418774412177434</v>
          </cell>
          <cell r="M85">
            <v>41.195794960875382</v>
          </cell>
          <cell r="N85">
            <v>24.274859026641934</v>
          </cell>
          <cell r="O85">
            <v>18.548787561453171</v>
          </cell>
          <cell r="P85">
            <v>23.397012135488989</v>
          </cell>
          <cell r="Q85">
            <v>22.702260278133863</v>
          </cell>
          <cell r="R85">
            <v>36.766403708939031</v>
          </cell>
          <cell r="S85">
            <v>42.506902418778566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3.5882298622438502</v>
          </cell>
          <cell r="J86">
            <v>2.5527331725103277</v>
          </cell>
          <cell r="K86">
            <v>2.4542626614275531</v>
          </cell>
          <cell r="L86">
            <v>0</v>
          </cell>
          <cell r="M86">
            <v>18.410924219910846</v>
          </cell>
          <cell r="N86">
            <v>3.7474472511144099</v>
          </cell>
          <cell r="O86">
            <v>0</v>
          </cell>
          <cell r="P86">
            <v>0.69475185735512635</v>
          </cell>
          <cell r="Q86">
            <v>0</v>
          </cell>
          <cell r="R86">
            <v>15.28728655120527</v>
          </cell>
          <cell r="S86">
            <v>18.376689767380064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Anexo 10"/>
      <sheetName val="Listas"/>
      <sheetName val="Depart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GI4" t="str">
            <v xml:space="preserve">Nacional </v>
          </cell>
          <cell r="GJ4" t="str">
            <v>Regional</v>
          </cell>
          <cell r="GK4" t="str">
            <v>Departamental</v>
          </cell>
          <cell r="GL4" t="str">
            <v>Municipal</v>
          </cell>
          <cell r="GM4" t="str">
            <v>CARS</v>
          </cell>
        </row>
        <row r="5">
          <cell r="GK5" t="str">
            <v xml:space="preserve">11001 - BOGOTÁ D.C.                                       </v>
          </cell>
        </row>
        <row r="6">
          <cell r="GK6" t="str">
            <v xml:space="preserve">05000 - Antioquia                                         </v>
          </cell>
        </row>
        <row r="7">
          <cell r="GK7" t="str">
            <v xml:space="preserve">08000 - Atlántico                                         </v>
          </cell>
        </row>
        <row r="8">
          <cell r="GK8" t="str">
            <v xml:space="preserve">13000 - Bolívar                                           </v>
          </cell>
        </row>
        <row r="9">
          <cell r="GK9" t="str">
            <v xml:space="preserve">15000 - Boyacá                                            </v>
          </cell>
        </row>
        <row r="10">
          <cell r="GK10" t="str">
            <v xml:space="preserve">17000 - Caldas                                            </v>
          </cell>
        </row>
        <row r="11">
          <cell r="GK11" t="str">
            <v xml:space="preserve">18000 - Caquetá                                           </v>
          </cell>
        </row>
        <row r="12">
          <cell r="GK12" t="str">
            <v xml:space="preserve">19000 - Cauca                                             </v>
          </cell>
        </row>
        <row r="13">
          <cell r="GK13" t="str">
            <v xml:space="preserve">20000 - Cesar                                             </v>
          </cell>
        </row>
        <row r="14">
          <cell r="GK14" t="str">
            <v xml:space="preserve">23000 - Córdoba                                           </v>
          </cell>
        </row>
        <row r="15">
          <cell r="GK15" t="str">
            <v xml:space="preserve">25000 - Cundinamarca                                      </v>
          </cell>
        </row>
        <row r="16">
          <cell r="GK16" t="str">
            <v xml:space="preserve">27000 - Chocó                                             </v>
          </cell>
        </row>
        <row r="17">
          <cell r="GK17" t="str">
            <v xml:space="preserve">41000 - Huila                                             </v>
          </cell>
        </row>
        <row r="18">
          <cell r="GK18" t="str">
            <v xml:space="preserve">44000 - La Guajira                                        </v>
          </cell>
        </row>
        <row r="19">
          <cell r="GK19" t="str">
            <v xml:space="preserve">47000 - Magdalena                                         </v>
          </cell>
        </row>
        <row r="20">
          <cell r="GK20" t="str">
            <v xml:space="preserve">50000 - Meta                                              </v>
          </cell>
        </row>
        <row r="21">
          <cell r="GK21" t="str">
            <v xml:space="preserve">52000 - Nariño                                            </v>
          </cell>
        </row>
        <row r="22">
          <cell r="GK22" t="str">
            <v xml:space="preserve">54000 - Norte De Santander                                </v>
          </cell>
        </row>
        <row r="23">
          <cell r="GK23" t="str">
            <v xml:space="preserve">63000 - Quindío                                           </v>
          </cell>
        </row>
        <row r="24">
          <cell r="GK24" t="str">
            <v xml:space="preserve">66000 - Risaralda                                         </v>
          </cell>
        </row>
        <row r="25">
          <cell r="GK25" t="str">
            <v xml:space="preserve">68000 - Santander                                         </v>
          </cell>
        </row>
        <row r="26">
          <cell r="GK26" t="str">
            <v xml:space="preserve">70000 - Sucre                                             </v>
          </cell>
        </row>
        <row r="27">
          <cell r="GK27" t="str">
            <v xml:space="preserve">73000 - Tolima                                            </v>
          </cell>
        </row>
        <row r="28">
          <cell r="GK28" t="str">
            <v xml:space="preserve">76000 - Valle Del Cauca                                   </v>
          </cell>
        </row>
        <row r="29">
          <cell r="GK29" t="str">
            <v xml:space="preserve">81000 - Arauca                                            </v>
          </cell>
        </row>
        <row r="30">
          <cell r="GK30" t="str">
            <v xml:space="preserve">85000 - Casanare                                          </v>
          </cell>
        </row>
        <row r="31">
          <cell r="GK31" t="str">
            <v xml:space="preserve">86000 - Putumayo                                          </v>
          </cell>
        </row>
        <row r="32">
          <cell r="GK32" t="str">
            <v xml:space="preserve">88000 - Archipiélago de San Andrés                        </v>
          </cell>
        </row>
        <row r="33">
          <cell r="GK33" t="str">
            <v xml:space="preserve">91000 - Amazonas                                          </v>
          </cell>
        </row>
        <row r="34">
          <cell r="GK34" t="str">
            <v xml:space="preserve">94000 - Guainía                                           </v>
          </cell>
        </row>
        <row r="35">
          <cell r="GK35" t="str">
            <v xml:space="preserve">95000 - Guaviare                                          </v>
          </cell>
        </row>
        <row r="36">
          <cell r="GK36" t="str">
            <v xml:space="preserve">97000 - Vaupés                                            </v>
          </cell>
        </row>
        <row r="37">
          <cell r="GK37" t="str">
            <v xml:space="preserve">99000 - Vichada                                           </v>
          </cell>
        </row>
      </sheetData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aja 13 &amp; 14-Rpte MinHac-agrega"/>
      <sheetName val="Caja 13 &amp; 14-Rpte MinHac-detall"/>
      <sheetName val="Pto 2013 -2014"/>
      <sheetName val="Comparación bolsas"/>
      <sheetName val="Liquidación 2012"/>
      <sheetName val="Lista"/>
      <sheetName val="Comp FDR a dir 2013&amp;2014"/>
      <sheetName val="Repor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H3" t="str">
            <v>Amazonas</v>
          </cell>
        </row>
        <row r="4">
          <cell r="H4" t="str">
            <v>Antioquia</v>
          </cell>
        </row>
        <row r="5">
          <cell r="H5" t="str">
            <v>Arauca</v>
          </cell>
        </row>
        <row r="6">
          <cell r="H6" t="str">
            <v>San_Andrés</v>
          </cell>
        </row>
        <row r="7">
          <cell r="H7" t="str">
            <v>Atlántico</v>
          </cell>
        </row>
        <row r="8">
          <cell r="H8" t="str">
            <v>Bogotá</v>
          </cell>
        </row>
        <row r="9">
          <cell r="H9" t="str">
            <v>Bolívar</v>
          </cell>
        </row>
        <row r="10">
          <cell r="H10" t="str">
            <v>Boyacá</v>
          </cell>
        </row>
        <row r="11">
          <cell r="H11" t="str">
            <v>Caldas</v>
          </cell>
        </row>
        <row r="12">
          <cell r="H12" t="str">
            <v>Caquetá</v>
          </cell>
        </row>
        <row r="13">
          <cell r="H13" t="str">
            <v>Casanare</v>
          </cell>
        </row>
        <row r="14">
          <cell r="H14" t="str">
            <v>Cauca</v>
          </cell>
        </row>
        <row r="15">
          <cell r="H15" t="str">
            <v>Cesar</v>
          </cell>
        </row>
        <row r="16">
          <cell r="H16" t="str">
            <v>Chocó</v>
          </cell>
        </row>
        <row r="17">
          <cell r="H17" t="str">
            <v>Córdoba</v>
          </cell>
        </row>
        <row r="18">
          <cell r="H18" t="str">
            <v>Corporación</v>
          </cell>
        </row>
        <row r="19">
          <cell r="H19" t="str">
            <v>Cundinamarca</v>
          </cell>
        </row>
        <row r="20">
          <cell r="H20" t="str">
            <v>Gobernación</v>
          </cell>
        </row>
        <row r="21">
          <cell r="H21" t="str">
            <v>Guainía</v>
          </cell>
        </row>
        <row r="22">
          <cell r="H22" t="str">
            <v>Guaviare</v>
          </cell>
        </row>
        <row r="23">
          <cell r="H23" t="str">
            <v>Huila</v>
          </cell>
        </row>
        <row r="24">
          <cell r="H24" t="str">
            <v>Guajira</v>
          </cell>
        </row>
        <row r="25">
          <cell r="H25" t="str">
            <v>Magdalena</v>
          </cell>
        </row>
        <row r="26">
          <cell r="H26" t="str">
            <v>Meta</v>
          </cell>
        </row>
        <row r="27">
          <cell r="H27" t="str">
            <v>Municipio</v>
          </cell>
        </row>
        <row r="28">
          <cell r="H28" t="str">
            <v>Nariño</v>
          </cell>
        </row>
        <row r="29">
          <cell r="H29" t="str">
            <v>Norte_Santander</v>
          </cell>
        </row>
        <row r="30">
          <cell r="H30" t="str">
            <v>Otras</v>
          </cell>
        </row>
        <row r="31">
          <cell r="H31" t="str">
            <v>Putumayo</v>
          </cell>
        </row>
        <row r="32">
          <cell r="H32" t="str">
            <v>Quindio</v>
          </cell>
        </row>
        <row r="33">
          <cell r="H33" t="str">
            <v>Risaralda</v>
          </cell>
        </row>
        <row r="34">
          <cell r="H34" t="str">
            <v>Santander</v>
          </cell>
        </row>
        <row r="35">
          <cell r="H35" t="str">
            <v>Sucre</v>
          </cell>
        </row>
        <row r="36">
          <cell r="H36" t="str">
            <v>Tolima</v>
          </cell>
        </row>
        <row r="37">
          <cell r="H37" t="str">
            <v>Valle</v>
          </cell>
        </row>
        <row r="38">
          <cell r="H38" t="str">
            <v>Vaupés</v>
          </cell>
        </row>
        <row r="39">
          <cell r="H39" t="str">
            <v>Vichada</v>
          </cell>
        </row>
      </sheetData>
      <sheetData sheetId="7"/>
      <sheetData sheetId="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/>
      <sheetData sheetId="2">
        <row r="1">
          <cell r="A1" t="str">
            <v>Amazonas</v>
          </cell>
        </row>
        <row r="2">
          <cell r="A2" t="str">
            <v>Antioquia</v>
          </cell>
        </row>
        <row r="3">
          <cell r="A3" t="str">
            <v>Arauca</v>
          </cell>
        </row>
        <row r="4">
          <cell r="A4" t="str">
            <v>Atlántico</v>
          </cell>
        </row>
        <row r="5">
          <cell r="A5" t="str">
            <v>Bogotá, D.C.</v>
          </cell>
        </row>
        <row r="6">
          <cell r="A6" t="str">
            <v>Bolívar</v>
          </cell>
        </row>
        <row r="7">
          <cell r="A7" t="str">
            <v>Boyacá</v>
          </cell>
        </row>
        <row r="8">
          <cell r="A8" t="str">
            <v>Caldas</v>
          </cell>
        </row>
        <row r="9">
          <cell r="A9" t="str">
            <v>Caquetá</v>
          </cell>
        </row>
        <row r="10">
          <cell r="A10" t="str">
            <v>Casanare</v>
          </cell>
        </row>
        <row r="11">
          <cell r="A11" t="str">
            <v>Cauca</v>
          </cell>
        </row>
        <row r="12">
          <cell r="A12" t="str">
            <v>Cesar</v>
          </cell>
        </row>
        <row r="13">
          <cell r="A13" t="str">
            <v>Chocó</v>
          </cell>
        </row>
        <row r="14">
          <cell r="A14" t="str">
            <v>Córdoba</v>
          </cell>
        </row>
        <row r="15">
          <cell r="A15" t="str">
            <v>Cundinamarca</v>
          </cell>
        </row>
        <row r="16">
          <cell r="A16" t="str">
            <v>Guainía</v>
          </cell>
        </row>
        <row r="17">
          <cell r="A17" t="str">
            <v>Guaviare</v>
          </cell>
        </row>
        <row r="18">
          <cell r="A18" t="str">
            <v>Huila</v>
          </cell>
        </row>
        <row r="19">
          <cell r="A19" t="str">
            <v>La Guajira</v>
          </cell>
        </row>
        <row r="20">
          <cell r="A20" t="str">
            <v>Magdalena</v>
          </cell>
        </row>
        <row r="21">
          <cell r="A21" t="str">
            <v>Meta</v>
          </cell>
        </row>
        <row r="22">
          <cell r="A22" t="str">
            <v>Nariño</v>
          </cell>
        </row>
        <row r="23">
          <cell r="A23" t="str">
            <v>Norte de Santander</v>
          </cell>
        </row>
        <row r="24">
          <cell r="A24" t="str">
            <v>Putumayo</v>
          </cell>
        </row>
        <row r="25">
          <cell r="A25" t="str">
            <v>Quindío</v>
          </cell>
        </row>
        <row r="26">
          <cell r="A26" t="str">
            <v>Risaralda</v>
          </cell>
        </row>
        <row r="27">
          <cell r="A27" t="str">
            <v>San Andrés Depto</v>
          </cell>
        </row>
        <row r="28">
          <cell r="A28" t="str">
            <v>Santander</v>
          </cell>
        </row>
        <row r="29">
          <cell r="A29" t="str">
            <v>Sucre</v>
          </cell>
        </row>
        <row r="30">
          <cell r="A30" t="str">
            <v>Tolima</v>
          </cell>
        </row>
        <row r="31">
          <cell r="A31" t="str">
            <v>Valle del Cauca</v>
          </cell>
        </row>
        <row r="32">
          <cell r="A32" t="str">
            <v>Vaupés</v>
          </cell>
        </row>
        <row r="33">
          <cell r="A33" t="str">
            <v>Vichada</v>
          </cell>
        </row>
      </sheetData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tipoOCAD"/>
      <sheetName val="nomOCAD"/>
      <sheetName val="OCAD3"/>
      <sheetName val="OCAD4"/>
    </sheetNames>
    <sheetDataSet>
      <sheetData sheetId="0" refreshError="1"/>
      <sheetData sheetId="1">
        <row r="5">
          <cell r="AH5" t="str">
            <v>ABEJORRAL</v>
          </cell>
        </row>
        <row r="6">
          <cell r="AH6" t="str">
            <v>ÁBREGO</v>
          </cell>
        </row>
        <row r="7">
          <cell r="AH7" t="str">
            <v>ABRIAQUÍ</v>
          </cell>
        </row>
        <row r="8">
          <cell r="AH8" t="str">
            <v>ACACÍAS</v>
          </cell>
        </row>
        <row r="9">
          <cell r="AH9" t="str">
            <v>ACANDÍ</v>
          </cell>
        </row>
        <row r="10">
          <cell r="AH10" t="str">
            <v>ACEVEDO</v>
          </cell>
        </row>
        <row r="11">
          <cell r="AH11" t="str">
            <v>ACHÍ</v>
          </cell>
        </row>
        <row r="12">
          <cell r="AH12" t="str">
            <v>ACUEDUCTO REGIONAL DE ARJONA - TURBACO Y TURBANA - EL LIQUIDACION</v>
          </cell>
        </row>
        <row r="13">
          <cell r="AH13" t="str">
            <v>ACUEDUCTO Y ALCANTARILLADO DE MOCOA - EN LIQUIDACION</v>
          </cell>
        </row>
        <row r="14">
          <cell r="AH14" t="str">
            <v>ACUEDUCTO Y ALCANTARILLADO DE POPAYAN S. A.</v>
          </cell>
        </row>
        <row r="15">
          <cell r="AH15" t="str">
            <v>ADMINISTRACION PUBLICA COOPERATIVA AGUAS DE CORDOBA</v>
          </cell>
        </row>
        <row r="16">
          <cell r="AH16" t="str">
            <v>ADMINISTRACION PUBLICA COOPERATIVA DE ACUEDUCTO, ALCANTARILLADO Y ASEO DE ROSALIA</v>
          </cell>
        </row>
        <row r="17">
          <cell r="AH17" t="str">
            <v>ADMINISTRACION PUBLICA COOPERATIVA DE SERVICIOS PUBLICOS AGUAS DE SAN FRANCISCO - CORDOBA</v>
          </cell>
        </row>
        <row r="18">
          <cell r="AH18" t="str">
            <v>ADMINISTRACION PUBLICA COOPERATIVA DEL MUNICIPIO DE ENCINO</v>
          </cell>
        </row>
        <row r="19">
          <cell r="AH19" t="str">
            <v>ADMINISTRADOR DEL PATRIMONIO ESCINDIDO DE EMPRESAS VARIAS DE MEDELLÍN ESP</v>
          </cell>
        </row>
        <row r="20">
          <cell r="AH20" t="str">
            <v>ADMINISTRADORA COLOMBIANA DE PENSIONES</v>
          </cell>
        </row>
        <row r="21">
          <cell r="AH21" t="str">
            <v>AEROPUERTO INTERNACIONAL SANTA ANA S.A.</v>
          </cell>
        </row>
        <row r="22">
          <cell r="AH22" t="str">
            <v>AEROPUERTO MATECAÑA</v>
          </cell>
        </row>
        <row r="23">
          <cell r="AH23" t="str">
            <v>AEROPUERTO OLAYA HERRERA</v>
          </cell>
        </row>
        <row r="24">
          <cell r="AH24" t="str">
            <v>AGENCIA COLOMBIANA PARA LA REINTEGRACION DE PERSONAS Y GRUPOS ALZADOS EN ARMAS</v>
          </cell>
        </row>
        <row r="25">
          <cell r="AH25" t="str">
            <v>AGENCIA DE COOPERACION E INVERSION DE MEDELLÍN Y EL AREA METROPOLITANA</v>
          </cell>
        </row>
        <row r="26">
          <cell r="AH26" t="str">
            <v>AGENCIA LOGISTICA DE LAS FUERZAS MILITARES</v>
          </cell>
        </row>
        <row r="27">
          <cell r="AH27" t="str">
            <v>AGENCIA NACIONAL DE CONTRATACIÓN PÚBLICA</v>
          </cell>
        </row>
        <row r="28">
          <cell r="AH28" t="str">
            <v>AGENCIA NACIONAL DE DEFENSA JURIDICA DEL ESTADO</v>
          </cell>
        </row>
        <row r="29">
          <cell r="AH29" t="str">
            <v>AGENCIA NACIONAL DE INFRAESTRUCTURA</v>
          </cell>
        </row>
        <row r="30">
          <cell r="AH30" t="str">
            <v>AGENCIA NACIONAL DE MINERIA</v>
          </cell>
        </row>
        <row r="31">
          <cell r="AH31" t="str">
            <v>AGENCIA NACIONAL PARA LA SUPERACION DE LA POBREZA EXTREMA</v>
          </cell>
        </row>
        <row r="32">
          <cell r="AH32" t="str">
            <v>AGENCIA PRESIDENCIAL DE COOPERACION INTERNACIONAL DE COLOMBIA</v>
          </cell>
        </row>
        <row r="33">
          <cell r="AH33" t="str">
            <v>AGROEMPRESARIAL S.A.</v>
          </cell>
        </row>
        <row r="34">
          <cell r="AH34" t="str">
            <v>AGUA DE DIOS</v>
          </cell>
        </row>
        <row r="35">
          <cell r="AH35" t="str">
            <v>AGUACHICA</v>
          </cell>
        </row>
        <row r="36">
          <cell r="AH36" t="str">
            <v>AGUADA - SANTANDER</v>
          </cell>
        </row>
        <row r="37">
          <cell r="AH37" t="str">
            <v>AGUADAS - CALDAS</v>
          </cell>
        </row>
        <row r="38">
          <cell r="AH38" t="str">
            <v>AGUAS MANANTIALES DE PACORA E.S.P</v>
          </cell>
        </row>
        <row r="39">
          <cell r="AH39" t="str">
            <v>AGUAZUL</v>
          </cell>
        </row>
        <row r="40">
          <cell r="AH40" t="str">
            <v>AGUSTÍN CODAZZI</v>
          </cell>
        </row>
        <row r="41">
          <cell r="AH41" t="str">
            <v>AIPE</v>
          </cell>
        </row>
        <row r="42">
          <cell r="AH42" t="str">
            <v>ALBÁN</v>
          </cell>
        </row>
        <row r="43">
          <cell r="AH43" t="str">
            <v>ALBÁN (SAN JOSÉ)</v>
          </cell>
        </row>
        <row r="44">
          <cell r="AH44" t="str">
            <v>ALBANIA - CAQUETA</v>
          </cell>
        </row>
        <row r="45">
          <cell r="AH45" t="str">
            <v>ALBANIA - GUAJIRA</v>
          </cell>
        </row>
        <row r="46">
          <cell r="AH46" t="str">
            <v>ALBANIA - SANTANDER</v>
          </cell>
        </row>
        <row r="47">
          <cell r="AH47" t="str">
            <v>ALCALÁ</v>
          </cell>
        </row>
        <row r="48">
          <cell r="AH48" t="str">
            <v>ALDANA</v>
          </cell>
        </row>
        <row r="49">
          <cell r="AH49" t="str">
            <v>ALEJANDRÍA</v>
          </cell>
        </row>
        <row r="50">
          <cell r="AH50" t="str">
            <v>ALGARROBO</v>
          </cell>
        </row>
        <row r="51">
          <cell r="AH51" t="str">
            <v>ALGECIRAS</v>
          </cell>
        </row>
        <row r="52">
          <cell r="AH52" t="str">
            <v>ALMACENES GENERALES DE DEPOSITO DE LA CAJA AGRARIA Y BANCO GANADERO S. A.</v>
          </cell>
        </row>
        <row r="53">
          <cell r="AH53" t="str">
            <v>ALMAGUER</v>
          </cell>
        </row>
        <row r="54">
          <cell r="AH54" t="str">
            <v>ALMEIDA</v>
          </cell>
        </row>
        <row r="55">
          <cell r="AH55" t="str">
            <v>ALPUJARRA</v>
          </cell>
        </row>
        <row r="56">
          <cell r="AH56" t="str">
            <v>ALTAMIRA</v>
          </cell>
        </row>
        <row r="57">
          <cell r="AH57" t="str">
            <v>ALTO BAUDÓ  (PIE DE PATO)</v>
          </cell>
        </row>
        <row r="58">
          <cell r="AH58" t="str">
            <v>ALTO DEL ROSARIO</v>
          </cell>
        </row>
        <row r="59">
          <cell r="AH59" t="str">
            <v>ALVARADO</v>
          </cell>
        </row>
        <row r="60">
          <cell r="AH60" t="str">
            <v>AMAGÁ</v>
          </cell>
        </row>
        <row r="61">
          <cell r="AH61" t="str">
            <v>AMALFI</v>
          </cell>
        </row>
        <row r="62">
          <cell r="AH62" t="str">
            <v>AMBALEMA</v>
          </cell>
        </row>
        <row r="63">
          <cell r="AH63" t="str">
            <v>ANAPOIMA</v>
          </cell>
        </row>
        <row r="64">
          <cell r="AH64" t="str">
            <v>ANCUYA</v>
          </cell>
        </row>
        <row r="65">
          <cell r="AH65" t="str">
            <v>ANDALUCÍA</v>
          </cell>
        </row>
        <row r="66">
          <cell r="AH66" t="str">
            <v>ANDES</v>
          </cell>
        </row>
        <row r="67">
          <cell r="AH67" t="str">
            <v>ANGELÓPOLIS</v>
          </cell>
        </row>
        <row r="68">
          <cell r="AH68" t="str">
            <v>ANGOSTURA</v>
          </cell>
        </row>
        <row r="69">
          <cell r="AH69" t="str">
            <v>ANOLAIMA</v>
          </cell>
        </row>
        <row r="70">
          <cell r="AH70" t="str">
            <v>ANORÍ</v>
          </cell>
        </row>
        <row r="71">
          <cell r="AH71" t="str">
            <v>ANSERMA DE LOS CABALLEROS</v>
          </cell>
        </row>
        <row r="72">
          <cell r="AH72" t="str">
            <v>ANSERMANUEVO</v>
          </cell>
        </row>
        <row r="73">
          <cell r="AH73" t="str">
            <v>ANZÁ</v>
          </cell>
        </row>
        <row r="74">
          <cell r="AH74" t="str">
            <v>ANZOÁTEGUI</v>
          </cell>
        </row>
        <row r="75">
          <cell r="AH75" t="str">
            <v>APARTADÓ</v>
          </cell>
        </row>
        <row r="76">
          <cell r="AH76" t="str">
            <v>APÍA</v>
          </cell>
        </row>
        <row r="77">
          <cell r="AH77" t="str">
            <v>APULO - RAFAEL REYES</v>
          </cell>
        </row>
        <row r="78">
          <cell r="AH78" t="str">
            <v>AQUITANIA</v>
          </cell>
        </row>
        <row r="79">
          <cell r="AH79" t="str">
            <v>ARACATACA</v>
          </cell>
        </row>
        <row r="80">
          <cell r="AH80" t="str">
            <v>ARANZAZU</v>
          </cell>
        </row>
        <row r="81">
          <cell r="AH81" t="str">
            <v>ARATOCA</v>
          </cell>
        </row>
        <row r="82">
          <cell r="AH82" t="str">
            <v>ARAUCA</v>
          </cell>
        </row>
        <row r="83">
          <cell r="AH83" t="str">
            <v>ARAUQUITA</v>
          </cell>
        </row>
        <row r="84">
          <cell r="AH84" t="str">
            <v>ARBELÁEZ</v>
          </cell>
        </row>
        <row r="85">
          <cell r="AH85" t="str">
            <v>ARBOLEDA - BERRUECOS</v>
          </cell>
        </row>
        <row r="86">
          <cell r="AH86" t="str">
            <v>ARBOLEDAS</v>
          </cell>
        </row>
        <row r="87">
          <cell r="AH87" t="str">
            <v>ARBOLETES</v>
          </cell>
        </row>
        <row r="88">
          <cell r="AH88" t="str">
            <v>ARCABUCO</v>
          </cell>
        </row>
        <row r="89">
          <cell r="AH89" t="str">
            <v>ARCHIVO GENERAL DE LA NACION</v>
          </cell>
        </row>
        <row r="90">
          <cell r="AH90" t="str">
            <v>AREA METROPOLITANA CENTRO OCCIDENTE</v>
          </cell>
        </row>
        <row r="91">
          <cell r="AH91" t="str">
            <v>AREA METROPOLITANA DE BARRANQUILLA</v>
          </cell>
        </row>
        <row r="92">
          <cell r="AH92" t="str">
            <v>AREA METROPOLITANA DE BUCARAMANGA</v>
          </cell>
        </row>
        <row r="93">
          <cell r="AH93" t="str">
            <v>AREA METROPOLITANA DE CÚCUTA</v>
          </cell>
        </row>
        <row r="94">
          <cell r="AH94" t="str">
            <v>AREA METROPOLITANA DEL VALLE DE ABURRA</v>
          </cell>
        </row>
        <row r="95">
          <cell r="AH95" t="str">
            <v>ARENAL</v>
          </cell>
        </row>
        <row r="96">
          <cell r="AH96" t="str">
            <v>ARGELIA - ANTIOQUIA</v>
          </cell>
        </row>
        <row r="97">
          <cell r="AH97" t="str">
            <v>ARGELIA - CAUCA</v>
          </cell>
        </row>
        <row r="98">
          <cell r="AH98" t="str">
            <v>ARGELIA - VALLE DEL CAUCA</v>
          </cell>
        </row>
        <row r="99">
          <cell r="AH99" t="str">
            <v>ARIGUANÍ</v>
          </cell>
        </row>
        <row r="100">
          <cell r="AH100" t="str">
            <v>ARJONA</v>
          </cell>
        </row>
        <row r="101">
          <cell r="AH101" t="str">
            <v>ARMENIA</v>
          </cell>
        </row>
        <row r="102">
          <cell r="AH102" t="str">
            <v>ARMENIA - ANTIOQUIA</v>
          </cell>
        </row>
        <row r="103">
          <cell r="AH103" t="str">
            <v>ARMERO - GUAYABAL</v>
          </cell>
        </row>
        <row r="104">
          <cell r="AH104" t="str">
            <v>ARROYOHONDO</v>
          </cell>
        </row>
        <row r="105">
          <cell r="AH105" t="str">
            <v>ARTESANIAS DE COLOMBIA S. A.</v>
          </cell>
        </row>
        <row r="106">
          <cell r="AH106" t="str">
            <v>ASILO SAGRADO CORAZÓN DE JESÚS</v>
          </cell>
        </row>
        <row r="107">
          <cell r="AH107" t="str">
            <v>ASOCIACION CABLE AEREO MANIZALES</v>
          </cell>
        </row>
        <row r="108">
          <cell r="AH108" t="str">
            <v>ASOCIACIÓN CANAL LOCAL DE TELEVISION DE MEDELLÍN  TELEMEDELLIN</v>
          </cell>
        </row>
        <row r="109">
          <cell r="AH109" t="str">
            <v>ASOCIACION COMPUTADORES PARA EDUCAR</v>
          </cell>
        </row>
        <row r="110">
          <cell r="AH110" t="str">
            <v>ASOCIACION DE AREAS METROPOLITANAS DE COLOMBIA</v>
          </cell>
        </row>
        <row r="111">
          <cell r="AH111" t="str">
            <v>ASOCIACIÓN DE ENTIDADES PÚBLICAS CASA DE LA CULTURA - MARSELLA</v>
          </cell>
        </row>
        <row r="112">
          <cell r="AH112" t="str">
            <v>ASOCIACIÓN DE LA RED PARA LA ATENCIÓN PREHOSPITALARIA Y DE URGENCIAS DEL ALTIPLANO DEL ORIENTE ANTIOQUEÑO</v>
          </cell>
        </row>
        <row r="113">
          <cell r="AH113" t="str">
            <v>ASOCIACIÓN DE MUNICIPIOS  SABANA CENTRO</v>
          </cell>
        </row>
        <row r="114">
          <cell r="AH114" t="str">
            <v>ASOCIACIÓN DE MUNICIPIOS  SABANA OCCIDENTE - EN LIQUIDACION</v>
          </cell>
        </row>
        <row r="115">
          <cell r="AH115" t="str">
            <v>ASOCIACION DE MUNICIPIOS AGROPARQUES</v>
          </cell>
        </row>
        <row r="116">
          <cell r="AH116" t="str">
            <v>ASOCIACION DE MUNICIPIOS AGROPECUARIOS DE LA SUBREGION DE LOS YARIGUIES</v>
          </cell>
        </row>
        <row r="117">
          <cell r="AH117" t="str">
            <v>ASOCIACIÓN DE MUNICIPIOS ANTIOQUEÑOS DEL NORTE MEDIO</v>
          </cell>
        </row>
        <row r="118">
          <cell r="AH118" t="str">
            <v>ASOCIACIÓN DE MUNICIPIOS COMUNEROS</v>
          </cell>
        </row>
        <row r="119">
          <cell r="AH119" t="str">
            <v>ASOCIACION DE MUNICIPIOS CORPORACIÓN AGENCIA PARA EL DESARROLLO DE LOS MUNICIPIOS DE LA REGION DE BOSQUES</v>
          </cell>
        </row>
        <row r="120">
          <cell r="AH120" t="str">
            <v>ASOCIACIÓN DE MUNICIPIOS DE CIENAGA GRANDE-BAJO SINU</v>
          </cell>
        </row>
        <row r="121">
          <cell r="AH121" t="str">
            <v>ASOCIACIÓN DE MUNICIPIOS DE GUALIVA - EN LIQUIDACION</v>
          </cell>
        </row>
        <row r="122">
          <cell r="AH122" t="str">
            <v>ASOCIACIÓN DE MUNICIPIOS DE GUTIERREZ</v>
          </cell>
        </row>
        <row r="123">
          <cell r="AH123" t="str">
            <v>ASOCIACION DE MUNICIPIOS DE LA CORDILLERA OCCIDENTAL</v>
          </cell>
        </row>
        <row r="124">
          <cell r="AH124" t="str">
            <v>ASOCIACIÓN DE MUNICIPIOS DE LA CUENCA CARBONIFERA DEL SUROESTE ANTIOQUEÑO</v>
          </cell>
        </row>
        <row r="125">
          <cell r="AH125" t="str">
            <v>ASOCIACIÓN DE MUNICIPIOS DE LA PROVINCIA DE OBANDO</v>
          </cell>
        </row>
        <row r="126">
          <cell r="AH126" t="str">
            <v>ASOCIACION DE MUNICIPIOS DE LA PROVINCIA DE OBANDO - ASOPROBANDO- EN LIQUIDACION</v>
          </cell>
        </row>
        <row r="127">
          <cell r="AH127" t="str">
            <v>ASOCIACION DE MUNICIPIOS DE LA PROVINCIA DE OCAÑA, SUR DEL CESAR Y DE BOLIVAR - CENTRO DE GESTION AGROEMPRESARIAL Y DESARROLLO RUR</v>
          </cell>
        </row>
        <row r="128">
          <cell r="AH128" t="str">
            <v>ASOCIACION DE MUNICIPIOS DE LA PROVINCIA DE RICAURTE - N.S.</v>
          </cell>
        </row>
        <row r="129">
          <cell r="AH129" t="str">
            <v>ASOCIACIÓN DE MUNICIPIOS DE LA PROVINCIA DE VALDERRAMA</v>
          </cell>
        </row>
        <row r="130">
          <cell r="AH130" t="str">
            <v>ASOCIACION DE MUNICIPIOS DE LA REGION DE LOBA - ASOMURLOBA BOLIVARENSE</v>
          </cell>
        </row>
        <row r="131">
          <cell r="AH131" t="str">
            <v>ASOCIACIÓN DE MUNICIPIOS DE LA SUBREGIÓN DE LA CIÉNAGA GRANDE SANTA MARTA</v>
          </cell>
        </row>
        <row r="132">
          <cell r="AH132" t="str">
            <v>ASOCIACION DE MUNICIPIOS DE LENGUPA -ASOLENGUPA-</v>
          </cell>
        </row>
        <row r="133">
          <cell r="AH133" t="str">
            <v>ASOCIACIÓN DE MUNICIPIOS DE RICAURTE BAJO</v>
          </cell>
        </row>
        <row r="134">
          <cell r="AH134" t="str">
            <v>ASOCIACION DE MUNICIPIOS DE SUCRE</v>
          </cell>
        </row>
        <row r="135">
          <cell r="AH135" t="str">
            <v>ASOCIACIÓN DE MUNICIPIOS DE UBATE - EN LIQUIDACION</v>
          </cell>
        </row>
        <row r="136">
          <cell r="AH136" t="str">
            <v>ASOCIACIÓN DE MUNICIPIOS DEL ALTO ARIARI</v>
          </cell>
        </row>
        <row r="137">
          <cell r="AH137" t="str">
            <v>ASOCIACIÓN DE MUNICIPIOS DEL ALTO GUAVIO</v>
          </cell>
        </row>
        <row r="138">
          <cell r="AH138" t="str">
            <v>ASOCIACIÓN DE MUNICIPIOS DEL ALTO MAGDALENA</v>
          </cell>
        </row>
        <row r="139">
          <cell r="AH139" t="str">
            <v>ASOCIACION DE MUNICIPIOS DEL BAJO CAUCA Y NECHI</v>
          </cell>
        </row>
        <row r="140">
          <cell r="AH140" t="str">
            <v>ASOCIACIÓN DE MUNICIPIOS DEL CARIBE</v>
          </cell>
        </row>
        <row r="141">
          <cell r="AH141" t="str">
            <v>ASOCIACION DE MUNICIPIOS DEL CENTRO DE RISARALDA</v>
          </cell>
        </row>
        <row r="142">
          <cell r="AH142" t="str">
            <v>ASOCIACION DE MUNICIPIOS DEL DEPARTAMENTO DEL CAQUETA</v>
          </cell>
        </row>
        <row r="143">
          <cell r="AH143" t="str">
            <v>ASOCIACIÓN DE MUNICIPIOS DEL EXTREMO NORTE DEL VALLE DEL CAUCA</v>
          </cell>
        </row>
        <row r="144">
          <cell r="AH144" t="str">
            <v>ASOCIACION DE MUNICIPIOS DEL GOLFO DE MORROSQUILLO</v>
          </cell>
        </row>
        <row r="145">
          <cell r="AH145" t="str">
            <v>ASOCIACIÓN DE MUNICIPIOS DEL GUAVIO - EN LIQUIDACIÓN</v>
          </cell>
        </row>
        <row r="146">
          <cell r="AH146" t="str">
            <v>ASOCIACIÓN DE MUNICIPIOS DEL MAGDALENA CENTRO - EN LIQUIDACION</v>
          </cell>
        </row>
        <row r="147">
          <cell r="AH147" t="str">
            <v>ASOCIACIÓN DE MUNICIPIOS DEL MAGDALENA MEDIO, NORTE Y NORDESTE ANTIOQUEÑO - ASOMANOR</v>
          </cell>
        </row>
        <row r="148">
          <cell r="AH148" t="str">
            <v>ASOCIACIÓN DE MUNICIPIOS DEL NORDESTE ANTIOQUEÑO</v>
          </cell>
        </row>
        <row r="149">
          <cell r="AH149" t="str">
            <v>ASOCIACION DE MUNICIPIOS DEL NORTE DE ABURRA</v>
          </cell>
        </row>
        <row r="150">
          <cell r="AH150" t="str">
            <v>ASOCIACION DE MUNICIPIOS DEL NORTE DEL CAUCA</v>
          </cell>
        </row>
        <row r="151">
          <cell r="AH151" t="str">
            <v>ASOCIACIÓN DE MUNICIPIOS DEL PIE DE MONTE ORIENTAL</v>
          </cell>
        </row>
        <row r="152">
          <cell r="AH152" t="str">
            <v>ASOCIACIÓN DE MUNICIPIOS DEL PIEDEMONTE LLANERO- EN LIQUIDACION</v>
          </cell>
        </row>
        <row r="153">
          <cell r="AH153" t="str">
            <v>ASOCIACION DE MUNICIPIOS DEL RIO FONCE</v>
          </cell>
        </row>
        <row r="154">
          <cell r="AH154" t="str">
            <v>ASOCIACIÓN DE MUNICIPIOS DEL RIONEGRO -  EN LIQUIDACIÓN</v>
          </cell>
        </row>
        <row r="155">
          <cell r="AH155" t="str">
            <v>ASOCIACION DE MUNICIPIOS DEL SINU</v>
          </cell>
        </row>
        <row r="156">
          <cell r="AH156" t="str">
            <v>ASOCIACIÓN DE MUNICIPIOS DEL SUMAPAZ - EN LIQUIDACION</v>
          </cell>
        </row>
        <row r="157">
          <cell r="AH157" t="str">
            <v>ASOCIACIÓN DE MUNICIPIOS DEL SUR DE BOLIVAR</v>
          </cell>
        </row>
        <row r="158">
          <cell r="AH158" t="str">
            <v>ASOCIACION DE MUNICIPIOS DEL SUR DE LA GUAJIRA</v>
          </cell>
        </row>
        <row r="159">
          <cell r="AH159" t="str">
            <v>ASOCIACION DE MUNICIPIOS DEL SUR OCCIDENTE DEL HUILA</v>
          </cell>
        </row>
        <row r="160">
          <cell r="AH160" t="str">
            <v>ASOCIACION DE MUNICIPIOS DEL SUROCCIDENTE DE NARIÑO</v>
          </cell>
        </row>
        <row r="161">
          <cell r="AH161" t="str">
            <v>ASOCIACIÓN DE MUNICIPIOS DEL TEQUENDAMA - EN LIQUIDACION</v>
          </cell>
        </row>
        <row r="162">
          <cell r="AH162" t="str">
            <v>ASOCIACION DE MUNICIPIOS DEL VALLE DE TENZA</v>
          </cell>
        </row>
        <row r="163">
          <cell r="AH163" t="str">
            <v>ASOCIACION DE MUNICIPIOS PETROLEROS DE COLOMBIA</v>
          </cell>
        </row>
        <row r="164">
          <cell r="AH164" t="str">
            <v>ASOCIACION PARA LA CONSTRUCCION DEL AEROPUERTO DEL CAFE EN PALESTINA - CALDAS</v>
          </cell>
        </row>
        <row r="165">
          <cell r="AH165" t="str">
            <v>ASOCIACION REGIONAL DE MUNICIPIOS DE LA AMAZONIA Y ORINOQUIA</v>
          </cell>
        </row>
        <row r="166">
          <cell r="AH166" t="str">
            <v>ASTREA</v>
          </cell>
        </row>
        <row r="167">
          <cell r="AH167" t="str">
            <v>ATACO</v>
          </cell>
        </row>
        <row r="168">
          <cell r="AH168" t="str">
            <v>ATRATO</v>
          </cell>
        </row>
        <row r="169">
          <cell r="AH169" t="str">
            <v>AUDITORIA GENERAL DE LA REPUBLICA</v>
          </cell>
        </row>
        <row r="170">
          <cell r="AH170" t="str">
            <v>AUTOPISTAS DE LA MONTAÑA S.A.S.</v>
          </cell>
        </row>
        <row r="171">
          <cell r="AH171" t="str">
            <v>AUTORIDAD NACIONAL DE TELEVISIÓN</v>
          </cell>
        </row>
        <row r="172">
          <cell r="AH172" t="str">
            <v>AVAL GUARDADORES - FOGAFIN</v>
          </cell>
        </row>
        <row r="173">
          <cell r="AH173" t="str">
            <v>AYAPEL</v>
          </cell>
        </row>
        <row r="174">
          <cell r="AH174" t="str">
            <v>BAGADÓ</v>
          </cell>
        </row>
        <row r="175">
          <cell r="AH175" t="str">
            <v>BAHÍA SOLANO - CIUDAD MUTIS</v>
          </cell>
        </row>
        <row r="176">
          <cell r="AH176" t="str">
            <v>BAJO BAUDÓ - PIZARRO</v>
          </cell>
        </row>
        <row r="177">
          <cell r="AH177" t="str">
            <v>BALBOA - CAUCA</v>
          </cell>
        </row>
        <row r="178">
          <cell r="AH178" t="str">
            <v>BALBOA - RISARALDA</v>
          </cell>
        </row>
        <row r="179">
          <cell r="AH179" t="str">
            <v>BANCO AGRARIO DE COLOMBIA</v>
          </cell>
        </row>
        <row r="180">
          <cell r="AH180" t="str">
            <v>BANCO DE COMERCIO EXTERIOR DE COLOMBIA S. A.</v>
          </cell>
        </row>
        <row r="181">
          <cell r="AH181" t="str">
            <v>BANCO DE LA REPUBLICA</v>
          </cell>
        </row>
        <row r="182">
          <cell r="AH182" t="str">
            <v>BANCO DE LOS POBRES DE YONDO</v>
          </cell>
        </row>
        <row r="183">
          <cell r="AH183" t="str">
            <v>BANCO INMOBILIARIO DEL MUNICIPIO DE CHIA</v>
          </cell>
        </row>
        <row r="184">
          <cell r="AH184" t="str">
            <v>BANCO INMOBILIARIO METROPOLITANO - EN LIQUIDACION</v>
          </cell>
        </row>
        <row r="185">
          <cell r="AH185" t="str">
            <v>BARANOA</v>
          </cell>
        </row>
        <row r="186">
          <cell r="AH186" t="str">
            <v>BARAYA</v>
          </cell>
        </row>
        <row r="187">
          <cell r="AH187" t="str">
            <v>BARBACOAS</v>
          </cell>
        </row>
        <row r="188">
          <cell r="AH188" t="str">
            <v>BARBOSA - ANTIOQUIA</v>
          </cell>
        </row>
        <row r="189">
          <cell r="AH189" t="str">
            <v>BARBOSA - SANTANDER</v>
          </cell>
        </row>
        <row r="190">
          <cell r="AH190" t="str">
            <v>BARICHARA</v>
          </cell>
        </row>
        <row r="191">
          <cell r="AH191" t="str">
            <v>BARRANCA DE UPÍA</v>
          </cell>
        </row>
        <row r="192">
          <cell r="AH192" t="str">
            <v>BARRANCABERMEJA</v>
          </cell>
        </row>
        <row r="193">
          <cell r="AH193" t="str">
            <v>BARRANCAS</v>
          </cell>
        </row>
        <row r="194">
          <cell r="AH194" t="str">
            <v>BARRANCO DE LOBA</v>
          </cell>
        </row>
        <row r="195">
          <cell r="AH195" t="str">
            <v>BARRANQUILLA MEDIO AMBIENTE</v>
          </cell>
        </row>
        <row r="196">
          <cell r="AH196" t="str">
            <v>BARRANQUILLA, DISTRITO ESPECIAL, INDUSTRIAL Y PORTUARIO</v>
          </cell>
        </row>
        <row r="197">
          <cell r="AH197" t="str">
            <v>BECERRIL</v>
          </cell>
        </row>
        <row r="198">
          <cell r="AH198" t="str">
            <v>BELALCÁZAR</v>
          </cell>
        </row>
        <row r="199">
          <cell r="AH199" t="str">
            <v>BELÉN - BOYACA</v>
          </cell>
        </row>
        <row r="200">
          <cell r="AH200" t="str">
            <v>BELÉN - NARIÑO</v>
          </cell>
        </row>
        <row r="201">
          <cell r="AH201" t="str">
            <v>BELÉN DE LOS ANDAQUÍES</v>
          </cell>
        </row>
        <row r="202">
          <cell r="AH202" t="str">
            <v>BELÉN DE UMBRÍA</v>
          </cell>
        </row>
        <row r="203">
          <cell r="AH203" t="str">
            <v>BELLO</v>
          </cell>
        </row>
        <row r="204">
          <cell r="AH204" t="str">
            <v>BELMIRA</v>
          </cell>
        </row>
        <row r="205">
          <cell r="AH205" t="str">
            <v>BELTRÁN</v>
          </cell>
        </row>
        <row r="206">
          <cell r="AH206" t="str">
            <v>BENEFICENCIA DE ANTIOQUIA</v>
          </cell>
        </row>
        <row r="207">
          <cell r="AH207" t="str">
            <v>BENEFICENCIA DE CUNDINAMARCA</v>
          </cell>
        </row>
        <row r="208">
          <cell r="AH208" t="str">
            <v>BENEFICENCIA DE SANTANDER</v>
          </cell>
        </row>
        <row r="209">
          <cell r="AH209" t="str">
            <v>BENEFICENCIA DEL VALLE DEL CAUCA</v>
          </cell>
        </row>
        <row r="210">
          <cell r="AH210" t="str">
            <v>BERBEO</v>
          </cell>
        </row>
        <row r="211">
          <cell r="AH211" t="str">
            <v>BETANIA</v>
          </cell>
        </row>
        <row r="212">
          <cell r="AH212" t="str">
            <v>BETÉITIVA</v>
          </cell>
        </row>
        <row r="213">
          <cell r="AH213" t="str">
            <v>BETULIA - ANTIOQUIA</v>
          </cell>
        </row>
        <row r="214">
          <cell r="AH214" t="str">
            <v>BETULIA - SANTANDER</v>
          </cell>
        </row>
        <row r="215">
          <cell r="AH215" t="str">
            <v>BIBLIOTECA DEPARTAMENTAL  JORGE GARCES BORRERO</v>
          </cell>
        </row>
        <row r="216">
          <cell r="AH216" t="str">
            <v>BIBLIOTECA PUBLICA PILOTO DE MEDELLIN PARA LA AMERICA LATINA</v>
          </cell>
        </row>
        <row r="217">
          <cell r="AH217" t="str">
            <v>BIOENERGY S.A.</v>
          </cell>
        </row>
        <row r="218">
          <cell r="AH218" t="str">
            <v>BIOENERGY ZONA FRANCA  S.A.S.</v>
          </cell>
        </row>
        <row r="219">
          <cell r="AH219" t="str">
            <v>BITUIMA</v>
          </cell>
        </row>
        <row r="220">
          <cell r="AH220" t="str">
            <v>BOAVITA</v>
          </cell>
        </row>
        <row r="221">
          <cell r="AH221" t="str">
            <v>BOCHALEMA</v>
          </cell>
        </row>
        <row r="222">
          <cell r="AH222" t="str">
            <v>BOGOTÁ D.C.</v>
          </cell>
        </row>
        <row r="223">
          <cell r="AH223" t="str">
            <v>BOJACÁ</v>
          </cell>
        </row>
        <row r="224">
          <cell r="AH224" t="str">
            <v>BOJAYÁ  (BELLAVISTA)</v>
          </cell>
        </row>
        <row r="225">
          <cell r="AH225" t="str">
            <v>BOLÍVAR - CAUCA</v>
          </cell>
        </row>
        <row r="226">
          <cell r="AH226" t="str">
            <v>BOLÍVAR - SANTANDER</v>
          </cell>
        </row>
        <row r="227">
          <cell r="AH227" t="str">
            <v>BOLÍVAR - VALLE DEL CAUCA</v>
          </cell>
        </row>
        <row r="228">
          <cell r="AH228" t="str">
            <v>BOMBEROS DE BUCARAMANGA</v>
          </cell>
        </row>
        <row r="229">
          <cell r="AH229" t="str">
            <v>BOSCONIA</v>
          </cell>
        </row>
        <row r="230">
          <cell r="AH230" t="str">
            <v>BOYACÁ</v>
          </cell>
        </row>
        <row r="231">
          <cell r="AH231" t="str">
            <v>BRICEÑO - ANTIOQUIA</v>
          </cell>
        </row>
        <row r="232">
          <cell r="AH232" t="str">
            <v>BRICEÑO - BOYACA</v>
          </cell>
        </row>
        <row r="233">
          <cell r="AH233" t="str">
            <v>BUCARAMANGA</v>
          </cell>
        </row>
        <row r="234">
          <cell r="AH234" t="str">
            <v>BUCARASICA</v>
          </cell>
        </row>
        <row r="235">
          <cell r="AH235" t="str">
            <v>BUENAVENTURA</v>
          </cell>
        </row>
        <row r="236">
          <cell r="AH236" t="str">
            <v>BUENAVISTA - BOYACA</v>
          </cell>
        </row>
        <row r="237">
          <cell r="AH237" t="str">
            <v>BUENAVISTA - CORDOBA</v>
          </cell>
        </row>
        <row r="238">
          <cell r="AH238" t="str">
            <v>BUENAVISTA - QUINDIO</v>
          </cell>
        </row>
        <row r="239">
          <cell r="AH239" t="str">
            <v>BUENAVISTA - SUCRE</v>
          </cell>
        </row>
        <row r="240">
          <cell r="AH240" t="str">
            <v>BUENOS AIRES</v>
          </cell>
        </row>
        <row r="241">
          <cell r="AH241" t="str">
            <v>BUESACO</v>
          </cell>
        </row>
        <row r="242">
          <cell r="AH242" t="str">
            <v>BUGA ABASTOS</v>
          </cell>
        </row>
        <row r="243">
          <cell r="AH243" t="str">
            <v>BUGALAGRANDE</v>
          </cell>
        </row>
        <row r="244">
          <cell r="AH244" t="str">
            <v>BURITICÁ</v>
          </cell>
        </row>
        <row r="245">
          <cell r="AH245" t="str">
            <v>BUSBANZÁ</v>
          </cell>
        </row>
        <row r="246">
          <cell r="AH246" t="str">
            <v>C.P.G.A CORPOAGROCENTRO</v>
          </cell>
        </row>
        <row r="247">
          <cell r="AH247" t="str">
            <v>C.P.G.A DEL RIO FONCE</v>
          </cell>
        </row>
        <row r="248">
          <cell r="AH248" t="str">
            <v>C.P.G.A. COMUNERO</v>
          </cell>
        </row>
        <row r="249">
          <cell r="AH249" t="str">
            <v>C.P.G.A. DE LA PROVINCIA DE GARCIA ROVIRA</v>
          </cell>
        </row>
        <row r="250">
          <cell r="AH250" t="str">
            <v>C.P.G.A. DE ONZAGA, SAN JOAQUIN Y MOGOTES</v>
          </cell>
        </row>
        <row r="251">
          <cell r="AH251" t="str">
            <v>C.P.G.A. DEL CENTRO ORIENTE DEL HUILA</v>
          </cell>
        </row>
        <row r="252">
          <cell r="AH252" t="str">
            <v>C.P.G.A. DEL CENTRO ORIENTE DEL TOLIMA - CORPORACION BRISAS DEL MAGDALENA</v>
          </cell>
        </row>
        <row r="253">
          <cell r="AH253" t="str">
            <v>C.P.G.A. DEL GUAVIARE Y SUR DEL META</v>
          </cell>
        </row>
        <row r="254">
          <cell r="AH254" t="str">
            <v>C.P.G.A. DEL NOROCCIDENTE DEL HUILA</v>
          </cell>
        </row>
        <row r="255">
          <cell r="AH255" t="str">
            <v>C.P.G.A. DEL NORTE DE CASANARE</v>
          </cell>
        </row>
        <row r="256">
          <cell r="AH256" t="str">
            <v>C.P.G.A. DEL NORTE DEL HUILA</v>
          </cell>
        </row>
        <row r="257">
          <cell r="AH257" t="str">
            <v>C.P.G.A. DEL NORTE DEL TOLIMA VALLE DEL MAGDALENA</v>
          </cell>
        </row>
        <row r="258">
          <cell r="AH258" t="str">
            <v>C.P.G.A. DEL SUR DEL CASANARE</v>
          </cell>
        </row>
        <row r="259">
          <cell r="AH259" t="str">
            <v>C.P.G.A. DEL SUR DEL HUILA</v>
          </cell>
        </row>
        <row r="260">
          <cell r="AH260" t="str">
            <v>C.P.G.A. PUERTOS DEL ARIARI</v>
          </cell>
        </row>
        <row r="261">
          <cell r="AH261" t="str">
            <v>C.P.G.M.A.E. ALTO NORDESTE ANTIOQUEÑO</v>
          </cell>
        </row>
        <row r="262">
          <cell r="AH262" t="str">
            <v>CABRERA - CUNDINAMARCA</v>
          </cell>
        </row>
        <row r="263">
          <cell r="AH263" t="str">
            <v>CABRERA - SANTANDER</v>
          </cell>
        </row>
        <row r="264">
          <cell r="AH264" t="str">
            <v>CABUYARO</v>
          </cell>
        </row>
        <row r="265">
          <cell r="AH265" t="str">
            <v>CÁCERES</v>
          </cell>
        </row>
        <row r="266">
          <cell r="AH266" t="str">
            <v>CACHIPAY</v>
          </cell>
        </row>
        <row r="267">
          <cell r="AH267" t="str">
            <v>CÁCHIRA</v>
          </cell>
        </row>
        <row r="268">
          <cell r="AH268" t="str">
            <v>CÁCOTA</v>
          </cell>
        </row>
        <row r="269">
          <cell r="AH269" t="str">
            <v>CAICEDO</v>
          </cell>
        </row>
        <row r="270">
          <cell r="AH270" t="str">
            <v>CAICEDONIA</v>
          </cell>
        </row>
        <row r="271">
          <cell r="AH271" t="str">
            <v>CAIMITO</v>
          </cell>
        </row>
        <row r="272">
          <cell r="AH272" t="str">
            <v>CAJA DE COMPENSACIÓN FAMILIAR CAMPESINA</v>
          </cell>
        </row>
        <row r="273">
          <cell r="AH273" t="str">
            <v>CAJA DE PREVISION SOCIAL DE COMUNICACIONES</v>
          </cell>
        </row>
        <row r="274">
          <cell r="AH274" t="str">
            <v>CAJA DE PREVISIÓN SOCIAL DE LA UNIVERSIDAD DE CARTAGENA</v>
          </cell>
        </row>
        <row r="275">
          <cell r="AH275" t="str">
            <v>CAJA DE PREVISION SOCIAL DE LA UNIVERSIDAD INDUSTRIAL DE SANTANDER</v>
          </cell>
        </row>
        <row r="276">
          <cell r="AH276" t="str">
            <v>CAJA DE PREVISION SOCIAL MUNICIPAL DE BUCARAMANGA</v>
          </cell>
        </row>
        <row r="277">
          <cell r="AH277" t="str">
            <v>CAJA DE RETIRO DE LAS FUERZAS MILITARES</v>
          </cell>
        </row>
        <row r="278">
          <cell r="AH278" t="str">
            <v>CAJA DE SUELDOS DE RETIRO DE LA POLICIA NACIONAL</v>
          </cell>
        </row>
        <row r="279">
          <cell r="AH279" t="str">
            <v>CAJA DE VIVIENDA MILITAR</v>
          </cell>
        </row>
        <row r="280">
          <cell r="AH280" t="str">
            <v>CAJA DE VIVIENDA POPULAR</v>
          </cell>
        </row>
        <row r="281">
          <cell r="AH281" t="str">
            <v>CAJA DE VIVIENDA POPULAR DE MANIZALES</v>
          </cell>
        </row>
        <row r="282">
          <cell r="AH282" t="str">
            <v>CAJA DE VIVIENDA POPULAR DE VILLAVICENCIO - EN LIQUIDACION</v>
          </cell>
        </row>
        <row r="283">
          <cell r="AH283" t="str">
            <v>CAJA NACIONAL DE PREVISION SOCIAL - EN LIQUIDACION</v>
          </cell>
        </row>
        <row r="284">
          <cell r="AH284" t="str">
            <v>CAJAMARCA</v>
          </cell>
        </row>
        <row r="285">
          <cell r="AH285" t="str">
            <v>CAJIBÍO</v>
          </cell>
        </row>
        <row r="286">
          <cell r="AH286" t="str">
            <v>CAJICA</v>
          </cell>
        </row>
        <row r="287">
          <cell r="AH287" t="str">
            <v>CALAMAR - BOLIVAR</v>
          </cell>
        </row>
        <row r="288">
          <cell r="AH288" t="str">
            <v>CALAMAR - GUAVIARE</v>
          </cell>
        </row>
        <row r="289">
          <cell r="AH289" t="str">
            <v>CALARCÁ</v>
          </cell>
        </row>
        <row r="290">
          <cell r="AH290" t="str">
            <v>CALDAS - ANTIOQUIA</v>
          </cell>
        </row>
        <row r="291">
          <cell r="AH291" t="str">
            <v>CALDAS - BOYACA</v>
          </cell>
        </row>
        <row r="292">
          <cell r="AH292" t="str">
            <v>CALDONO</v>
          </cell>
        </row>
        <row r="293">
          <cell r="AH293" t="str">
            <v>CALIFORNIA</v>
          </cell>
        </row>
        <row r="294">
          <cell r="AH294" t="str">
            <v>CALIGEN LTDA.</v>
          </cell>
        </row>
        <row r="295">
          <cell r="AH295" t="str">
            <v>CALIMA DEL DARIEN</v>
          </cell>
        </row>
        <row r="296">
          <cell r="AH296" t="str">
            <v>CALOTO</v>
          </cell>
        </row>
        <row r="297">
          <cell r="AH297" t="str">
            <v>CAMARA DE REPRESENTANTES</v>
          </cell>
        </row>
        <row r="298">
          <cell r="AH298" t="str">
            <v>CAMPAMENTO</v>
          </cell>
        </row>
        <row r="299">
          <cell r="AH299" t="str">
            <v>CAMPO DE LA CRUZ</v>
          </cell>
        </row>
        <row r="300">
          <cell r="AH300" t="str">
            <v>CAMPOALEGRE</v>
          </cell>
        </row>
        <row r="301">
          <cell r="AH301" t="str">
            <v>CAMPOHERMOSO</v>
          </cell>
        </row>
        <row r="302">
          <cell r="AH302" t="str">
            <v>CANAL CAPITAL</v>
          </cell>
        </row>
        <row r="303">
          <cell r="AH303" t="str">
            <v>CANAL REGIONAL DE TELEVISION DEL CARIBE LTDA</v>
          </cell>
        </row>
        <row r="304">
          <cell r="AH304" t="str">
            <v>CANAL REGIONAL DE TELEVISIÓN PARA EL PACIFICO  LTDA.</v>
          </cell>
        </row>
        <row r="305">
          <cell r="AH305" t="str">
            <v>CANALETE</v>
          </cell>
        </row>
        <row r="306">
          <cell r="AH306" t="str">
            <v>CANDELARIA - ATLÁNTICO</v>
          </cell>
        </row>
        <row r="307">
          <cell r="AH307" t="str">
            <v>CANDELARIA - VALLE DEL CAUCA</v>
          </cell>
        </row>
        <row r="308">
          <cell r="AH308" t="str">
            <v>CANTAGALLO</v>
          </cell>
        </row>
        <row r="309">
          <cell r="AH309" t="str">
            <v>CAÑASGORDAS</v>
          </cell>
        </row>
        <row r="310">
          <cell r="AH310" t="str">
            <v>CAPARRAPÍ</v>
          </cell>
        </row>
        <row r="311">
          <cell r="AH311" t="str">
            <v>CAPITANEJO</v>
          </cell>
        </row>
        <row r="312">
          <cell r="AH312" t="str">
            <v>CAPRECOM - SALUD</v>
          </cell>
        </row>
        <row r="313">
          <cell r="AH313" t="str">
            <v>CÁQUEZA</v>
          </cell>
        </row>
        <row r="314">
          <cell r="AH314" t="str">
            <v>CARACOLÍ</v>
          </cell>
        </row>
        <row r="315">
          <cell r="AH315" t="str">
            <v>CARAMANTA</v>
          </cell>
        </row>
        <row r="316">
          <cell r="AH316" t="str">
            <v>CARCASÍ</v>
          </cell>
        </row>
        <row r="317">
          <cell r="AH317" t="str">
            <v>CAREPA</v>
          </cell>
        </row>
        <row r="318">
          <cell r="AH318" t="str">
            <v>CARMEN DE APICALA</v>
          </cell>
        </row>
        <row r="319">
          <cell r="AH319" t="str">
            <v>CARMEN DE CARUPA</v>
          </cell>
        </row>
        <row r="320">
          <cell r="AH320" t="str">
            <v>CARMEN DEL DARIEN</v>
          </cell>
        </row>
        <row r="321">
          <cell r="AH321" t="str">
            <v>CAROLINA DEL PRINCIPE</v>
          </cell>
        </row>
        <row r="322">
          <cell r="AH322" t="str">
            <v>CARTAGENA DE INDIAS, DISTRITO TURISTICO Y CULTURAL</v>
          </cell>
        </row>
        <row r="323">
          <cell r="AH323" t="str">
            <v>CARTAGENA DEL CHAIRÁ</v>
          </cell>
        </row>
        <row r="324">
          <cell r="AH324" t="str">
            <v>CARTAGO</v>
          </cell>
        </row>
        <row r="325">
          <cell r="AH325" t="str">
            <v>CARURU</v>
          </cell>
        </row>
        <row r="326">
          <cell r="AH326" t="str">
            <v>CASA DE LA CULTURA  PIEDRA DEL SOL  -FLORIDABLANCA</v>
          </cell>
        </row>
        <row r="327">
          <cell r="AH327" t="str">
            <v>CASA DE LA CULTURA DE SAN JUAN NEPOMUCENO</v>
          </cell>
        </row>
        <row r="328">
          <cell r="AH328" t="str">
            <v>CASA DE LA CULTURA JESÚS ANGEL GONZÁLEZ ARIAS JAGA</v>
          </cell>
        </row>
        <row r="329">
          <cell r="AH329" t="str">
            <v>CASA DE LA CULTURA JORGE ELIECER GAITAN</v>
          </cell>
        </row>
        <row r="330">
          <cell r="AH330" t="str">
            <v>CASA DE LA TERCERA EDAD</v>
          </cell>
        </row>
        <row r="331">
          <cell r="AH331" t="str">
            <v>CASA MUNICIPAL DE LA CULTURA DE CALDAS</v>
          </cell>
        </row>
        <row r="332">
          <cell r="AH332" t="str">
            <v>CASABIANCA</v>
          </cell>
        </row>
        <row r="333">
          <cell r="AH333" t="str">
            <v>CASTILLA LA NUEVA</v>
          </cell>
        </row>
        <row r="334">
          <cell r="AH334" t="str">
            <v>CATEDRAL DE SAL DE ZIPAQUIRA S.A. S.E.M.</v>
          </cell>
        </row>
        <row r="335">
          <cell r="AH335" t="str">
            <v>CAUCASIA</v>
          </cell>
        </row>
        <row r="336">
          <cell r="AH336" t="str">
            <v>CENIT TRANSPORTE Y LOGÍSTICA DE HIDROCARBUROS S.A.S.</v>
          </cell>
        </row>
        <row r="337">
          <cell r="AH337" t="str">
            <v>CENTRAL DE ABASTOS DE BUCARAMANGA S.A.</v>
          </cell>
        </row>
        <row r="338">
          <cell r="AH338" t="str">
            <v>CENTRAL DE ABASTOS DE CUCUTA</v>
          </cell>
        </row>
        <row r="339">
          <cell r="AH339" t="str">
            <v>CENTRAL DE INVERSIONES S.A.</v>
          </cell>
        </row>
        <row r="340">
          <cell r="AH340" t="str">
            <v>CENTRAL DE TRANSPORTES DE SANTA MARTA LTDA.</v>
          </cell>
        </row>
        <row r="341">
          <cell r="AH341" t="str">
            <v>CENTRAL DE TRANSPORTES DE TULUA S.A.</v>
          </cell>
        </row>
        <row r="342">
          <cell r="AH342" t="str">
            <v>CENTRAL DE TRANSPORTES ESTACION CUCUTA</v>
          </cell>
        </row>
        <row r="343">
          <cell r="AH343" t="str">
            <v>CENTRAL HIDROELECTRICA DE CALDAS S. A. --E.S.P.-</v>
          </cell>
        </row>
        <row r="344">
          <cell r="AH344" t="str">
            <v>CENTRAL TERMINAL DE TRANSPORTES DE MAICAO S.A.</v>
          </cell>
        </row>
        <row r="345">
          <cell r="AH345" t="str">
            <v>CENTRALES DE TRANSPORTES S.A.</v>
          </cell>
        </row>
        <row r="346">
          <cell r="AH346" t="str">
            <v>CENTRALES ELECTRICAS DE NARIÑO S. A. ESP</v>
          </cell>
        </row>
        <row r="347">
          <cell r="AH347" t="str">
            <v>CENTRALES ELECTRICAS DE NORTE DE SANTANDER S.A.-E.S.P.</v>
          </cell>
        </row>
        <row r="348">
          <cell r="AH348" t="str">
            <v>CENTRALES ELECTRICAS DEL CAUCA S. A. -E.S.P.-</v>
          </cell>
        </row>
        <row r="349">
          <cell r="AH349" t="str">
            <v>CENTRO BOLIVARIANO DE EDUCACION SUPERIOR INSTITUCION UNIVERSITARIA DE SOACHA - EN LIQUIDACION</v>
          </cell>
        </row>
        <row r="350">
          <cell r="AH350" t="str">
            <v>CENTRO COMERCIAL MUNICIPAL LA PERDIZ</v>
          </cell>
        </row>
        <row r="351">
          <cell r="AH351" t="str">
            <v>CENTRO CULTURAL BACATÁ DE FUNZA</v>
          </cell>
        </row>
        <row r="352">
          <cell r="AH352" t="str">
            <v>CENTRO CULTURAL DE EXPOSICIONES Y CONVENCIONES POLEKA KASUE SOCIEDAD DE ECONOMÍA MIXTA S.A.S.</v>
          </cell>
        </row>
        <row r="353">
          <cell r="AH353" t="str">
            <v>CENTRO DE BIENESTAR DEL ANCIANO SAN ANTONIO - SONSÓN</v>
          </cell>
        </row>
        <row r="354">
          <cell r="AH354" t="str">
            <v>CENTRO DE DESARROLLO HUMANO INTEGRAL EL GUARCEÑITO S.A.</v>
          </cell>
        </row>
        <row r="355">
          <cell r="AH355" t="str">
            <v>CENTRO DE DIAGNOSTICO AUTOMOTOR DE CALDAS LTDA.</v>
          </cell>
        </row>
        <row r="356">
          <cell r="AH356" t="str">
            <v>CENTRO DE DIAGNOSTICO AUTOMOTOR DE CARTAGO LTDA.</v>
          </cell>
        </row>
        <row r="357">
          <cell r="AH357" t="str">
            <v>CENTRO DE DIAGNOSTICO AUTOMOTOR DE CUCUTA LTDA.</v>
          </cell>
        </row>
        <row r="358">
          <cell r="AH358" t="str">
            <v>CENTRO DE DIAGNOSTICO AUTOMOTOR DE NARIÑO LTDA.</v>
          </cell>
        </row>
        <row r="359">
          <cell r="AH359" t="str">
            <v>CENTRO DE DIAGNOSTICO AUTOMOTOR DE PALMIRA</v>
          </cell>
        </row>
        <row r="360">
          <cell r="AH360" t="str">
            <v>CENTRO DE DIAGNOSTICO AUTOMOTOR DE POPAYAN LTDA.</v>
          </cell>
        </row>
        <row r="361">
          <cell r="AH361" t="str">
            <v>CENTRO DE DIAGNOSTICO AUTOMOTOR DE RISARALDA S.A.</v>
          </cell>
        </row>
        <row r="362">
          <cell r="AH362" t="str">
            <v>CENTRO DE DIAGNOSTICO AUTOMOTOR DE TULUA LTDA.</v>
          </cell>
        </row>
        <row r="363">
          <cell r="AH363" t="str">
            <v>CENTRO DE DIAGNOSTICO AUTOMOTOR DEL TOLIMA LTDA.- EN LIQUIDACION</v>
          </cell>
        </row>
        <row r="364">
          <cell r="AH364" t="str">
            <v>CENTRO DE DIAGNOSTICO AUTOMOTOR DEL VALLE LTDA.</v>
          </cell>
        </row>
        <row r="365">
          <cell r="AH365" t="str">
            <v>CENTRO DE FORMACION INTEGRAL PARA EL TRABAJO - ENVIGADO</v>
          </cell>
        </row>
        <row r="366">
          <cell r="AH366" t="str">
            <v>CENTRO DE HABILITACIÓN DEL NIÑO -CEHANI-</v>
          </cell>
        </row>
        <row r="367">
          <cell r="AH367" t="str">
            <v>CENTRO DE MEMORIA HISTORICA</v>
          </cell>
        </row>
        <row r="368">
          <cell r="AH368" t="str">
            <v>CENTRO DE SALUD ALCIDES JIMENEZ - PUERTO CAICEDO</v>
          </cell>
        </row>
        <row r="369">
          <cell r="AH369" t="str">
            <v>CENTRO DE SALUD PESCA UNIDAD ADMINISTRATIVA ESPECIAL - BOYACA</v>
          </cell>
        </row>
        <row r="370">
          <cell r="AH370" t="str">
            <v>CENTRO DE SALUD SAN GABRIEL ARCÁNGEL - VILLAGARZÓN</v>
          </cell>
        </row>
        <row r="371">
          <cell r="AH371" t="str">
            <v>CENTRO DE SALUD SANTO DOMINGO SAVIO</v>
          </cell>
        </row>
        <row r="372">
          <cell r="AH372" t="str">
            <v>CENTRO DIAGNOSTICO AUTOMOTOR SAN JUAN DE PASTO</v>
          </cell>
        </row>
        <row r="373">
          <cell r="AH373" t="str">
            <v>CENTRO REGIONAL DE EDUCACION  DE OROCUE</v>
          </cell>
        </row>
        <row r="374">
          <cell r="AH374" t="str">
            <v>CENTRO REGIONAL DE NEGOCIOS, SERVICIOS Y EXPOSICIONES DE TULUA S.A.</v>
          </cell>
        </row>
        <row r="375">
          <cell r="AH375" t="str">
            <v>CENTRO TECNOLOGICO DE CUCUTA</v>
          </cell>
        </row>
        <row r="376">
          <cell r="AH376" t="str">
            <v>CENTRO TURISTICO AMBIAKU S.A.</v>
          </cell>
        </row>
        <row r="377">
          <cell r="AH377" t="str">
            <v>CEPITÁ</v>
          </cell>
        </row>
        <row r="378">
          <cell r="AH378" t="str">
            <v>CERETÉ</v>
          </cell>
        </row>
        <row r="379">
          <cell r="AH379" t="str">
            <v>CERINZA</v>
          </cell>
        </row>
        <row r="380">
          <cell r="AH380" t="str">
            <v>CERRITO</v>
          </cell>
        </row>
        <row r="381">
          <cell r="AH381" t="str">
            <v>CERRO DE SAN ANTONIO</v>
          </cell>
        </row>
        <row r="382">
          <cell r="AH382" t="str">
            <v>CERTEGUÍ</v>
          </cell>
        </row>
        <row r="383">
          <cell r="AH383" t="str">
            <v>CHACHAGüÍ</v>
          </cell>
        </row>
        <row r="384">
          <cell r="AH384" t="str">
            <v>CHAGUANÍ</v>
          </cell>
        </row>
        <row r="385">
          <cell r="AH385" t="str">
            <v>CHALÁN</v>
          </cell>
        </row>
        <row r="386">
          <cell r="AH386" t="str">
            <v>CHÁMEZA</v>
          </cell>
        </row>
        <row r="387">
          <cell r="AH387" t="str">
            <v>CHAPARRAL</v>
          </cell>
        </row>
        <row r="388">
          <cell r="AH388" t="str">
            <v>CHARALÁ</v>
          </cell>
        </row>
        <row r="389">
          <cell r="AH389" t="str">
            <v>CHARTA</v>
          </cell>
        </row>
        <row r="390">
          <cell r="AH390" t="str">
            <v>CHIA</v>
          </cell>
        </row>
        <row r="391">
          <cell r="AH391" t="str">
            <v>CHIGORODÓ</v>
          </cell>
        </row>
        <row r="392">
          <cell r="AH392" t="str">
            <v>CHIMÁ - CORDOBA</v>
          </cell>
        </row>
        <row r="393">
          <cell r="AH393" t="str">
            <v>CHIMA - SANTANDER</v>
          </cell>
        </row>
        <row r="394">
          <cell r="AH394" t="str">
            <v>CHIMICHAGUA</v>
          </cell>
        </row>
        <row r="395">
          <cell r="AH395" t="str">
            <v>CHINÁCOTA</v>
          </cell>
        </row>
        <row r="396">
          <cell r="AH396" t="str">
            <v>CHINAVITA</v>
          </cell>
        </row>
        <row r="397">
          <cell r="AH397" t="str">
            <v>CHINCHINÁ</v>
          </cell>
        </row>
        <row r="398">
          <cell r="AH398" t="str">
            <v>CHINÚ</v>
          </cell>
        </row>
        <row r="399">
          <cell r="AH399" t="str">
            <v>CHIPAQUE</v>
          </cell>
        </row>
        <row r="400">
          <cell r="AH400" t="str">
            <v>CHIPATÁ</v>
          </cell>
        </row>
        <row r="401">
          <cell r="AH401" t="str">
            <v>CHIQUINQUIRÁ</v>
          </cell>
        </row>
        <row r="402">
          <cell r="AH402" t="str">
            <v>CHÍQUIZA (SAN PEDRO DE IGUAQUE)</v>
          </cell>
        </row>
        <row r="403">
          <cell r="AH403" t="str">
            <v>CHIRIGUANÁ</v>
          </cell>
        </row>
        <row r="404">
          <cell r="AH404" t="str">
            <v>CHISCAS</v>
          </cell>
        </row>
        <row r="405">
          <cell r="AH405" t="str">
            <v>CHITA</v>
          </cell>
        </row>
        <row r="406">
          <cell r="AH406" t="str">
            <v>CHITAGÁ</v>
          </cell>
        </row>
        <row r="407">
          <cell r="AH407" t="str">
            <v>CHITARAQUE</v>
          </cell>
        </row>
        <row r="408">
          <cell r="AH408" t="str">
            <v>CHIVATÁ</v>
          </cell>
        </row>
        <row r="409">
          <cell r="AH409" t="str">
            <v>CHIVOLO</v>
          </cell>
        </row>
        <row r="410">
          <cell r="AH410" t="str">
            <v>CHIVOR</v>
          </cell>
        </row>
        <row r="411">
          <cell r="AH411" t="str">
            <v>CHOACHÍ</v>
          </cell>
        </row>
        <row r="412">
          <cell r="AH412" t="str">
            <v>CHOCONTÁ</v>
          </cell>
        </row>
        <row r="413">
          <cell r="AH413" t="str">
            <v>CICUCO</v>
          </cell>
        </row>
        <row r="414">
          <cell r="AH414" t="str">
            <v>CIÉNAGA</v>
          </cell>
        </row>
        <row r="415">
          <cell r="AH415" t="str">
            <v>CIÉNAGA DE ORO</v>
          </cell>
        </row>
        <row r="416">
          <cell r="AH416" t="str">
            <v>CIÉNEGA - BOYACA</v>
          </cell>
        </row>
        <row r="417">
          <cell r="AH417" t="str">
            <v>CIMITARRA</v>
          </cell>
        </row>
        <row r="418">
          <cell r="AH418" t="str">
            <v>CIRCASIA</v>
          </cell>
        </row>
        <row r="419">
          <cell r="AH419" t="str">
            <v>CISNEROS</v>
          </cell>
        </row>
        <row r="420">
          <cell r="AH420" t="str">
            <v>CIUDAD BOLIVAR</v>
          </cell>
        </row>
        <row r="421">
          <cell r="AH421" t="str">
            <v>CLEMENCIA</v>
          </cell>
        </row>
        <row r="422">
          <cell r="AH422" t="str">
            <v>CLUB MILITAR DE OFICIALES</v>
          </cell>
        </row>
        <row r="423">
          <cell r="AH423" t="str">
            <v>COCORNÁ</v>
          </cell>
        </row>
        <row r="424">
          <cell r="AH424" t="str">
            <v>COELLO</v>
          </cell>
        </row>
        <row r="425">
          <cell r="AH425" t="str">
            <v>COGUA</v>
          </cell>
        </row>
        <row r="426">
          <cell r="AH426" t="str">
            <v>COLEGIO DE BOYACA</v>
          </cell>
        </row>
        <row r="427">
          <cell r="AH427" t="str">
            <v>COLEGIO INTEGRADO NACIONAL ORIENTE DE CALDAS</v>
          </cell>
        </row>
        <row r="428">
          <cell r="AH428" t="str">
            <v>COLEGIO MAYOR DE ANTIOQUIA</v>
          </cell>
        </row>
        <row r="429">
          <cell r="AH429" t="str">
            <v>COLEGIO MAYOR DE BOLIVAR</v>
          </cell>
        </row>
        <row r="430">
          <cell r="AH430" t="str">
            <v>COLEGIO MAYOR DEL CAUCA</v>
          </cell>
        </row>
        <row r="431">
          <cell r="AH431" t="str">
            <v>COLOMBIA</v>
          </cell>
        </row>
        <row r="432">
          <cell r="AH432" t="str">
            <v>COLÓN - PUTUMAYO</v>
          </cell>
        </row>
        <row r="433">
          <cell r="AH433" t="str">
            <v>COLÓN (GÉNOVA) - NARIÑO</v>
          </cell>
        </row>
        <row r="434">
          <cell r="AH434" t="str">
            <v>COLOSÓ (RICAURTE)</v>
          </cell>
        </row>
        <row r="435">
          <cell r="AH435" t="str">
            <v>COLPENSIONES - FONDO DE INVALIDEZ</v>
          </cell>
        </row>
        <row r="436">
          <cell r="AH436" t="str">
            <v>COLPENSIONES - FONDO DE SOBREVIVIENTES</v>
          </cell>
        </row>
        <row r="437">
          <cell r="AH437" t="str">
            <v>COLPENSIONES - FONDO DE VEJEZ</v>
          </cell>
        </row>
        <row r="438">
          <cell r="AH438" t="str">
            <v>COLPENSIONES - SISTEMA DE AHORRO DE BENEFICIOS PERIÓDICOS</v>
          </cell>
        </row>
        <row r="439">
          <cell r="AH439" t="str">
            <v>CÓMBITA</v>
          </cell>
        </row>
        <row r="440">
          <cell r="AH440" t="str">
            <v>COMERCIALIZADORA E INTRODUCTORA DE LICORES DE RISARALDA</v>
          </cell>
        </row>
        <row r="441">
          <cell r="AH441" t="str">
            <v>COMERCIALIZADORA LÍDER DEL ORIENTE - COLIDER</v>
          </cell>
        </row>
        <row r="442">
          <cell r="AH442" t="str">
            <v>COMERCIALIZADORA LOTTIRED S.A.S.</v>
          </cell>
        </row>
        <row r="443">
          <cell r="AH443" t="str">
            <v>COMERCIALIZADORA MERCABASTOS</v>
          </cell>
        </row>
        <row r="444">
          <cell r="AH444" t="str">
            <v>COMISION DE REGULACION DE COMUNICACIONES</v>
          </cell>
        </row>
        <row r="445">
          <cell r="AH445" t="str">
            <v>COMISION DE REGULACION DE ENERGIA Y GAS</v>
          </cell>
        </row>
        <row r="446">
          <cell r="AH446" t="str">
            <v>COMISION DE REGULACION EN SALUD</v>
          </cell>
        </row>
        <row r="447">
          <cell r="AH447" t="str">
            <v>COMISION NACIONAL DE TELEVISION - EN LIQUIDACION</v>
          </cell>
        </row>
        <row r="448">
          <cell r="AH448" t="str">
            <v>COMISIÓN NACIONAL DEL SERVICIO CIVIL</v>
          </cell>
        </row>
        <row r="449">
          <cell r="AH449" t="str">
            <v>COMISION REGULADORA DE AGUA POTABLE Y SANEAMIENTO BASICO</v>
          </cell>
        </row>
        <row r="450">
          <cell r="AH450" t="str">
            <v>COMPOUNDING AND MASTERBATCHING INDUSTRY LIMITADA</v>
          </cell>
        </row>
        <row r="451">
          <cell r="AH451" t="str">
            <v>CONCEPCIÓN - ANTIOQUIA</v>
          </cell>
        </row>
        <row r="452">
          <cell r="AH452" t="str">
            <v>CONCEPCIÓN - SANTANDER</v>
          </cell>
        </row>
        <row r="453">
          <cell r="AH453" t="str">
            <v>CONCORDIA - ANTIOQUIA</v>
          </cell>
        </row>
        <row r="454">
          <cell r="AH454" t="str">
            <v>CONCORDIA - MAGDALENA</v>
          </cell>
        </row>
        <row r="455">
          <cell r="AH455" t="str">
            <v>CONDOTO</v>
          </cell>
        </row>
        <row r="456">
          <cell r="AH456" t="str">
            <v>CONFINES</v>
          </cell>
        </row>
        <row r="457">
          <cell r="AH457" t="str">
            <v>CONSACÁ</v>
          </cell>
        </row>
        <row r="458">
          <cell r="AH458" t="str">
            <v>CONSEJO NACIONAL DE ARQUITECTURA</v>
          </cell>
        </row>
        <row r="459">
          <cell r="AH459" t="str">
            <v>CONSEJO NACIONAL PROFESIONAL DE ECONOMIA</v>
          </cell>
        </row>
        <row r="460">
          <cell r="AH460" t="str">
            <v>CONSEJO PROFESIONAL NACIONAL DE INGENIERIA</v>
          </cell>
        </row>
        <row r="461">
          <cell r="AH461" t="str">
            <v>CONSEJO SUPERIOR DE LA JUDICATURA</v>
          </cell>
        </row>
        <row r="462">
          <cell r="AH462" t="str">
            <v>CONSERVATORIO DEL TOLIMA</v>
          </cell>
        </row>
        <row r="463">
          <cell r="AH463" t="str">
            <v>CONSORCIO FIDUPENSIONES TELECOM</v>
          </cell>
        </row>
        <row r="464">
          <cell r="AH464" t="str">
            <v>CONTADERO</v>
          </cell>
        </row>
        <row r="465">
          <cell r="AH465" t="str">
            <v>CONTRALORIA GENERAL DE LA REPUBLICA</v>
          </cell>
        </row>
        <row r="466">
          <cell r="AH466" t="str">
            <v>CONTRATACIÓN</v>
          </cell>
        </row>
        <row r="467">
          <cell r="AH467" t="str">
            <v>CONVENCIÓN</v>
          </cell>
        </row>
        <row r="468">
          <cell r="AH468" t="str">
            <v>COOPERATIVA DE ASOCIACION DE MUNICIPIOS DEL TOLIMA LTDA.</v>
          </cell>
        </row>
        <row r="469">
          <cell r="AH469" t="str">
            <v>COOPERATIVA DE MUNICIPALIDADES DE ANTIOQUIA - EN LIQUIDACION</v>
          </cell>
        </row>
        <row r="470">
          <cell r="AH470" t="str">
            <v>COOPERATIVA DE ORGANISMOS DE SALUD DE BOYACA</v>
          </cell>
        </row>
        <row r="471">
          <cell r="AH471" t="str">
            <v>COPACABANA</v>
          </cell>
        </row>
        <row r="472">
          <cell r="AH472" t="str">
            <v>COPER</v>
          </cell>
        </row>
        <row r="473">
          <cell r="AH473" t="str">
            <v>CÓRDOBA - BOLIVAR</v>
          </cell>
        </row>
        <row r="474">
          <cell r="AH474" t="str">
            <v>CÓRDOBA - NARIÑO</v>
          </cell>
        </row>
        <row r="475">
          <cell r="AH475" t="str">
            <v>CÓRDOBA - QUINDIO</v>
          </cell>
        </row>
        <row r="476">
          <cell r="AH476" t="str">
            <v>CORINTO</v>
          </cell>
        </row>
        <row r="477">
          <cell r="AH477" t="str">
            <v>COROMORO</v>
          </cell>
        </row>
        <row r="478">
          <cell r="AH478" t="str">
            <v>COROZAL</v>
          </cell>
        </row>
        <row r="479">
          <cell r="AH479" t="str">
            <v>CORPORACION AGENCIA DE DESARROLLO ECONOMICO LOCAL DE LA PROVINCIA DE VELEZ Y SU AREA DE INFLUENCIA</v>
          </cell>
        </row>
        <row r="480">
          <cell r="AH480" t="str">
            <v>CORPORACION AUTONOMA REGIONAL DE BOYACA</v>
          </cell>
        </row>
        <row r="481">
          <cell r="AH481" t="str">
            <v>CORPORACION AUTONOMA REGIONAL DE CALDAS</v>
          </cell>
        </row>
        <row r="482">
          <cell r="AH482" t="str">
            <v>CORPORACION AUTONOMA REGIONAL DE CHIVOR</v>
          </cell>
        </row>
        <row r="483">
          <cell r="AH483" t="str">
            <v>CORPORACION AUTONOMA REGIONAL DE CUNDINAMARCA</v>
          </cell>
        </row>
        <row r="484">
          <cell r="AH484" t="str">
            <v>CORPORACION AUTONOMA REGIONAL DE DEFENSA DE LA MESETA DE BUCARAMANGA</v>
          </cell>
        </row>
        <row r="485">
          <cell r="AH485" t="str">
            <v>CORPORACION AUTONOMA REGIONAL DE LA FRONTERA NORORIENTAL</v>
          </cell>
        </row>
        <row r="486">
          <cell r="AH486" t="str">
            <v>CORPORACION AUTONOMA REGIONAL DE LA GUAJIRA</v>
          </cell>
        </row>
        <row r="487">
          <cell r="AH487" t="str">
            <v>CORPORACION AUTONOMA REGIONAL DE LA ORINOQUIA</v>
          </cell>
        </row>
        <row r="488">
          <cell r="AH488" t="str">
            <v>CORPORACION AUTONOMA REGIONAL DE LAS CUENCAS DE LOS RIOS RIONEGRO Y NARE</v>
          </cell>
        </row>
        <row r="489">
          <cell r="AH489" t="str">
            <v>CORPORACION AUTONOMA REGIONAL DE LOS VALLES DEL SINU Y SAN JORGE</v>
          </cell>
        </row>
        <row r="490">
          <cell r="AH490" t="str">
            <v>CORPORACION AUTONOMA REGIONAL DE NARIÑO</v>
          </cell>
        </row>
        <row r="491">
          <cell r="AH491" t="str">
            <v>CORPORACION AUTONOMA REGIONAL DE RISARALDA</v>
          </cell>
        </row>
        <row r="492">
          <cell r="AH492" t="str">
            <v>CORPORACION AUTONOMA REGIONAL DE SANTANDER</v>
          </cell>
        </row>
        <row r="493">
          <cell r="AH493" t="str">
            <v>CORPORACION AUTONOMA REGIONAL DE SUCRE</v>
          </cell>
        </row>
        <row r="494">
          <cell r="AH494" t="str">
            <v>CORPORACION AUTONOMA REGIONAL DEL ALTO MAGDALENA</v>
          </cell>
        </row>
        <row r="495">
          <cell r="AH495" t="str">
            <v>CORPORACION AUTONOMA REGIONAL DEL ATLANTICO</v>
          </cell>
        </row>
        <row r="496">
          <cell r="AH496" t="str">
            <v>CORPORACION AUTONOMA REGIONAL DEL CANAL DEL DIQUE</v>
          </cell>
        </row>
        <row r="497">
          <cell r="AH497" t="str">
            <v>CORPORACION AUTONOMA REGIONAL DEL CAUCA</v>
          </cell>
        </row>
        <row r="498">
          <cell r="AH498" t="str">
            <v>CORPORACION AUTONOMA REGIONAL DEL CENTRO DE ANTIOQUIA</v>
          </cell>
        </row>
        <row r="499">
          <cell r="AH499" t="str">
            <v>CORPORACION AUTONOMA REGIONAL DEL CESAR</v>
          </cell>
        </row>
        <row r="500">
          <cell r="AH500" t="str">
            <v>CORPORACION AUTONOMA REGIONAL DEL GUAVIO</v>
          </cell>
        </row>
        <row r="501">
          <cell r="AH501" t="str">
            <v>CORPORACION AUTONOMA REGIONAL DEL MAGDALENA</v>
          </cell>
        </row>
        <row r="502">
          <cell r="AH502" t="str">
            <v>CORPORACION AUTONOMA REGIONAL DEL QUINDIO</v>
          </cell>
        </row>
        <row r="503">
          <cell r="AH503" t="str">
            <v>CORPORACION AUTONOMA REGIONAL DEL RIO GRANDE DE LA MAGDALENA</v>
          </cell>
        </row>
        <row r="504">
          <cell r="AH504" t="str">
            <v>CORPORACION AUTONOMA REGIONAL DEL SUR DE BOLIVAR</v>
          </cell>
        </row>
        <row r="505">
          <cell r="AH505" t="str">
            <v>CORPORACION AUTONOMA REGIONAL DEL TOLIMA</v>
          </cell>
        </row>
        <row r="506">
          <cell r="AH506" t="str">
            <v>CORPORACION AUTONOMA REGIONAL DEL VALLE DEL CAUCA</v>
          </cell>
        </row>
        <row r="507">
          <cell r="AH507" t="str">
            <v>CORPORACION AUTONOMA REGIONAL PARA EL DESARROLLO SOSTENIBLE DEL CHOCO</v>
          </cell>
        </row>
        <row r="508">
          <cell r="AH508" t="str">
            <v>CORPORACION CENTRO HISTÓRICO DE SANTA MARTA - EN LIQUIDACION</v>
          </cell>
        </row>
        <row r="509">
          <cell r="AH509" t="str">
            <v>CORPORACION COLOMBIANA DE INVESTIGACION AGROPECUARIA</v>
          </cell>
        </row>
        <row r="510">
          <cell r="AH510" t="str">
            <v>CORPORACION CULTURAL MUNICIPAL DE VILLAVICENCIO - META</v>
          </cell>
        </row>
        <row r="511">
          <cell r="AH511" t="str">
            <v>CORPORACION DE ABASTECIMIENTOS DEL VALLE DEL CAUCA S.A.</v>
          </cell>
        </row>
        <row r="512">
          <cell r="AH512" t="str">
            <v>CORPORACION DE CIENCIA Y TECNOLOGIA PARA EL DESARROLLO DE LA INDUSTRIA NAVAL MARITIMA Y FLUVIAL</v>
          </cell>
        </row>
        <row r="513">
          <cell r="AH513" t="str">
            <v>CORPORACIÓN DE DESARROLLO DE CHIQUINQUIRA</v>
          </cell>
        </row>
        <row r="514">
          <cell r="AH514" t="str">
            <v>CORPORACIÓN DE EVENTOS, FERIAS Y ESPECTACULOS DE CALI</v>
          </cell>
        </row>
        <row r="515">
          <cell r="AH515" t="str">
            <v>CORPORACION DE LA INDUSTRIA AERONAUTICA COLOMBIANA S.A.</v>
          </cell>
        </row>
        <row r="516">
          <cell r="AH516" t="str">
            <v>CORPORACION DE LOS CENTROS DE CONVENCIONES Y EXPOSICIONES DE COLOMBIA</v>
          </cell>
        </row>
        <row r="517">
          <cell r="AH517" t="str">
            <v>CORPORACION DEPARTAMENTAL DE RECREACION</v>
          </cell>
        </row>
        <row r="518">
          <cell r="AH518" t="str">
            <v>CORPORACIÓN DEPORTIVA  CENTENARIO DE PEREIRA</v>
          </cell>
        </row>
        <row r="519">
          <cell r="AH519" t="str">
            <v>CORPORACION ELECTRICA DE LA COSTA ATLANTICA S.A. - EN LIQUIDACION</v>
          </cell>
        </row>
        <row r="520">
          <cell r="AH520" t="str">
            <v>CORPORACION FORESTAL DE NARIÑO S.A. - EN LIQUIDACION</v>
          </cell>
        </row>
        <row r="521">
          <cell r="AH521" t="str">
            <v>CORPORACION MANZANAS DEL SABER</v>
          </cell>
        </row>
        <row r="522">
          <cell r="AH522" t="str">
            <v>CORPORACION MUNICIPAL DE CULTURA DE ARMENIA</v>
          </cell>
        </row>
        <row r="523">
          <cell r="AH523" t="str">
            <v>CORPORACION NACIONAL PARA LA RECONSTRUCCION DEL RIO PAEZ Y ZONAS ALEDAÑAS NASA KI WI</v>
          </cell>
        </row>
        <row r="524">
          <cell r="AH524" t="str">
            <v>CORPORACION PARA EL DESARROLLO SOSTENIBLE DE LA MACARENA</v>
          </cell>
        </row>
        <row r="525">
          <cell r="AH525" t="str">
            <v>CORPORACION PARA EL DESARROLLO SOSTENIBLE DE LA MOJANA Y EL SAN JORGE</v>
          </cell>
        </row>
        <row r="526">
          <cell r="AH526" t="str">
            <v>CORPORACION PARA EL DESARROLLO SOSTENIBLE DE URABA</v>
          </cell>
        </row>
        <row r="527">
          <cell r="AH527" t="str">
            <v>CORPORACION PARA EL DESARROLLO SOSTENIBLE DEL ARCHIPIELAGO DE  SAN ANDRES, PROVIDENCIA Y SANTA CATALINA</v>
          </cell>
        </row>
        <row r="528">
          <cell r="AH528" t="str">
            <v>CORPORACION PARA EL DESARROLLO SOSTENIBLE DEL NORTE Y EL ORIENTE AMAZONICO</v>
          </cell>
        </row>
        <row r="529">
          <cell r="AH529" t="str">
            <v>CORPORACION PARA EL DESARROLLO SOSTENIBLE DEL SUR DE LA AMAZONIA</v>
          </cell>
        </row>
        <row r="530">
          <cell r="AH530" t="str">
            <v>CORPORACION PARA EL DESARROLLO Y LA PRODUCTIVIDAD DE BOGOTA REGION</v>
          </cell>
        </row>
        <row r="531">
          <cell r="AH531" t="str">
            <v>CORPORACION PARA EL DESARROLLO,  APROPIACION Y APROVECHAMIENTO DE LAS TECNOLOGIAS DE LA INFORMACION Y LAS COMUNICACIONES</v>
          </cell>
        </row>
        <row r="532">
          <cell r="AH532" t="str">
            <v>CORPORACIÓN PARA LA RECREACIÓN POPULAR - EL CAIRO</v>
          </cell>
        </row>
        <row r="533">
          <cell r="AH533" t="str">
            <v>CORPORACIÓN PARA LA RECREACIÓN POPULAR DE AGUILA</v>
          </cell>
        </row>
        <row r="534">
          <cell r="AH534" t="str">
            <v>CORPORACIÓN PRODESARROLLO Y SEGURIDAD DEL MUNICIPIO DE GIRARDOT</v>
          </cell>
        </row>
        <row r="535">
          <cell r="AH535" t="str">
            <v>CORPORACIÓN SOCIAL DE CUNDINAMARCA</v>
          </cell>
        </row>
        <row r="536">
          <cell r="AH536" t="str">
            <v>CORPORACION TREN TURISTICO CAFÉ Y AZÚCAR</v>
          </cell>
        </row>
        <row r="537">
          <cell r="AH537" t="str">
            <v>CORPORACION VALLECAUCANA DE LAS CUENCAS HIDROGRAFICAS Y EL MEDIO AMBIENTE</v>
          </cell>
        </row>
        <row r="538">
          <cell r="AH538" t="str">
            <v>CORRALES</v>
          </cell>
        </row>
        <row r="539">
          <cell r="AH539" t="str">
            <v>COTA</v>
          </cell>
        </row>
        <row r="540">
          <cell r="AH540" t="str">
            <v>COTORRA</v>
          </cell>
        </row>
        <row r="541">
          <cell r="AH541" t="str">
            <v>COVARACHÍA</v>
          </cell>
        </row>
        <row r="542">
          <cell r="AH542" t="str">
            <v>COVEÑAS</v>
          </cell>
        </row>
        <row r="543">
          <cell r="AH543" t="str">
            <v>COYAIMA</v>
          </cell>
        </row>
        <row r="544">
          <cell r="AH544" t="str">
            <v>CRAVO NORTE</v>
          </cell>
        </row>
        <row r="545">
          <cell r="AH545" t="str">
            <v>CUASPUD (CARLOSAMA)</v>
          </cell>
        </row>
        <row r="546">
          <cell r="AH546" t="str">
            <v>CUBARÁ</v>
          </cell>
        </row>
        <row r="547">
          <cell r="AH547" t="str">
            <v>CUBARRAL</v>
          </cell>
        </row>
        <row r="548">
          <cell r="AH548" t="str">
            <v>CUCAITA</v>
          </cell>
        </row>
        <row r="549">
          <cell r="AH549" t="str">
            <v>CUCUNUBÁ</v>
          </cell>
        </row>
        <row r="550">
          <cell r="AH550" t="str">
            <v>CUCUTILLA</v>
          </cell>
        </row>
        <row r="551">
          <cell r="AH551" t="str">
            <v>CUERPO DE BOMBEROS OFICIAL DE MONTERIA</v>
          </cell>
        </row>
        <row r="552">
          <cell r="AH552" t="str">
            <v>CUERPO OFICIAL DE BOMBEROS - DOSQUEBRADAS</v>
          </cell>
        </row>
        <row r="553">
          <cell r="AH553" t="str">
            <v>CUÍTIVA</v>
          </cell>
        </row>
        <row r="554">
          <cell r="AH554" t="str">
            <v>CUMARAL</v>
          </cell>
        </row>
        <row r="555">
          <cell r="AH555" t="str">
            <v>CUMARIBO</v>
          </cell>
        </row>
        <row r="556">
          <cell r="AH556" t="str">
            <v>CUMBAL</v>
          </cell>
        </row>
        <row r="557">
          <cell r="AH557" t="str">
            <v>CUMBITARA</v>
          </cell>
        </row>
        <row r="558">
          <cell r="AH558" t="str">
            <v>CUNDAY</v>
          </cell>
        </row>
        <row r="559">
          <cell r="AH559" t="str">
            <v>CURILLO</v>
          </cell>
        </row>
        <row r="560">
          <cell r="AH560" t="str">
            <v>CURITÍ</v>
          </cell>
        </row>
        <row r="561">
          <cell r="AH561" t="str">
            <v>CURUMANÍ</v>
          </cell>
        </row>
        <row r="562">
          <cell r="AH562" t="str">
            <v>DABEIBA</v>
          </cell>
        </row>
        <row r="563">
          <cell r="AH563" t="str">
            <v>DAGUA</v>
          </cell>
        </row>
        <row r="564">
          <cell r="AH564" t="str">
            <v>DEFENSA CIVIL COLOMBIANA</v>
          </cell>
        </row>
        <row r="565">
          <cell r="AH565" t="str">
            <v>DEFENSORIA DEL PUEBLO</v>
          </cell>
        </row>
        <row r="566">
          <cell r="AH566" t="str">
            <v>DEPARTAMENTO ADMINISTRATIVO DE CIENCIA, TECNOLOGIA E INNOVACIÓN</v>
          </cell>
        </row>
        <row r="567">
          <cell r="AH567" t="str">
            <v>DEPARTAMENTO ADMINISTRATIVO DE LA FUNCION PUBLICA</v>
          </cell>
        </row>
        <row r="568">
          <cell r="AH568" t="str">
            <v>DEPARTAMENTO ADMINISTRATIVO DE LA PRESIDENCIA DE LA REPUBLICA</v>
          </cell>
        </row>
        <row r="569">
          <cell r="AH569" t="str">
            <v>DEPARTAMENTO ADMINISTRATIVO DE SALUD DEL CHOCO</v>
          </cell>
        </row>
        <row r="570">
          <cell r="AH570" t="str">
            <v>DEPARTAMENTO ADMINISTRATIVO DE SEGURIDAD - EN SUPRESIÓN</v>
          </cell>
        </row>
        <row r="571">
          <cell r="AH571" t="str">
            <v>DEPARTAMENTO ADMINISTRATIVO DE TRÁNSITO MUNICIPAL DE LOS PATIOS DATMP - LOS PATIOS</v>
          </cell>
        </row>
        <row r="572">
          <cell r="AH572" t="str">
            <v>DEPARTAMENTO ADMINISTRATIVO DE TRANSPORTE Y TRÁNSITO DE VILLA DEL ROSARIO</v>
          </cell>
        </row>
        <row r="573">
          <cell r="AH573" t="str">
            <v>DEPARTAMENTO ADMINISTRATIVO DEL DEPORTE, LA RECREACION, LA ACTIVIDAD FISICA Y EL APROVECHAMIENTO DEL TIEMPO LIBRE</v>
          </cell>
        </row>
        <row r="574">
          <cell r="AH574" t="str">
            <v>DEPARTAMENTO ADMINISTRATIVO NACIONAL DE ESTADISTICA</v>
          </cell>
        </row>
        <row r="575">
          <cell r="AH575" t="str">
            <v>DEPARTAMENTO ADMINISTRATIVO PARA LA PROSPERIDAD SOCIAL</v>
          </cell>
        </row>
        <row r="576">
          <cell r="AH576" t="str">
            <v>DEPARTAMENTO DE ANTIOQUIA</v>
          </cell>
        </row>
        <row r="577">
          <cell r="AH577" t="str">
            <v>DEPARTAMENTO DE BOLIVAR</v>
          </cell>
        </row>
        <row r="578">
          <cell r="AH578" t="str">
            <v>DEPARTAMENTO DE BOYACÁ</v>
          </cell>
        </row>
        <row r="579">
          <cell r="AH579" t="str">
            <v>DEPARTAMENTO DE CALDAS</v>
          </cell>
        </row>
        <row r="580">
          <cell r="AH580" t="str">
            <v>DEPARTAMENTO DE CÓRDOBA</v>
          </cell>
        </row>
        <row r="581">
          <cell r="AH581" t="str">
            <v>DEPARTAMENTO DE CUNDINAMARCA</v>
          </cell>
        </row>
        <row r="582">
          <cell r="AH582" t="str">
            <v>DEPARTAMENTO DE LA GUAJIRA</v>
          </cell>
        </row>
        <row r="583">
          <cell r="AH583" t="str">
            <v>DEPARTAMENTO DE NARIÑO</v>
          </cell>
        </row>
        <row r="584">
          <cell r="AH584" t="str">
            <v>DEPARTAMENTO DE RISARALDA</v>
          </cell>
        </row>
        <row r="585">
          <cell r="AH585" t="str">
            <v>DEPARTAMENTO DE SANTANDER</v>
          </cell>
        </row>
        <row r="586">
          <cell r="AH586" t="str">
            <v>DEPARTAMENTO DE SUCRE</v>
          </cell>
        </row>
        <row r="587">
          <cell r="AH587" t="str">
            <v>DEPARTAMENTO DEL AMAZONAS</v>
          </cell>
        </row>
        <row r="588">
          <cell r="AH588" t="str">
            <v>DEPARTAMENTO DEL ARAUCA</v>
          </cell>
        </row>
        <row r="589">
          <cell r="AH589" t="str">
            <v>DEPARTAMENTO DEL ARCHIPIÉLAGO DE SAN ANDRÉS, PROVIDENCIA Y SANTA CATALINA</v>
          </cell>
        </row>
        <row r="590">
          <cell r="AH590" t="str">
            <v>DEPARTAMENTO DEL ATLANTICO</v>
          </cell>
        </row>
        <row r="591">
          <cell r="AH591" t="str">
            <v>DEPARTAMENTO DEL CAQUETA</v>
          </cell>
        </row>
        <row r="592">
          <cell r="AH592" t="str">
            <v>DEPARTAMENTO DEL CASANARE</v>
          </cell>
        </row>
        <row r="593">
          <cell r="AH593" t="str">
            <v>DEPARTAMENTO DEL CAUCA</v>
          </cell>
        </row>
        <row r="594">
          <cell r="AH594" t="str">
            <v>DEPARTAMENTO DEL CESAR</v>
          </cell>
        </row>
        <row r="595">
          <cell r="AH595" t="str">
            <v>DEPARTAMENTO DEL CHOCO</v>
          </cell>
        </row>
        <row r="596">
          <cell r="AH596" t="str">
            <v>DEPARTAMENTO DEL GUAINIA</v>
          </cell>
        </row>
        <row r="597">
          <cell r="AH597" t="str">
            <v>DEPARTAMENTO DEL GUAVIARE</v>
          </cell>
        </row>
        <row r="598">
          <cell r="AH598" t="str">
            <v>DEPARTAMENTO DEL HUILA</v>
          </cell>
        </row>
        <row r="599">
          <cell r="AH599" t="str">
            <v>DEPARTAMENTO DEL MAGDALENA</v>
          </cell>
        </row>
        <row r="600">
          <cell r="AH600" t="str">
            <v>DEPARTAMENTO DEL META</v>
          </cell>
        </row>
        <row r="601">
          <cell r="AH601" t="str">
            <v>DEPARTAMENTO DEL NORTE DE SANTANDER</v>
          </cell>
        </row>
        <row r="602">
          <cell r="AH602" t="str">
            <v>DEPARTAMENTO DEL PUTUMAYO</v>
          </cell>
        </row>
        <row r="603">
          <cell r="AH603" t="str">
            <v>DEPARTAMENTO DEL QUINDIO</v>
          </cell>
        </row>
        <row r="604">
          <cell r="AH604" t="str">
            <v>DEPARTAMENTO DEL TOLIMA</v>
          </cell>
        </row>
        <row r="605">
          <cell r="AH605" t="str">
            <v>DEPARTAMENTO DEL VALLE DEL CAUCA</v>
          </cell>
        </row>
        <row r="606">
          <cell r="AH606" t="str">
            <v>DEPARTAMENTO DEL VAUPES</v>
          </cell>
        </row>
        <row r="607">
          <cell r="AH607" t="str">
            <v>DEPARTAMENTO DEL VICHADA</v>
          </cell>
        </row>
        <row r="608">
          <cell r="AH608" t="str">
            <v>DEPARTAMENTO NACIONAL DE PLANEACION</v>
          </cell>
        </row>
        <row r="609">
          <cell r="AH609" t="str">
            <v>DEUDA PÚBLICA NACIÓN</v>
          </cell>
        </row>
        <row r="610">
          <cell r="AH610" t="str">
            <v>DIBULLA</v>
          </cell>
        </row>
        <row r="611">
          <cell r="AH611" t="str">
            <v>DIRECCIÓN DE ADMINISTRACIÓN DE FONDOS DE LA PROTECCION SOCIAL</v>
          </cell>
        </row>
        <row r="612">
          <cell r="AH612" t="str">
            <v>DIRECCION DE IMPUESTOS Y ADUANAS NACIONALES</v>
          </cell>
        </row>
        <row r="613">
          <cell r="AH613" t="str">
            <v>DIRECCION DE TRANSITO DE BUCARAMANGA</v>
          </cell>
        </row>
        <row r="614">
          <cell r="AH614" t="str">
            <v>DIRECCION DE TRANSITO Y TRANSPORTE - FLORIDABLANCA</v>
          </cell>
        </row>
        <row r="615">
          <cell r="AH615" t="str">
            <v>DIRECCIÓN DE TRÁNSITO Y TRANSPORTE DE BARBOSA</v>
          </cell>
        </row>
        <row r="616">
          <cell r="AH616" t="str">
            <v>DIRECCIÓN DISTRITAL DE LIQUIDACIONES</v>
          </cell>
        </row>
        <row r="617">
          <cell r="AH617" t="str">
            <v>DIRECCION NACIONAL DE DERECHOS DE AUTOR</v>
          </cell>
        </row>
        <row r="618">
          <cell r="AH618" t="str">
            <v>DIRECCION NACIONAL DE ESTUPEFACIENTES - EN LIQUIDACION</v>
          </cell>
        </row>
        <row r="619">
          <cell r="AH619" t="str">
            <v>DIRECCIÓN NACIONAL DE INTELIGENCIA</v>
          </cell>
        </row>
        <row r="620">
          <cell r="AH620" t="str">
            <v>DIRECCIÓN SECCIONAL DE SALUD DE CALDAS</v>
          </cell>
        </row>
        <row r="621">
          <cell r="AH621" t="str">
            <v>DISTRACCIÓN</v>
          </cell>
        </row>
        <row r="622">
          <cell r="AH622" t="str">
            <v>DISTRISEGURIDAD</v>
          </cell>
        </row>
        <row r="623">
          <cell r="AH623" t="str">
            <v>DOLORES</v>
          </cell>
        </row>
        <row r="624">
          <cell r="AH624" t="str">
            <v>DON MATÍAS</v>
          </cell>
        </row>
        <row r="625">
          <cell r="AH625" t="str">
            <v>DOSQUEBRADAS</v>
          </cell>
        </row>
        <row r="626">
          <cell r="AH626" t="str">
            <v>DUITAMA</v>
          </cell>
        </row>
        <row r="627">
          <cell r="AH627" t="str">
            <v>DURANIA</v>
          </cell>
        </row>
        <row r="628">
          <cell r="AH628" t="str">
            <v>E.I.C.E ADMINISTRADORA DEL MONOPOLIO RENTISTICO DE LOS JUEGOS DE SUERTE Y AZAR</v>
          </cell>
        </row>
        <row r="629">
          <cell r="AH629" t="str">
            <v>E.I.C.E. AMABLE</v>
          </cell>
        </row>
        <row r="630">
          <cell r="AH630" t="str">
            <v>E.I.C.E. CENTRAL INTEGRADORA AGROPECUARIA DE LA CEJA DEL TAMBO</v>
          </cell>
        </row>
        <row r="631">
          <cell r="AH631" t="str">
            <v>E.I.C.E. PARA EL DESARROLLO DE LA GESTION PUBLICA - CHIPAQUE</v>
          </cell>
        </row>
        <row r="632">
          <cell r="AH632" t="str">
            <v>E.P.S.  CONVIDA</v>
          </cell>
        </row>
        <row r="633">
          <cell r="AH633" t="str">
            <v>E.P.S. CAJA DE PREVISION SOCIAL Y SEGURIDAD DEL CASANARE</v>
          </cell>
        </row>
        <row r="634">
          <cell r="AH634" t="str">
            <v>E.P.S. CALISALUD</v>
          </cell>
        </row>
        <row r="635">
          <cell r="AH635" t="str">
            <v>E.P.S. INDIGENA MANEXKA - ASOCIACION DE CABILDOS DEL RESGUARDO INDIGENA ZENU DE SAN ANDRES DE SOTAVENTO CORDOBA Y SUCRE</v>
          </cell>
        </row>
        <row r="636">
          <cell r="AH636" t="str">
            <v>E.P.S. SELVASALUD S.A.</v>
          </cell>
        </row>
        <row r="637">
          <cell r="AH637" t="str">
            <v>E.P.S.I. ANAS WAYUU</v>
          </cell>
        </row>
        <row r="638">
          <cell r="AH638" t="str">
            <v>E.P.S.I. ASOCIACION DEL CABILDOS INDIGENAS DEL CESAR Y LA GUAJIRA</v>
          </cell>
        </row>
        <row r="639">
          <cell r="AH639" t="str">
            <v>E.P.S.I. ASOCIACION INDIGENA DEL CAUCA - AIC</v>
          </cell>
        </row>
        <row r="640">
          <cell r="AH640" t="str">
            <v>E.P.S.I. PIJAOS SALUD</v>
          </cell>
        </row>
        <row r="641">
          <cell r="AH641" t="str">
            <v>E.P.S.-S CAPITAL SALUD S.A.S.</v>
          </cell>
        </row>
        <row r="642">
          <cell r="AH642" t="str">
            <v>E.S.E. ALEJANDRO PROSPERO REVERAND</v>
          </cell>
        </row>
        <row r="643">
          <cell r="AH643" t="str">
            <v>E.S.E. ANA SILVIA MALDONADO JIMENEZ</v>
          </cell>
        </row>
        <row r="644">
          <cell r="AH644" t="str">
            <v>E.S.E. ANDRES CALA PIMENTEL</v>
          </cell>
        </row>
        <row r="645">
          <cell r="AH645" t="str">
            <v>E.S.E. ASSBASALUD - ATENCION EN SEGURIDAD SOCIAL, BIENESTAR Y SALUD</v>
          </cell>
        </row>
        <row r="646">
          <cell r="AH646" t="str">
            <v>E.S.E. BARRANCABERMEJA</v>
          </cell>
        </row>
        <row r="647">
          <cell r="AH647" t="str">
            <v>E.S.E. BELLOSALUD</v>
          </cell>
        </row>
        <row r="648">
          <cell r="AH648" t="str">
            <v>E.S.E. BLANCA ALICIA HERNANDEZ - ALBANIA</v>
          </cell>
        </row>
        <row r="649">
          <cell r="AH649" t="str">
            <v>E.S.E. CAMU - CHIMA</v>
          </cell>
        </row>
        <row r="650">
          <cell r="AH650" t="str">
            <v>E.S.E. CAMU - MOMÍL</v>
          </cell>
        </row>
        <row r="651">
          <cell r="AH651" t="str">
            <v>E.S.E. CAMU DE BUENAVISTA - BUENAVISTA</v>
          </cell>
        </row>
        <row r="652">
          <cell r="AH652" t="str">
            <v>E.S.E. CAMU DE CANALETE</v>
          </cell>
        </row>
        <row r="653">
          <cell r="AH653" t="str">
            <v>E.S.E. CAMU DE LOS CÓRDOBAS - LOS CÓRDOBAS</v>
          </cell>
        </row>
        <row r="654">
          <cell r="AH654" t="str">
            <v>E.S.E. CAMU DE MOÑITOS</v>
          </cell>
        </row>
        <row r="655">
          <cell r="AH655" t="str">
            <v>E.S.E. CAMU DE PUEBLO NUEVO - PUEBLO NUEVO</v>
          </cell>
        </row>
        <row r="656">
          <cell r="AH656" t="str">
            <v>E.S.E. CAMU DEL MUNICIPIO DE LA APARTADA - LA APARTADA</v>
          </cell>
        </row>
        <row r="657">
          <cell r="AH657" t="str">
            <v>E.S.E. CAMU EL AMPARO</v>
          </cell>
        </row>
        <row r="658">
          <cell r="AH658" t="str">
            <v>E.S.E. CAMU EL DIVINO NIÑO - PUERTO LIBERTADOR</v>
          </cell>
        </row>
        <row r="659">
          <cell r="AH659" t="str">
            <v>E.S.E. CAMU EL PRADO - CERETÉ</v>
          </cell>
        </row>
        <row r="660">
          <cell r="AH660" t="str">
            <v>E.S.E. CAMU PUERTO ESCONDIDO</v>
          </cell>
        </row>
        <row r="661">
          <cell r="AH661" t="str">
            <v>E.S.E. CAMU PURÍSIMA - PURÍSIMA</v>
          </cell>
        </row>
        <row r="662">
          <cell r="AH662" t="str">
            <v>E.S.E. CAMU SAN ANTERO - SAN ANTERO</v>
          </cell>
        </row>
        <row r="663">
          <cell r="AH663" t="str">
            <v>E.S.E. CAMU SAN PELAYO</v>
          </cell>
        </row>
        <row r="664">
          <cell r="AH664" t="str">
            <v>E.S.E. CAMU SAN RAFAEL  SAHAGÚN</v>
          </cell>
        </row>
        <row r="665">
          <cell r="AH665" t="str">
            <v>E.S.E. CARMEN EMILIA OSPINA</v>
          </cell>
        </row>
        <row r="666">
          <cell r="AH666" t="str">
            <v>E.S.E. CAYETANO MARIA DE ROJAS</v>
          </cell>
        </row>
        <row r="667">
          <cell r="AH667" t="str">
            <v>E.S.E. CEMINSA</v>
          </cell>
        </row>
        <row r="668">
          <cell r="AH668" t="str">
            <v>E.S.E. CENTRO 1 -PIENDAMO</v>
          </cell>
        </row>
        <row r="669">
          <cell r="AH669" t="str">
            <v>E.S.E. CENTRO 2 - ROSAS</v>
          </cell>
        </row>
        <row r="670">
          <cell r="AH670" t="str">
            <v>E.S.E. CENTRO DE REHABILITACIÓN DE NORTE DE SANTANDER</v>
          </cell>
        </row>
        <row r="671">
          <cell r="AH671" t="str">
            <v>E.S.E. CENTRO DE REHABILITACIÓN INTEGRAL DE BOYACA -TUNJA</v>
          </cell>
        </row>
        <row r="672">
          <cell r="AH672" t="str">
            <v>E.S.E. CENTRO DE REHABILITACIÓN INTEGRAL EN SALUD MENTAL DE ANTIOQUIA</v>
          </cell>
        </row>
        <row r="673">
          <cell r="AH673" t="str">
            <v>E.S.E. CENTRO DE SALUD - CERINZA</v>
          </cell>
        </row>
        <row r="674">
          <cell r="AH674" t="str">
            <v>E.S.E. CENTRO DE SALUD - CHALAN  SUCRE</v>
          </cell>
        </row>
        <row r="675">
          <cell r="AH675" t="str">
            <v>E.S.E. CENTRO DE SALUD - CONSACÁ</v>
          </cell>
        </row>
        <row r="676">
          <cell r="AH676" t="str">
            <v>E.S.E. CENTRO DE SALUD - CUCUNUBA</v>
          </cell>
        </row>
        <row r="677">
          <cell r="AH677" t="str">
            <v>E.S.E. CENTRO DE SALUD - OVEJAS</v>
          </cell>
        </row>
        <row r="678">
          <cell r="AH678" t="str">
            <v>E.S.E. CENTRO DE SALUD  SAN JOSÉ   - SAN MARCOS</v>
          </cell>
        </row>
        <row r="679">
          <cell r="AH679" t="str">
            <v>E.S.E. CENTRO DE SALUD  SAN PEDRO   - FLANDES</v>
          </cell>
        </row>
        <row r="680">
          <cell r="AH680" t="str">
            <v>E.S.E. CENTRO DE SALUD - SAN PEDRO SUCRE</v>
          </cell>
        </row>
        <row r="681">
          <cell r="AH681" t="str">
            <v>E.S.E. CENTRO DE SALUD BELEN - NARIÑO</v>
          </cell>
        </row>
        <row r="682">
          <cell r="AH682" t="str">
            <v>E.S.E. CENTRO DE SALUD BUENAVISTA</v>
          </cell>
        </row>
        <row r="683">
          <cell r="AH683" t="str">
            <v>E.S.E. CENTRO DE SALUD CAIMITO</v>
          </cell>
        </row>
        <row r="684">
          <cell r="AH684" t="str">
            <v>E.S.E. CENTRO DE SALUD CAMILO HURTADO CIFUENTES</v>
          </cell>
        </row>
        <row r="685">
          <cell r="AH685" t="str">
            <v>E.S.E. CENTRO DE SALUD CAMILO RUEDA - VILLANUEVA</v>
          </cell>
        </row>
        <row r="686">
          <cell r="AH686" t="str">
            <v>E.S.E. CENTRO DE SALUD CAMPOHERMOSO</v>
          </cell>
        </row>
        <row r="687">
          <cell r="AH687" t="str">
            <v>E.S.E. CENTRO DE SALUD CARTAGENA DE INDIAS</v>
          </cell>
        </row>
        <row r="688">
          <cell r="AH688" t="str">
            <v>E.S.E. CENTRO DE SALUD CHITARAQUE</v>
          </cell>
        </row>
        <row r="689">
          <cell r="AH689" t="str">
            <v>E.S.E. CENTRO DE SALUD CHIVATA</v>
          </cell>
        </row>
        <row r="690">
          <cell r="AH690" t="str">
            <v>E.S.E. CENTRO DE SALUD COLOSO - SUCRE</v>
          </cell>
        </row>
        <row r="691">
          <cell r="AH691" t="str">
            <v>E.S.E. CENTRO DE SALUD CÓMBITA</v>
          </cell>
        </row>
        <row r="692">
          <cell r="AH692" t="str">
            <v>E.S.E. CENTRO DE SALUD CON CAMA</v>
          </cell>
        </row>
        <row r="693">
          <cell r="AH693" t="str">
            <v>E.S.E. CENTRO DE SALUD CON CAMA - ARROYOHONDO</v>
          </cell>
        </row>
        <row r="694">
          <cell r="AH694" t="str">
            <v>E.S.E. CENTRO DE SALUD CON CAMA MANUEL H. ZABALETA G.</v>
          </cell>
        </row>
        <row r="695">
          <cell r="AH695" t="str">
            <v>E.S.E. CENTRO DE SALUD CON CAMA VITALIO SARA CASTILLO - SOPLAVIENTO</v>
          </cell>
        </row>
        <row r="696">
          <cell r="AH696" t="str">
            <v>E.S.E. CENTRO DE SALUD CON CAMAS - CANTAGALLO</v>
          </cell>
        </row>
        <row r="697">
          <cell r="AH697" t="str">
            <v>E.S.E. CENTRO DE SALUD CON CAMAS - CORDOBA</v>
          </cell>
        </row>
        <row r="698">
          <cell r="AH698" t="str">
            <v>E.S.E. CENTRO DE SALUD CON CAMAS DE LA CABECERA MUNICIPAL DE EL PEÑÓN</v>
          </cell>
        </row>
        <row r="699">
          <cell r="AH699" t="str">
            <v>E.S.E. CENTRO DE SALUD CON CAMAS DE MONTECRISTO</v>
          </cell>
        </row>
        <row r="700">
          <cell r="AH700" t="str">
            <v>E.S.E. CENTRO DE SALUD COTORRA</v>
          </cell>
        </row>
        <row r="701">
          <cell r="AH701" t="str">
            <v>E.S.E. CENTRO DE SALUD COVEÑAS</v>
          </cell>
        </row>
        <row r="702">
          <cell r="AH702" t="str">
            <v>E.S.E. CENTRO DE SALUD DE ANCUYA -  NARIÑO</v>
          </cell>
        </row>
        <row r="703">
          <cell r="AH703" t="str">
            <v>E.S.E. CENTRO DE SALUD DE BRICEÑO</v>
          </cell>
        </row>
        <row r="704">
          <cell r="AH704" t="str">
            <v>E.S.E. CENTRO DE SALUD DE COELLO</v>
          </cell>
        </row>
        <row r="705">
          <cell r="AH705" t="str">
            <v>E.S.E. CENTRO DE SALUD DE CUASPUD CARLOSAMA</v>
          </cell>
        </row>
        <row r="706">
          <cell r="AH706" t="str">
            <v>E.S.E. CENTRO DE SALUD DE EL ROBLE</v>
          </cell>
        </row>
        <row r="707">
          <cell r="AH707" t="str">
            <v>E.S.E. CENTRO DE SALUD DE FOSCA - CUNDINAMARCA</v>
          </cell>
        </row>
        <row r="708">
          <cell r="AH708" t="str">
            <v>E.S.E. CENTRO DE SALUD DE GUACHAVES</v>
          </cell>
        </row>
        <row r="709">
          <cell r="AH709" t="str">
            <v>E.S.E. CENTRO DE SALUD DE GUARANDA - SUCRE</v>
          </cell>
        </row>
        <row r="710">
          <cell r="AH710" t="str">
            <v>E.S.E. CENTRO DE SALUD DE ILES</v>
          </cell>
        </row>
        <row r="711">
          <cell r="AH711" t="str">
            <v>E.S.E. CENTRO DE SALUD DE LINARES - JORGE ZAMBRANO</v>
          </cell>
        </row>
        <row r="712">
          <cell r="AH712" t="str">
            <v>E.S.E. CENTRO DE SALUD DE LOS ANDES</v>
          </cell>
        </row>
        <row r="713">
          <cell r="AH713" t="str">
            <v>E.S.E. CENTRO DE SALUD DE MAJAGUAL</v>
          </cell>
        </row>
        <row r="714">
          <cell r="AH714" t="str">
            <v>E.S.E. CENTRO DE SALUD DE MOTAVITA</v>
          </cell>
        </row>
        <row r="715">
          <cell r="AH715" t="str">
            <v>E.S.E. CENTRO DE SALUD DE NORCASIA</v>
          </cell>
        </row>
        <row r="716">
          <cell r="AH716" t="str">
            <v>E.S.E. CENTRO DE SALUD DE PAYA</v>
          </cell>
        </row>
        <row r="717">
          <cell r="AH717" t="str">
            <v>E.S.E. CENTRO DE SALUD DE POLONUEVO</v>
          </cell>
        </row>
        <row r="718">
          <cell r="AH718" t="str">
            <v>E.S.E. CENTRO DE SALUD DE PROVIDENCIA - NARIÑO</v>
          </cell>
        </row>
        <row r="719">
          <cell r="AH719" t="str">
            <v>E.S.E. CENTRO DE SALUD DE PUERRES - PUERRES</v>
          </cell>
        </row>
        <row r="720">
          <cell r="AH720" t="str">
            <v>E.S.E. CENTRO DE SALUD DE RICAURTE</v>
          </cell>
        </row>
        <row r="721">
          <cell r="AH721" t="str">
            <v>E.S.E. CENTRO DE SALUD DE SACHICA</v>
          </cell>
        </row>
        <row r="722">
          <cell r="AH722" t="str">
            <v>E.S.E. CENTRO DE SALUD DE SAMPUES - SUCRE</v>
          </cell>
        </row>
        <row r="723">
          <cell r="AH723" t="str">
            <v>E.S.E. CENTRO DE SALUD DE SAN JOSÉ DE PARE</v>
          </cell>
        </row>
        <row r="724">
          <cell r="AH724" t="str">
            <v>E.S.E. CENTRO DE SALUD DE SANTANA</v>
          </cell>
        </row>
        <row r="725">
          <cell r="AH725" t="str">
            <v>E.S.E. CENTRO DE SALUD DE SAPUYES</v>
          </cell>
        </row>
        <row r="726">
          <cell r="AH726" t="str">
            <v>E.S.E. CENTRO DE SALUD DE SUESCA</v>
          </cell>
        </row>
        <row r="727">
          <cell r="AH727" t="str">
            <v>E.S.E. CENTRO DE SALUD DE TABLON DE GOMEZ</v>
          </cell>
        </row>
        <row r="728">
          <cell r="AH728" t="str">
            <v>E.S.E. CENTRO DE SALUD DE TAUSA</v>
          </cell>
        </row>
        <row r="729">
          <cell r="AH729" t="str">
            <v>E.S.E. CENTRO DE SALUD DE TIMBÍO</v>
          </cell>
        </row>
        <row r="730">
          <cell r="AH730" t="str">
            <v>E.S.E. CENTRO DE SALUD DE TOCA</v>
          </cell>
        </row>
        <row r="731">
          <cell r="AH731" t="str">
            <v>E.S.E. CENTRO DE SALUD DE TUBARÁ - TUBARÁ</v>
          </cell>
        </row>
        <row r="732">
          <cell r="AH732" t="str">
            <v>E.S.E. CENTRO DE SALUD DE USIACURI</v>
          </cell>
        </row>
        <row r="733">
          <cell r="AH733" t="str">
            <v>E.S.E. CENTRO DE SALUD DE VIRACACHÁ</v>
          </cell>
        </row>
        <row r="734">
          <cell r="AH734" t="str">
            <v>E.S.E. CENTRO DE SALUD DE YACUANQUER</v>
          </cell>
        </row>
        <row r="735">
          <cell r="AH735" t="str">
            <v>E.S.E. CENTRO DE SALUD DE ZAPAYAN</v>
          </cell>
        </row>
        <row r="736">
          <cell r="AH736" t="str">
            <v>E.S.E. CENTRO DE SALUD DEL MUNICIPIO DE LABRANZAGRANDE - BOYACA</v>
          </cell>
        </row>
        <row r="737">
          <cell r="AH737" t="str">
            <v>E.S.E. CENTRO DE SALUD DEL MUNICIPIO DE SUTAMARCHÁN</v>
          </cell>
        </row>
        <row r="738">
          <cell r="AH738" t="str">
            <v>E.S.E. CENTRO DE SALUD EL PEÑON</v>
          </cell>
        </row>
        <row r="739">
          <cell r="AH739" t="str">
            <v>E.S.E. CENTRO DE SALUD EL ROSARIO</v>
          </cell>
        </row>
        <row r="740">
          <cell r="AH740" t="str">
            <v>E.S.E. CENTRO DE SALUD FE Y ESPERANZA - SORACÁ</v>
          </cell>
        </row>
        <row r="741">
          <cell r="AH741" t="str">
            <v>E.S.E. CENTRO DE SALUD FIRAVITOBA</v>
          </cell>
        </row>
        <row r="742">
          <cell r="AH742" t="str">
            <v>E.S.E. CENTRO DE SALUD FLORESTA</v>
          </cell>
        </row>
        <row r="743">
          <cell r="AH743" t="str">
            <v>E.S.E. CENTRO DE SALUD FUNES</v>
          </cell>
        </row>
        <row r="744">
          <cell r="AH744" t="str">
            <v>E.S.E. CENTRO DE SALUD GALAPA - ATLANTICO</v>
          </cell>
        </row>
        <row r="745">
          <cell r="AH745" t="str">
            <v>E.S.E. CENTRO DE SALUD GIOVANI CRISTINI -CARMEN DE BOLIVAR</v>
          </cell>
        </row>
        <row r="746">
          <cell r="AH746" t="str">
            <v>E.S.E. CENTRO DE SALUD HECTOR PINEDA GALLO - SUSACON</v>
          </cell>
        </row>
        <row r="747">
          <cell r="AH747" t="str">
            <v>E.S.E. CENTRO DE SALUD INMACULADA CONCEPCIÓN</v>
          </cell>
        </row>
        <row r="748">
          <cell r="AH748" t="str">
            <v>E.S.E. CENTRO DE SALUD JAIME DIAZ PEREZ</v>
          </cell>
        </row>
        <row r="749">
          <cell r="AH749" t="str">
            <v>E.S.E. CENTRO DE SALUD JENESANO - BOYACÁ</v>
          </cell>
        </row>
        <row r="750">
          <cell r="AH750" t="str">
            <v>E.S.E. CENTRO DE SALUD JORGE GONZALEZ OLMOS - PAEZ</v>
          </cell>
        </row>
        <row r="751">
          <cell r="AH751" t="str">
            <v>E.S.E. CENTRO DE SALUD JUAN FRANCISCO BERBEO</v>
          </cell>
        </row>
        <row r="752">
          <cell r="AH752" t="str">
            <v>E.S.E. CENTRO DE SALUD JUAN SOLERI</v>
          </cell>
        </row>
        <row r="753">
          <cell r="AH753" t="str">
            <v>E.S.E. CENTRO DE SALUD LA BUENA ESPERANZA - COLON</v>
          </cell>
        </row>
        <row r="754">
          <cell r="AH754" t="str">
            <v>E.S.E. CENTRO DE SALUD -LA CANDELARIA-</v>
          </cell>
        </row>
        <row r="755">
          <cell r="AH755" t="str">
            <v>E.S.E. CENTRO DE SALUD LA UVITA</v>
          </cell>
        </row>
        <row r="756">
          <cell r="AH756" t="str">
            <v>E.S.E. CENTRO DE SALUD LAGOSALUD DE CUITIVA</v>
          </cell>
        </row>
        <row r="757">
          <cell r="AH757" t="str">
            <v>E.S.E. CENTRO DE SALUD LAS MERCEDES DE CALDAS - BOYACA</v>
          </cell>
        </row>
        <row r="758">
          <cell r="AH758" t="str">
            <v>E.S.E. CENTRO DE SALUD LOS PALMITOS - SUCRE</v>
          </cell>
        </row>
        <row r="759">
          <cell r="AH759" t="str">
            <v>E.S.E. CENTRO DE SALUD LUIS LANCEROS - COPER</v>
          </cell>
        </row>
        <row r="760">
          <cell r="AH760" t="str">
            <v>E.S.E. CENTRO DE SALUD MACANAL</v>
          </cell>
        </row>
        <row r="761">
          <cell r="AH761" t="str">
            <v>E.S.E. CENTRO DE SALUD MANUEL ALBERTO SANDOVAL - SOTAQUIRÁ</v>
          </cell>
        </row>
        <row r="762">
          <cell r="AH762" t="str">
            <v>E.S.E. CENTRO DE SALUD MANUEL ARTURO HIGUERA</v>
          </cell>
        </row>
        <row r="763">
          <cell r="AH763" t="str">
            <v>E.S.E. CENTRO DE SALUD MIGUEL BARRETO LÓPEZ -TELLO</v>
          </cell>
        </row>
        <row r="764">
          <cell r="AH764" t="str">
            <v>E.S.E. CENTRO DE SALUD MUESTRA SEÑORA DE LA NATIVIDAD  JERICÓ - BOYACA</v>
          </cell>
        </row>
        <row r="765">
          <cell r="AH765" t="str">
            <v>E.S.E. CENTRO DE SALUD MUNICIPAL DE CARTAGO</v>
          </cell>
        </row>
        <row r="766">
          <cell r="AH766" t="str">
            <v>E.S.E. CENTRO DE SALUD MUNICIPIO DEL PÁRAMO - SANTANDER</v>
          </cell>
        </row>
        <row r="767">
          <cell r="AH767" t="str">
            <v>E.S.E. CENTRO DE SALUD NIVEL I LUIS ACOSTA - LA UNION</v>
          </cell>
        </row>
        <row r="768">
          <cell r="AH768" t="str">
            <v>E.S.E. CENTRO DE SALUD NUESTRA SEÑORA DE BELEN</v>
          </cell>
        </row>
        <row r="769">
          <cell r="AH769" t="str">
            <v>E.S.E. CENTRO DE SALUD NUESTRA SEÑORA DE FATIMA - CHACHAGÜI</v>
          </cell>
        </row>
        <row r="770">
          <cell r="AH770" t="str">
            <v>E.S.E. CENTRO DE SALUD NUESTRA SEÑORA DE GUADALUPE - PACHAVITA</v>
          </cell>
        </row>
        <row r="771">
          <cell r="AH771" t="str">
            <v>E.S.E. CENTRO DE SALUD NUESTRA SEÑORA DE LA PAZ</v>
          </cell>
        </row>
        <row r="772">
          <cell r="AH772" t="str">
            <v>E.S.E. CENTRO DE SALUD NUESTRA SEÑORA DEL CARMEN -LA TOLA</v>
          </cell>
        </row>
        <row r="773">
          <cell r="AH773" t="str">
            <v>E.S.E. CENTRO DE SALUD NUESTRA SEÑORA DEL PILAR</v>
          </cell>
        </row>
        <row r="774">
          <cell r="AH774" t="str">
            <v>E.S.E. CENTRO DE SALUD NUESTRA SEÑORA DEL ROSARIO DE TASCO</v>
          </cell>
        </row>
        <row r="775">
          <cell r="AH775" t="str">
            <v>E.S.E. CENTRO DE SALUD NUEVO COLON</v>
          </cell>
        </row>
        <row r="776">
          <cell r="AH776" t="str">
            <v>E.S.E. CENTRO DE SALUD PALMAR DE VARELA</v>
          </cell>
        </row>
        <row r="777">
          <cell r="AH777" t="str">
            <v>E.S.E. CENTRO DE SALUD PAUNA - EDGAR ALONSO PULIDO</v>
          </cell>
        </row>
        <row r="778">
          <cell r="AH778" t="str">
            <v>E.S.E. CENTRO DE SALUD PAZ DEL RIO -FUNDACION</v>
          </cell>
        </row>
        <row r="779">
          <cell r="AH779" t="str">
            <v>E.S.E. CENTRO DE SALUD POLICARPA</v>
          </cell>
        </row>
        <row r="780">
          <cell r="AH780" t="str">
            <v>E.S.E. CENTRO DE SALUD RAFAEL SALGADO</v>
          </cell>
        </row>
        <row r="781">
          <cell r="AH781" t="str">
            <v>E.S.E. CENTRO DE SALUD RICARDO ACOSTA  - PALOCABILDO</v>
          </cell>
        </row>
        <row r="782">
          <cell r="AH782" t="str">
            <v>E.S.E. CENTRO DE SALUD SABANAGRANDE</v>
          </cell>
        </row>
        <row r="783">
          <cell r="AH783" t="str">
            <v>E.S.E. CENTRO DE SALUD SAGRADO CORAZON DE JESUS - EL CONTADERO</v>
          </cell>
        </row>
        <row r="784">
          <cell r="AH784" t="str">
            <v>E.S.E. CENTRO DE SALUD SAMUEL VILLANUEVA VALEST - EL BANCO</v>
          </cell>
        </row>
        <row r="785">
          <cell r="AH785" t="str">
            <v>E.S.E. CENTRO DE SALUD SAN ANTONIO  - SOCOTÁ</v>
          </cell>
        </row>
        <row r="786">
          <cell r="AH786" t="str">
            <v>E.S.E. CENTRO DE SALUD SAN ANTONIO DE LA PARED DE RAQUIRA</v>
          </cell>
        </row>
        <row r="787">
          <cell r="AH787" t="str">
            <v>E.S.E. CENTRO DE SALUD SAN ANTONIO DE PADUA - GACHANTIVÁ</v>
          </cell>
        </row>
        <row r="788">
          <cell r="AH788" t="str">
            <v>E.S.E. CENTRO DE SALUD SAN ANTONIO DE PALMITO</v>
          </cell>
        </row>
        <row r="789">
          <cell r="AH789" t="str">
            <v>E.S.E. CENTRO DE SALUD SAN BARTOLOME DE CORDOBA - NARIÑO</v>
          </cell>
        </row>
        <row r="790">
          <cell r="AH790" t="str">
            <v>E.S.E. CENTRO DE SALUD SAN BERNARDO</v>
          </cell>
        </row>
        <row r="791">
          <cell r="AH791" t="str">
            <v>E.S.E. CENTRO DE SALUD SAN BLAS</v>
          </cell>
        </row>
        <row r="792">
          <cell r="AH792" t="str">
            <v>E.S.E. CENTRO DE SALUD SAN BLAS - MORROA</v>
          </cell>
        </row>
        <row r="793">
          <cell r="AH793" t="str">
            <v>E.S.E. CENTRO DE SALUD SAN FRANCISCO</v>
          </cell>
        </row>
        <row r="794">
          <cell r="AH794" t="str">
            <v>E.S.E. CENTRO DE SALUD SAN FRANCISCO DE SALES</v>
          </cell>
        </row>
        <row r="795">
          <cell r="AH795" t="str">
            <v>E.S.E. CENTRO DE SALUD SAN FRANCISCO JAVIER - MARGARITA - BOLIVAR</v>
          </cell>
        </row>
        <row r="796">
          <cell r="AH796" t="str">
            <v>E.S.E. CENTRO DE SALUD SAN ISIDRO - EL PEÑOL NARIÑO</v>
          </cell>
        </row>
        <row r="797">
          <cell r="AH797" t="str">
            <v>E.S.E. CENTRO DE SALUD SAN JERÓNIMO - MONGUA</v>
          </cell>
        </row>
        <row r="798">
          <cell r="AH798" t="str">
            <v>E.S.E. CENTRO DE SALUD SAN JOSÉ - BOYACÁ</v>
          </cell>
        </row>
        <row r="799">
          <cell r="AH799" t="str">
            <v>E.S.E. CENTRO DE SALUD SAN JOSE - TOLUVIEJO</v>
          </cell>
        </row>
        <row r="800">
          <cell r="AH800" t="str">
            <v>E.S.E. CENTRO DE SALUD SAN JOSE DE ALBAN</v>
          </cell>
        </row>
        <row r="801">
          <cell r="AH801" t="str">
            <v>E.S.E. CENTRO DE SALUD SAN JOSE DE LEIVA</v>
          </cell>
        </row>
        <row r="802">
          <cell r="AH802" t="str">
            <v>E.S.E. CENTRO DE SALUD SAN JOSÉ -NIMAIMA</v>
          </cell>
        </row>
        <row r="803">
          <cell r="AH803" t="str">
            <v>E.S.E. CENTRO DE SALUD SAN JUAN BOSCO - LA LLANADA</v>
          </cell>
        </row>
        <row r="804">
          <cell r="AH804" t="str">
            <v>E.S.E. CENTRO DE SALUD SAN JUAN DE DIOS - EL PITAL</v>
          </cell>
        </row>
        <row r="805">
          <cell r="AH805" t="str">
            <v>E.S.E. CENTRO DE SALUD SAN JUDAS TADEO</v>
          </cell>
        </row>
        <row r="806">
          <cell r="AH806" t="str">
            <v>E.S.E. CENTRO DE SALUD SAN LORENZO</v>
          </cell>
        </row>
        <row r="807">
          <cell r="AH807" t="str">
            <v>E.S.E. CENTRO DE SALUD SAN MIGUEL</v>
          </cell>
        </row>
        <row r="808">
          <cell r="AH808" t="str">
            <v>E.S.E. CENTRO DE SALUD SAN MIGUEL - ARBOLEDA</v>
          </cell>
        </row>
        <row r="809">
          <cell r="AH809" t="str">
            <v>E.S.E. CENTRO DE SALUD SAN MIGUEL ARCANGEL - OSPINA</v>
          </cell>
        </row>
        <row r="810">
          <cell r="AH810" t="str">
            <v>E.S.E. CENTRO DE SALUD SAN PABLO DE BORBUR</v>
          </cell>
        </row>
        <row r="811">
          <cell r="AH811" t="str">
            <v>E.S.E. CENTRO DE SALUD SAN PEDRO DE IGUAQUE DEL MUNICIPIO DE CHIQUIZA</v>
          </cell>
        </row>
        <row r="812">
          <cell r="AH812" t="str">
            <v>E.S.E. CENTRO DE SALUD -SAN RAFAEL- DE RONDON</v>
          </cell>
        </row>
        <row r="813">
          <cell r="AH813" t="str">
            <v>E.S.E. CENTRO DE SALUD SAN RAFAEL DE UMBITA - BOYACÁ</v>
          </cell>
        </row>
        <row r="814">
          <cell r="AH814" t="str">
            <v>E.S.E. CENTRO DE SALUD SAN ROQUE  - ALVARADO</v>
          </cell>
        </row>
        <row r="815">
          <cell r="AH815" t="str">
            <v>E.S.E. CENTRO DE SALUD SAN SEBASTIÁN</v>
          </cell>
        </row>
        <row r="816">
          <cell r="AH816" t="str">
            <v>E.S.E. CENTRO DE SALUD SAN SEBASTIAN - NARIÑO</v>
          </cell>
        </row>
        <row r="817">
          <cell r="AH817" t="str">
            <v>E.S.E. CENTRO DE SALUD SAN VICENTE FERRER SABOYA - BOYACA</v>
          </cell>
        </row>
        <row r="818">
          <cell r="AH818" t="str">
            <v>E.S.E. CENTRO DE SALUD SANTA BARBARA - ISCUANDE</v>
          </cell>
        </row>
        <row r="819">
          <cell r="AH819" t="str">
            <v>E.S.E. CENTRO DE SALUD -SANTA BARBARA-  SORA</v>
          </cell>
        </row>
        <row r="820">
          <cell r="AH820" t="str">
            <v>E.S.E. CENTRO DE SALUD SANTA BÁRBARA - TUNUNGUÁ</v>
          </cell>
        </row>
        <row r="821">
          <cell r="AH821" t="str">
            <v>E.S.E. CENTRO DE SALUD SANTA LUCIA - ATLANTICO</v>
          </cell>
        </row>
        <row r="822">
          <cell r="AH822" t="str">
            <v>E.S.E. CENTRO DE SALUD SANTA LUCÍA - BUENAVISTA</v>
          </cell>
        </row>
        <row r="823">
          <cell r="AH823" t="str">
            <v>E.S.E. CENTRO DE SALUD SANTA LUCIA DE CUCAITA</v>
          </cell>
        </row>
        <row r="824">
          <cell r="AH824" t="str">
            <v>E.S.E. CENTRO DE SALUD SANTA SOFIA</v>
          </cell>
        </row>
        <row r="825">
          <cell r="AH825" t="str">
            <v>E.S.E. CENTRO DE SALUD SANTIAGO DE MALLAMA</v>
          </cell>
        </row>
        <row r="826">
          <cell r="AH826" t="str">
            <v>E.S.E. CENTRO DE SALUD SAUL QUIÑONES</v>
          </cell>
        </row>
        <row r="827">
          <cell r="AH827" t="str">
            <v>E.S.E. CENTRO DE SALUD SEÑOR DE LOS MILAGROS</v>
          </cell>
        </row>
        <row r="828">
          <cell r="AH828" t="str">
            <v>E.S.E. CENTRO DE SALUD SEÑOR DEL MAR</v>
          </cell>
        </row>
        <row r="829">
          <cell r="AH829" t="str">
            <v>E.S.E. CENTRO DE SALUD SIACHOQUE</v>
          </cell>
        </row>
        <row r="830">
          <cell r="AH830" t="str">
            <v>E.S.E. CENTRO DE SALUD SIMON BOLIVAR - TUTAZÁ</v>
          </cell>
        </row>
        <row r="831">
          <cell r="AH831" t="str">
            <v>E.S.E. CENTRO DE SALUD SUAN - ATLANTICO</v>
          </cell>
        </row>
        <row r="832">
          <cell r="AH832" t="str">
            <v>E.S.E. CENTRO DE SALUD TIMOTEO RIVEROS CUBILLOS</v>
          </cell>
        </row>
        <row r="833">
          <cell r="AH833" t="str">
            <v>E.S.E. CENTRO DE SALUD TOTA</v>
          </cell>
        </row>
        <row r="834">
          <cell r="AH834" t="str">
            <v>E.S.E. CENTRO DE SALUD VENTAQUEMADA</v>
          </cell>
        </row>
        <row r="835">
          <cell r="AH835" t="str">
            <v>E.S.E. CENTRO DE SALUD VIRGEN DE LOURDES</v>
          </cell>
        </row>
        <row r="836">
          <cell r="AH836" t="str">
            <v>E.S.E. CENTRO DE SAULD SAN JUAN BAUTISTA DE PUPIALES - NARIÑO</v>
          </cell>
        </row>
        <row r="837">
          <cell r="AH837" t="str">
            <v>E.S.E. CENTRO DERMATOLOGICO FEDERICO LLERAS ACOSTA</v>
          </cell>
        </row>
        <row r="838">
          <cell r="AH838" t="str">
            <v>E.S.E. CENTRO HOSPITAL DE LA FLORIDA</v>
          </cell>
        </row>
        <row r="839">
          <cell r="AH839" t="str">
            <v>E.S.E. CENTRO HOSPITAL DIVINO NIÑO - TUMACO</v>
          </cell>
        </row>
        <row r="840">
          <cell r="AH840" t="str">
            <v>E.S.E. CENTRO HOSPITAL GUAITARILLA</v>
          </cell>
        </row>
        <row r="841">
          <cell r="AH841" t="str">
            <v>E.S.E. CENTRO HOSPITAL LAS MERCEDES</v>
          </cell>
        </row>
        <row r="842">
          <cell r="AH842" t="str">
            <v>E.S.E. CENTRO HOSPITAL LUIS ANTONIO MONTERO POTOSÍ - NARIÑO</v>
          </cell>
        </row>
        <row r="843">
          <cell r="AH843" t="str">
            <v>E.S.E. CENTRO HOSPITAL SAN JUAN BAUTISTA - TAMINANGO</v>
          </cell>
        </row>
        <row r="844">
          <cell r="AH844" t="str">
            <v>E.S.E. CENTRO HOSPITAL SAN LUIS - EL TAMBO</v>
          </cell>
        </row>
        <row r="845">
          <cell r="AH845" t="str">
            <v>E.S.E. CLINICA DE MATERNIDAD RAFAEL CALVO C.</v>
          </cell>
        </row>
        <row r="846">
          <cell r="AH846" t="str">
            <v>E.S.E. CLÍNICA GUANE - FLORIDABLANCA</v>
          </cell>
        </row>
        <row r="847">
          <cell r="AH847" t="str">
            <v>E.S.E. CXAYU CE JXUT</v>
          </cell>
        </row>
        <row r="848">
          <cell r="AH848" t="str">
            <v>E.S.E. DE GUAPI</v>
          </cell>
        </row>
        <row r="849">
          <cell r="AH849" t="str">
            <v>E.S.E. DE OCAMONTE SANTANDER</v>
          </cell>
        </row>
        <row r="850">
          <cell r="AH850" t="str">
            <v>E.S.E. DEL MUNICIPIO DE MAGANGUÉ</v>
          </cell>
        </row>
        <row r="851">
          <cell r="AH851" t="str">
            <v>E.S.E. DEL MUNICIPIO DE VILLAVICENCIO</v>
          </cell>
        </row>
        <row r="852">
          <cell r="AH852" t="str">
            <v>E.S.E. DEPARTAMENTAL DE PRIMER NIVEL</v>
          </cell>
        </row>
        <row r="853">
          <cell r="AH853" t="str">
            <v>E.S.E. DEPARTAMENTAL HOSPITAL SAN ANTONIO DE VILLAMARIA -CALDAS</v>
          </cell>
        </row>
        <row r="854">
          <cell r="AH854" t="str">
            <v>E.S.E. DEPARTAMENTAL HOSPITAL SAN JOSE DE NEIRA</v>
          </cell>
        </row>
        <row r="855">
          <cell r="AH855" t="str">
            <v>E.S.E. EDMUNDO GERMAN ARIAS DUARTE DE PUERTO WILCHES</v>
          </cell>
        </row>
        <row r="856">
          <cell r="AH856" t="str">
            <v>E.S.E. EMPRESA DE SALUD DE SOACHA</v>
          </cell>
        </row>
        <row r="857">
          <cell r="AH857" t="str">
            <v>E.S.E. EMPRESA SOCIAL DEL ESTADO DEL META -SOLUCIÓN SALUD-</v>
          </cell>
        </row>
        <row r="858">
          <cell r="AH858" t="str">
            <v>E.S.E. EMPRESA SOCIAL DEL ESTADO HOSPITAL SAN ANTONIO - ANOLAIMA</v>
          </cell>
        </row>
        <row r="859">
          <cell r="AH859" t="str">
            <v>E.S.E. FABIO JARAMILLO LONDOÑO</v>
          </cell>
        </row>
        <row r="860">
          <cell r="AH860" t="str">
            <v>E.S.E. GÁMEZA MUNICIPIO SALUDABLE</v>
          </cell>
        </row>
        <row r="861">
          <cell r="AH861" t="str">
            <v>E.S.E. HOSPITAL   SANTA CRUZ   - URUMITA</v>
          </cell>
        </row>
        <row r="862">
          <cell r="AH862" t="str">
            <v>E.S.E. HOSPITAL  ANDRÉS GIRARDOT -GÜICAN</v>
          </cell>
        </row>
        <row r="863">
          <cell r="AH863" t="str">
            <v>E.S.E. HOSPITAL  ANTONIO ROLDAN  - LA PINTADA</v>
          </cell>
        </row>
        <row r="864">
          <cell r="AH864" t="str">
            <v>E.S.E. HOSPITAL  ARSENIO REPIZO VANEGAS  -SAN AGUSTIN</v>
          </cell>
        </row>
        <row r="865">
          <cell r="AH865" t="str">
            <v>E.S.E. HOSPITAL  ATRATO MEDIO ANTIOQUEÑO  -VIGIA DEL FUERTE</v>
          </cell>
        </row>
        <row r="866">
          <cell r="AH866" t="str">
            <v>E.S.E. HOSPITAL  BENJAMIN BARNEY GASCA   - FLORIDA</v>
          </cell>
        </row>
        <row r="867">
          <cell r="AH867" t="str">
            <v>E.S.E. HOSPITAL  CARLOS TORRENTE LLANOS  - SANTA ISABEL</v>
          </cell>
        </row>
        <row r="868">
          <cell r="AH868" t="str">
            <v>E.S.E. HOSPITAL  CIVIL REGIONAL  -IPIALES</v>
          </cell>
        </row>
        <row r="869">
          <cell r="AH869" t="str">
            <v>E.S.E. HOSPITAL  CLARITA SANTOS  -SANDONA</v>
          </cell>
        </row>
        <row r="870">
          <cell r="AH870" t="str">
            <v>E.S.E. HOSPITAL  CRISTO REY  -BALBOA</v>
          </cell>
        </row>
        <row r="871">
          <cell r="AH871" t="str">
            <v>E.S.E. HOSPITAL  DEPARTAMENTAL DE NARIÑO</v>
          </cell>
        </row>
        <row r="872">
          <cell r="AH872" t="str">
            <v>E.S.E. HOSPITAL  DEPARTAMENTAL MARIO CORREA RENJIFO  - CALI (VALLE)</v>
          </cell>
        </row>
        <row r="873">
          <cell r="AH873" t="str">
            <v>E.S.E. HOSPITAL  DEPARTAMENTAL SAN RAFAEL  -ZARZAL</v>
          </cell>
        </row>
        <row r="874">
          <cell r="AH874" t="str">
            <v>E.S.E. HOSPITAL  EDUARDO ARREDONDO DAZA   - VALLEDUPAR</v>
          </cell>
        </row>
        <row r="875">
          <cell r="AH875" t="str">
            <v>E.S.E. HOSPITAL  EDUARDO SANTOS  -LA UNION</v>
          </cell>
        </row>
        <row r="876">
          <cell r="AH876" t="str">
            <v>E.S.E. HOSPITAL  EL BUEN SAMARITANO  -LA CRUZ</v>
          </cell>
        </row>
        <row r="877">
          <cell r="AH877" t="str">
            <v>E.S.E. HOSPITAL  EL CARMEN  -AMALFI</v>
          </cell>
        </row>
        <row r="878">
          <cell r="AH878" t="str">
            <v>E.S.E. HOSPITAL  EL SALVADOR DE UBATE</v>
          </cell>
        </row>
        <row r="879">
          <cell r="AH879" t="str">
            <v>E.S.E. HOSPITAL  EL TUNAL</v>
          </cell>
        </row>
        <row r="880">
          <cell r="AH880" t="str">
            <v>E.S.E. HOSPITAL  EMIGDIO PALACIO  -ENTRERRIOS</v>
          </cell>
        </row>
        <row r="881">
          <cell r="AH881" t="str">
            <v>E.S.E. HOSPITAL  FEDERICO ARBELAEZ   - CUNDAY</v>
          </cell>
        </row>
        <row r="882">
          <cell r="AH882" t="str">
            <v>E.S.E. HOSPITAL  FELIPE ARBELAEZ  -ALEJANDRIA</v>
          </cell>
        </row>
        <row r="883">
          <cell r="AH883" t="str">
            <v>E.S.E. HOSPITAL  FERNANDO TROCONIS</v>
          </cell>
        </row>
        <row r="884">
          <cell r="AH884" t="str">
            <v>E.S.E. HOSPITAL  FRANCISCO BARRERA  -DON MATIAS</v>
          </cell>
        </row>
        <row r="885">
          <cell r="AH885" t="str">
            <v>E.S.E. HOSPITAL  FRANCISCO DE PAULA SANTANDER  - SANTANDER DE QUILICHAO</v>
          </cell>
        </row>
        <row r="886">
          <cell r="AH886" t="str">
            <v>E.S.E. HOSPITAL  GABRIEL PELAEZ M.  -JARDÍN</v>
          </cell>
        </row>
        <row r="887">
          <cell r="AH887" t="str">
            <v>E.S.E. HOSPITAL  GENERAL DE MEDELLÍN</v>
          </cell>
        </row>
        <row r="888">
          <cell r="AH888" t="str">
            <v>E.S.E. HOSPITAL  GERMÁN VÉLEZ GUTIÉRREZ  -BETULIA</v>
          </cell>
        </row>
        <row r="889">
          <cell r="AH889" t="str">
            <v>E.S.E. HOSPITAL  GONZALO CONTRERAS  - LA UNIÓN</v>
          </cell>
        </row>
        <row r="890">
          <cell r="AH890" t="str">
            <v>E.S.E. HOSPITAL  GUILLERMO GAVIRIA CORREA  -CAICEDO</v>
          </cell>
        </row>
        <row r="891">
          <cell r="AH891" t="str">
            <v>E.S.E. HOSPITAL  GUSTAVO GONZÁLEZ  -SAN ANDRÉS</v>
          </cell>
        </row>
        <row r="892">
          <cell r="AH892" t="str">
            <v>E.S.E. HOSPITAL  HECTOR ABAD GÓMEZ  -SAN JUAN DE URABA</v>
          </cell>
        </row>
        <row r="893">
          <cell r="AH893" t="str">
            <v>E.S.E. HOSPITAL  HECTOR ABAD GÓMEZ  -YONDO</v>
          </cell>
        </row>
        <row r="894">
          <cell r="AH894" t="str">
            <v>E.S.E. HOSPITAL  HORACIO MUÑOZ SUESCÚN  -SOPETRAN</v>
          </cell>
        </row>
        <row r="895">
          <cell r="AH895" t="str">
            <v>E.S.E. HOSPITAL  ISABEL LA CATÓLICA   -CACERES</v>
          </cell>
        </row>
        <row r="896">
          <cell r="AH896" t="str">
            <v>E.S.E. HOSPITAL  ISMAEL PERDOMO   - VILLAHERMOSA</v>
          </cell>
        </row>
        <row r="897">
          <cell r="AH897" t="str">
            <v>E.S.E. HOSPITAL  JOSE  MARIA CORDOBA  -CONCEPCIÓN</v>
          </cell>
        </row>
        <row r="898">
          <cell r="AH898" t="str">
            <v>E.S.E. HOSPITAL  JOSÉ MARÍA HERNÁNDEZ  -MOCOA</v>
          </cell>
        </row>
        <row r="899">
          <cell r="AH899" t="str">
            <v>E.S.E. HOSPITAL  JOSÉ RUFINO VIVAS  -DAGUA</v>
          </cell>
        </row>
        <row r="900">
          <cell r="AH900" t="str">
            <v>E.S.E. HOSPITAL  KENNEDY  - RIOFRIO</v>
          </cell>
        </row>
        <row r="901">
          <cell r="AH901" t="str">
            <v>E.S.E. HOSPITAL  LA ANUNCIACIÓN  -MUTATA</v>
          </cell>
        </row>
        <row r="902">
          <cell r="AH902" t="str">
            <v>E.S.E. HOSPITAL  LA BUENA ESPERANZA   -YUMBO</v>
          </cell>
        </row>
        <row r="903">
          <cell r="AH903" t="str">
            <v>E.S.E. HOSPITAL  LA CANDELARIA  - EL BANCO</v>
          </cell>
        </row>
        <row r="904">
          <cell r="AH904" t="str">
            <v>E.S.E. HOSPITAL  LA CRUZ  -PUERTO BERRIO</v>
          </cell>
        </row>
        <row r="905">
          <cell r="AH905" t="str">
            <v>E.S.E. HOSPITAL  LA INMACULADA  -GUATAPE</v>
          </cell>
        </row>
        <row r="906">
          <cell r="AH906" t="str">
            <v>E.S.E. HOSPITAL  LA MARIA - MEDELLÍN</v>
          </cell>
        </row>
        <row r="907">
          <cell r="AH907" t="str">
            <v>E.S.E. HOSPITAL  LA MERCED  -LA MERCED</v>
          </cell>
        </row>
        <row r="908">
          <cell r="AH908" t="str">
            <v>E.S.E. HOSPITAL  LA MILAGROSA   - VILLARICA</v>
          </cell>
        </row>
        <row r="909">
          <cell r="AH909" t="str">
            <v>E.S.E. HOSPITAL  LA MISERICORDIA  - YALÍ</v>
          </cell>
        </row>
        <row r="910">
          <cell r="AH910" t="str">
            <v>E.S.E. HOSPITAL  LA MISERICORDIA  -ANGELÓPOLIS</v>
          </cell>
        </row>
        <row r="911">
          <cell r="AH911" t="str">
            <v>E.S.E. HOSPITAL  LA MISERICORDIA  -CALARCA</v>
          </cell>
        </row>
        <row r="912">
          <cell r="AH912" t="str">
            <v>E.S.E. HOSPITAL  LA MISERICORDIA  -NECHÍ</v>
          </cell>
        </row>
        <row r="913">
          <cell r="AH913" t="str">
            <v>E.S.E. HOSPITAL  LA PAZ  -PUERTO TRIUNFO</v>
          </cell>
        </row>
        <row r="914">
          <cell r="AH914" t="str">
            <v>E.S.E. HOSPITAL  LA VICTORIA</v>
          </cell>
        </row>
        <row r="915">
          <cell r="AH915" t="str">
            <v>E.S.E. HOSPITAL  LORENCITA VILLEGAS  -SAMANIEGO</v>
          </cell>
        </row>
        <row r="916">
          <cell r="AH916" t="str">
            <v>E.S.E. HOSPITAL  LUIS PASTEUR   - MELGAR</v>
          </cell>
        </row>
        <row r="917">
          <cell r="AH917" t="str">
            <v>E.S.E. HOSPITAL  MANUEL URIBE ANGEL  -ENVIGADO</v>
          </cell>
        </row>
        <row r="918">
          <cell r="AH918" t="str">
            <v>E.S.E. HOSPITAL  MARCO A. CARDONA  -MACEO</v>
          </cell>
        </row>
        <row r="919">
          <cell r="AH919" t="str">
            <v>E.S.E. HOSPITAL  MARCO FIDEL SUAREZ  -BELLO</v>
          </cell>
        </row>
        <row r="920">
          <cell r="AH920" t="str">
            <v>E.S.E. HOSPITAL  MARÍA A. TORO ELEJALDE  -FRONTINO</v>
          </cell>
        </row>
        <row r="921">
          <cell r="AH921" t="str">
            <v>E.S.E. HOSPITAL  MARÍA AUXILIADORA  -CHIGORODO</v>
          </cell>
        </row>
        <row r="922">
          <cell r="AH922" t="str">
            <v>E.S.E. HOSPITAL  MARIA AUXILIADORA  -IQUIRA</v>
          </cell>
        </row>
        <row r="923">
          <cell r="AH923" t="str">
            <v>E.S.E. HOSPITAL  MARIA INMACULADA   - RIOBLANCO</v>
          </cell>
        </row>
        <row r="924">
          <cell r="AH924" t="str">
            <v>E.S.E. HOSPITAL  MARIO GAITAN YANGUAS   -SOACHA</v>
          </cell>
        </row>
        <row r="925">
          <cell r="AH925" t="str">
            <v>E.S.E. HOSPITAL  MUNICIPAL DE SAN VICENTE</v>
          </cell>
        </row>
        <row r="926">
          <cell r="AH926" t="str">
            <v>E.S.E. HOSPITAL  NAZARETH</v>
          </cell>
        </row>
        <row r="927">
          <cell r="AH927" t="str">
            <v>E.S.E. HOSPITAL  NAZARETH  -QUINCHIA</v>
          </cell>
        </row>
        <row r="928">
          <cell r="AH928" t="str">
            <v>E.S.E. HOSPITAL  NELSON RESTREPO MARTINEZ  - GUAYABAL</v>
          </cell>
        </row>
        <row r="929">
          <cell r="AH929" t="str">
            <v>E.S.E. HOSPITAL  NUESTRA SEÑORA DE FATIMA  -SUAZA</v>
          </cell>
        </row>
        <row r="930">
          <cell r="AH930" t="str">
            <v>E.S.E. HOSPITAL  NUESTRA SEÑORA DE GUADALUPE  -GUADALUPE</v>
          </cell>
        </row>
        <row r="931">
          <cell r="AH931" t="str">
            <v>E.S.E. HOSPITAL  NUESTRA SEÑORA DE LOS SANTOS   - LA VICTORIA</v>
          </cell>
        </row>
        <row r="932">
          <cell r="AH932" t="str">
            <v>E.S.E. HOSPITAL  NUESTRA SEÑORA DE LOURDES   - ATACO</v>
          </cell>
        </row>
        <row r="933">
          <cell r="AH933" t="str">
            <v>E.S.E. HOSPITAL  NUESTRA SEÑORA DEL CARMEN  - CARMEN DE APICALA</v>
          </cell>
        </row>
        <row r="934">
          <cell r="AH934" t="str">
            <v>E.S.E. HOSPITAL  NUESTRA SEÑORA DEL CARMEN  -EL BAGRE</v>
          </cell>
        </row>
        <row r="935">
          <cell r="AH935" t="str">
            <v>E.S.E. HOSPITAL  NUESTRA SEÑORA DEL CARMEN  -GUAMAL</v>
          </cell>
        </row>
        <row r="936">
          <cell r="AH936" t="str">
            <v>E.S.E. HOSPITAL  NUESTRA SEÑORA DEL PERPETUO SOCORRO  -DABEIBA</v>
          </cell>
        </row>
        <row r="937">
          <cell r="AH937" t="str">
            <v>E.S.E. HOSPITAL  NUESTRA SEÑORA DEL ROSARIO  -BELMIRA</v>
          </cell>
        </row>
        <row r="938">
          <cell r="AH938" t="str">
            <v>E.S.E. HOSPITAL  NUESTRA SEÑORA DEL ROSARIO  -CAMPOALEGRE</v>
          </cell>
        </row>
        <row r="939">
          <cell r="AH939" t="str">
            <v>E.S.E. HOSPITAL  OCCIDENTE  -KENNEDY</v>
          </cell>
        </row>
        <row r="940">
          <cell r="AH940" t="str">
            <v>E.S.E. HOSPITAL  OCTAVIO OLIVARES  -PUERTO NARE</v>
          </cell>
        </row>
        <row r="941">
          <cell r="AH941" t="str">
            <v>E.S.E. HOSPITAL  OLAYA HERRERA  -GAMARRA</v>
          </cell>
        </row>
        <row r="942">
          <cell r="AH942" t="str">
            <v>E.S.E. HOSPITAL  OSCAR E. VERGARA  -SAN PEDRO DE URABA</v>
          </cell>
        </row>
        <row r="943">
          <cell r="AH943" t="str">
            <v>E.S.E. HOSPITAL  PABLO VI   -BOSA</v>
          </cell>
        </row>
        <row r="944">
          <cell r="AH944" t="str">
            <v>E.S.E. HOSPITAL  PEDRO CLAVER AGUIRRE  -TOLEDO</v>
          </cell>
        </row>
        <row r="945">
          <cell r="AH945" t="str">
            <v>E.S.E. HOSPITAL  PEDRO LEON   - LA MESA</v>
          </cell>
        </row>
        <row r="946">
          <cell r="AH946" t="str">
            <v>E.S.E. HOSPITAL  PEDRO NEL CARDONA  -ARBOLETES</v>
          </cell>
        </row>
        <row r="947">
          <cell r="AH947" t="str">
            <v>E.S.E. HOSPITAL  PIO X  -CARACOLÍ</v>
          </cell>
        </row>
        <row r="948">
          <cell r="AH948" t="str">
            <v>E.S.E. HOSPITAL  PIO XII   - ARGELIA</v>
          </cell>
        </row>
        <row r="949">
          <cell r="AH949" t="str">
            <v>E.S.E. HOSPITAL  PIO XII  -COLÓN</v>
          </cell>
        </row>
        <row r="950">
          <cell r="AH950" t="str">
            <v>E.S.E. HOSPITAL  PLANADAS   - PLANADAS</v>
          </cell>
        </row>
        <row r="951">
          <cell r="AH951" t="str">
            <v>E.S.E. HOSPITAL  PRESBITERO ALFONSO M.  -SAN RAFAEL</v>
          </cell>
        </row>
        <row r="952">
          <cell r="AH952" t="str">
            <v>E.S.E. HOSPITAL  SAGRADA FAMILIA  -CAMPAMENTO</v>
          </cell>
        </row>
        <row r="953">
          <cell r="AH953" t="str">
            <v>E.S.E. HOSPITAL  SAGRADO CORAZÓN DE JESUS  -BRICEÑO</v>
          </cell>
        </row>
        <row r="954">
          <cell r="AH954" t="str">
            <v>E.S.E. HOSPITAL  SAN AGUSTIN  -FONSECA</v>
          </cell>
        </row>
        <row r="955">
          <cell r="AH955" t="str">
            <v>E.S.E. HOSPITAL  SAN AGUSTIN  -PUERTO MERIZALDE (BUENAVENTURA)</v>
          </cell>
        </row>
        <row r="956">
          <cell r="AH956" t="str">
            <v>E.S.E. HOSPITAL  SAN ANDRES  -TUMACO</v>
          </cell>
        </row>
        <row r="957">
          <cell r="AH957" t="str">
            <v>E.S.E. HOSPITAL  SAN ANTONIO   - GUAMO</v>
          </cell>
        </row>
        <row r="958">
          <cell r="AH958" t="str">
            <v>E.S.E. HOSPITAL  SAN ANTONIO  - AMBALEMA</v>
          </cell>
        </row>
        <row r="959">
          <cell r="AH959" t="str">
            <v>E.S.E. HOSPITAL  SAN ANTONIO  - HERVEO</v>
          </cell>
        </row>
        <row r="960">
          <cell r="AH960" t="str">
            <v>E.S.E. HOSPITAL  SAN ANTONIO  - NATAGAIMA</v>
          </cell>
        </row>
        <row r="961">
          <cell r="AH961" t="str">
            <v>E.S.E. HOSPITAL  SAN ANTONIO  -BETANIA</v>
          </cell>
        </row>
        <row r="962">
          <cell r="AH962" t="str">
            <v>E.S.E. HOSPITAL  SAN ANTONIO  -BURITICÁ</v>
          </cell>
        </row>
        <row r="963">
          <cell r="AH963" t="str">
            <v>E.S.E. HOSPITAL  SAN ANTONIO  -CARAMANTA</v>
          </cell>
        </row>
        <row r="964">
          <cell r="AH964" t="str">
            <v>E.S.E. HOSPITAL  SAN ANTONIO  -CISNEROS</v>
          </cell>
        </row>
        <row r="965">
          <cell r="AH965" t="str">
            <v>E.S.E. HOSPITAL  SAN ANTONIO  -MANZANARES</v>
          </cell>
        </row>
        <row r="966">
          <cell r="AH966" t="str">
            <v>E.S.E. HOSPITAL  SAN ANTONIO  -MONTEBELLO</v>
          </cell>
        </row>
        <row r="967">
          <cell r="AH967" t="str">
            <v>E.S.E. HOSPITAL  SAN ANTONIO  -ROLDANILLO (VALLE)</v>
          </cell>
        </row>
        <row r="968">
          <cell r="AH968" t="str">
            <v>E.S.E. HOSPITAL  SAN ANTONIO  -TARAZÁ</v>
          </cell>
        </row>
        <row r="969">
          <cell r="AH969" t="str">
            <v>E.S.E. HOSPITAL  SAN ANTONIO  -TARQUÍ</v>
          </cell>
        </row>
        <row r="970">
          <cell r="AH970" t="str">
            <v>E.S.E. HOSPITAL  SAN ANTONIO  -TIMANA</v>
          </cell>
        </row>
        <row r="971">
          <cell r="AH971" t="str">
            <v>E.S.E. HOSPITAL  SAN BARTOLOME  -MURINDÓ</v>
          </cell>
        </row>
        <row r="972">
          <cell r="AH972" t="str">
            <v>E.S.E. HOSPITAL  SAN BERNABE    - BUGALAGRANDE</v>
          </cell>
        </row>
        <row r="973">
          <cell r="AH973" t="str">
            <v>E.S.E. HOSPITAL  SAN BLAS II</v>
          </cell>
        </row>
        <row r="974">
          <cell r="AH974" t="str">
            <v>E.S.E. HOSPITAL  SAN CAMILO DE CELIS  -VEGACHI</v>
          </cell>
        </row>
        <row r="975">
          <cell r="AH975" t="str">
            <v>E.S.E. HOSPITAL  SAN CARLOS  -AIPE</v>
          </cell>
        </row>
        <row r="976">
          <cell r="AH976" t="str">
            <v>E.S.E. HOSPITAL  SAN CARLOS  -CAÑASGORDAS</v>
          </cell>
        </row>
        <row r="977">
          <cell r="AH977" t="str">
            <v>E.S.E. HOSPITAL  SAN CARLOS  -SAN PABLO</v>
          </cell>
        </row>
        <row r="978">
          <cell r="AH978" t="str">
            <v>E.S.E. HOSPITAL  SAN CRISTOBAL   - CIENAGA</v>
          </cell>
        </row>
        <row r="979">
          <cell r="AH979" t="str">
            <v>E.S.E. HOSPITAL  SAN CRISTOBAL - BOGOTA</v>
          </cell>
        </row>
        <row r="980">
          <cell r="AH980" t="str">
            <v>E.S.E. HOSPITAL  SAN DIEGO  -CERETE</v>
          </cell>
        </row>
        <row r="981">
          <cell r="AH981" t="str">
            <v>E.S.E. HOSPITAL  SAN FELIX  -LA DORADA</v>
          </cell>
        </row>
        <row r="982">
          <cell r="AH982" t="str">
            <v>E.S.E. HOSPITAL  SAN FERNANDO  -AMAGÁ</v>
          </cell>
        </row>
        <row r="983">
          <cell r="AH983" t="str">
            <v>E.S.E. HOSPITAL  SAN FRANCISCO   - IBAGUE</v>
          </cell>
        </row>
        <row r="984">
          <cell r="AH984" t="str">
            <v>E.S.E. HOSPITAL  SAN FRANCISCO  - GACHETA</v>
          </cell>
        </row>
        <row r="985">
          <cell r="AH985" t="str">
            <v>E.S.E. HOSPITAL  SAN FRANCISCO  -PEQUE</v>
          </cell>
        </row>
        <row r="986">
          <cell r="AH986" t="str">
            <v>E.S.E. HOSPITAL  SAN FRANCISCO DE ASIS  -ANZÁ</v>
          </cell>
        </row>
        <row r="987">
          <cell r="AH987" t="str">
            <v>E.S.E. HOSPITAL  SAN FRANCISCO DE ASIS  -PALERMO</v>
          </cell>
        </row>
        <row r="988">
          <cell r="AH988" t="str">
            <v>E.S.E. HOSPITAL  SAN FRANCISCO DE ASIS  -SAN FRANCISCO</v>
          </cell>
        </row>
        <row r="989">
          <cell r="AH989" t="str">
            <v>E.S.E. HOSPITAL  SAN ISIDRO  -GIRALDO</v>
          </cell>
        </row>
        <row r="990">
          <cell r="AH990" t="str">
            <v>E.S.E. HOSPITAL  SAN JOAQUIN  -NARIÑO</v>
          </cell>
        </row>
        <row r="991">
          <cell r="AH991" t="str">
            <v>E.S.E. HOSPITAL  SAN JORGE   - CALIMA EL DARIEN</v>
          </cell>
        </row>
        <row r="992">
          <cell r="AH992" t="str">
            <v>E.S.E. HOSPITAL  SAN JOSE  - ORTEGA</v>
          </cell>
        </row>
        <row r="993">
          <cell r="AH993" t="str">
            <v>E.S.E. HOSPITAL  SAN JOSÉ  - RESTREPO</v>
          </cell>
        </row>
        <row r="994">
          <cell r="AH994" t="str">
            <v>E.S.E. HOSPITAL  SAN JOSÉ  -BÉLEN DE UMBRÍA</v>
          </cell>
        </row>
        <row r="995">
          <cell r="AH995" t="str">
            <v>E.S.E. HOSPITAL  SAN JOSE  -LA CELIA</v>
          </cell>
        </row>
        <row r="996">
          <cell r="AH996" t="str">
            <v>E.S.E. HOSPITAL  SAN JOSE  -MARIQUITA</v>
          </cell>
        </row>
        <row r="997">
          <cell r="AH997" t="str">
            <v>E.S.E. HOSPITAL  SAN JOSE  -SALGAR</v>
          </cell>
        </row>
        <row r="998">
          <cell r="AH998" t="str">
            <v>E.S.E. HOSPITAL  SAN JOSE  -SAN JOSÉ DEL GUAVIARE</v>
          </cell>
        </row>
        <row r="999">
          <cell r="AH999" t="str">
            <v>E.S.E. HOSPITAL  SAN JOSE -BELALCAZAR</v>
          </cell>
        </row>
        <row r="1000">
          <cell r="AH1000" t="str">
            <v>E.S.E. HOSPITAL  SAN JUAN DE DIOS   - ANZOATEGUI</v>
          </cell>
        </row>
        <row r="1001">
          <cell r="AH1001" t="str">
            <v>E.S.E. HOSPITAL  SAN JUAN DE DIOS  - BARICHARA</v>
          </cell>
        </row>
        <row r="1002">
          <cell r="AH1002" t="str">
            <v>E.S.E. HOSPITAL  SAN JUAN DE DIOS  - LEBRIJA</v>
          </cell>
        </row>
        <row r="1003">
          <cell r="AH1003" t="str">
            <v>E.S.E. HOSPITAL  SAN JUAN DE DIOS  - RIOSUCIO</v>
          </cell>
        </row>
        <row r="1004">
          <cell r="AH1004" t="str">
            <v>E.S.E. HOSPITAL  SAN JUAN DE DIOS  -ABEJORRAL</v>
          </cell>
        </row>
        <row r="1005">
          <cell r="AH1005" t="str">
            <v>E.S.E. HOSPITAL  SAN JUAN DE DIOS  -ANORÍ</v>
          </cell>
        </row>
        <row r="1006">
          <cell r="AH1006" t="str">
            <v>E.S.E. HOSPITAL  SAN JUAN DE DIOS  -ARMENIA</v>
          </cell>
        </row>
        <row r="1007">
          <cell r="AH1007" t="str">
            <v>E.S.E. HOSPITAL  SAN JUAN DE DIOS  -CARMEN DE VIBORAL</v>
          </cell>
        </row>
        <row r="1008">
          <cell r="AH1008" t="str">
            <v>E.S.E. HOSPITAL  SAN JUAN DE DIOS  -COCORNÁ</v>
          </cell>
        </row>
        <row r="1009">
          <cell r="AH1009" t="str">
            <v>E.S.E. HOSPITAL  SAN JUAN DE DIOS  -CONCORDIA</v>
          </cell>
        </row>
        <row r="1010">
          <cell r="AH1010" t="str">
            <v>E.S.E. HOSPITAL  SAN JUAN DE DIOS  -ITUANGO</v>
          </cell>
        </row>
        <row r="1011">
          <cell r="AH1011" t="str">
            <v>E.S.E. HOSPITAL  SAN JUAN DE DIOS  -MARINILLA</v>
          </cell>
        </row>
        <row r="1012">
          <cell r="AH1012" t="str">
            <v>E.S.E. HOSPITAL  SAN JUAN DE DIOS  -PENSILVANIA</v>
          </cell>
        </row>
        <row r="1013">
          <cell r="AH1013" t="str">
            <v>E.S.E. HOSPITAL  SAN JUAN DE DIOS  -PEÑOL</v>
          </cell>
        </row>
        <row r="1014">
          <cell r="AH1014" t="str">
            <v>E.S.E. HOSPITAL  SAN JUAN DE DIOS  -SANTA ROSA DE OSOS</v>
          </cell>
        </row>
        <row r="1015">
          <cell r="AH1015" t="str">
            <v>E.S.E. HOSPITAL  SAN JUAN DE DIOS  -SANTUARIO</v>
          </cell>
        </row>
        <row r="1016">
          <cell r="AH1016" t="str">
            <v>E.S.E. HOSPITAL  SAN JUAN DE DIOS  -SEGOVIA</v>
          </cell>
        </row>
        <row r="1017">
          <cell r="AH1017" t="str">
            <v>E.S.E. HOSPITAL  SAN JUAN DE DIOS  -SONSÓN</v>
          </cell>
        </row>
        <row r="1018">
          <cell r="AH1018" t="str">
            <v>E.S.E. HOSPITAL  SAN JUAN DE DIOS  -TÁMESIS</v>
          </cell>
        </row>
        <row r="1019">
          <cell r="AH1019" t="str">
            <v>E.S.E. HOSPITAL  SAN JUAN DE DIOS  -TITIRIBÍ</v>
          </cell>
        </row>
        <row r="1020">
          <cell r="AH1020" t="str">
            <v>E.S.E. HOSPITAL  SAN JUAN DE DIOS  -VALDIVIA</v>
          </cell>
        </row>
        <row r="1021">
          <cell r="AH1021" t="str">
            <v>E.S.E. HOSPITAL  SAN JUAN DE DIOS  -VALPARAISO</v>
          </cell>
        </row>
        <row r="1022">
          <cell r="AH1022" t="str">
            <v>E.S.E. HOSPITAL  SAN JUAN DEL SUROESTE  -HISPANIA</v>
          </cell>
        </row>
        <row r="1023">
          <cell r="AH1023" t="str">
            <v>E.S.E. HOSPITAL  SAN JULIAN  -ARGELIA</v>
          </cell>
        </row>
        <row r="1024">
          <cell r="AH1024" t="str">
            <v>E.S.E. HOSPITAL  SAN LUIS BELTRAN  -SAN JERONIMO</v>
          </cell>
        </row>
        <row r="1025">
          <cell r="AH1025" t="str">
            <v>E.S.E. HOSPITAL  SAN MARCOS  -CHINCHINA</v>
          </cell>
        </row>
        <row r="1026">
          <cell r="AH1026" t="str">
            <v>E.S.E. HOSPITAL  SAN MARTÍN  -ARMENIA</v>
          </cell>
        </row>
        <row r="1027">
          <cell r="AH1027" t="str">
            <v>E.S.E. HOSPITAL  SAN MARTIN  -SAN MARTIN</v>
          </cell>
        </row>
        <row r="1028">
          <cell r="AH1028" t="str">
            <v>E.S.E. HOSPITAL  SAN MARTIN DE PORRES  - CHOCONTA</v>
          </cell>
        </row>
        <row r="1029">
          <cell r="AH1029" t="str">
            <v>E.S.E. HOSPITAL  SAN NICOLAS  . - VERSALLES</v>
          </cell>
        </row>
        <row r="1030">
          <cell r="AH1030" t="str">
            <v>E.S.E. HOSPITAL  SAN NICOLAS  -PLANETA RICA</v>
          </cell>
        </row>
        <row r="1031">
          <cell r="AH1031" t="str">
            <v>E.S.E. HOSPITAL  SAN PABLO  -TARSO</v>
          </cell>
        </row>
        <row r="1032">
          <cell r="AH1032" t="str">
            <v>E.S.E. HOSPITAL  SAN PEDRO  -SABANALARGA</v>
          </cell>
        </row>
        <row r="1033">
          <cell r="AH1033" t="str">
            <v>E.S.E. HOSPITAL  SAN PEDRO Y SAN PABLO  -LA VIRGINIA</v>
          </cell>
        </row>
        <row r="1034">
          <cell r="AH1034" t="str">
            <v>E.S.E. HOSPITAL  SAN RAFAEL    - FUSAGASUGA</v>
          </cell>
        </row>
        <row r="1035">
          <cell r="AH1035" t="str">
            <v>E.S.E. HOSPITAL  SAN RAFAEL   - CAROLINA</v>
          </cell>
        </row>
        <row r="1036">
          <cell r="AH1036" t="str">
            <v>E.S.E. HOSPITAL  SAN RAFAEL   - DOLORES</v>
          </cell>
        </row>
        <row r="1037">
          <cell r="AH1037" t="str">
            <v>E.S.E. HOSPITAL  SAN RAFAEL   - EL AGUILA</v>
          </cell>
        </row>
        <row r="1038">
          <cell r="AH1038" t="str">
            <v>E.S.E. HOSPITAL  SAN RAFAEL   - EL CERRITO</v>
          </cell>
        </row>
        <row r="1039">
          <cell r="AH1039" t="str">
            <v>E.S.E. HOSPITAL  SAN RAFAEL   - FACATATIVÁ</v>
          </cell>
        </row>
        <row r="1040">
          <cell r="AH1040" t="str">
            <v>E.S.E. HOSPITAL  SAN RAFAEL   - PACHO</v>
          </cell>
        </row>
        <row r="1041">
          <cell r="AH1041" t="str">
            <v>E.S.E. HOSPITAL  SAN RAFAEL  - CAQUEZA</v>
          </cell>
        </row>
        <row r="1042">
          <cell r="AH1042" t="str">
            <v>E.S.E. HOSPITAL  SAN RAFAEL  - FUNDACIÓN</v>
          </cell>
        </row>
        <row r="1043">
          <cell r="AH1043" t="str">
            <v>E.S.E. HOSPITAL  SAN RAFAEL  - OIBA</v>
          </cell>
        </row>
        <row r="1044">
          <cell r="AH1044" t="str">
            <v>E.S.E. HOSPITAL  SAN RAFAEL  -ANDES</v>
          </cell>
        </row>
        <row r="1045">
          <cell r="AH1045" t="str">
            <v>E.S.E. HOSPITAL  SAN RAFAEL  -ANGOSTURA</v>
          </cell>
        </row>
        <row r="1046">
          <cell r="AH1046" t="str">
            <v>E.S.E. HOSPITAL  SAN RAFAEL  -EBEJICO</v>
          </cell>
        </row>
        <row r="1047">
          <cell r="AH1047" t="str">
            <v>E.S.E. HOSPITAL  SAN RAFAEL  -GIRARDOTA</v>
          </cell>
        </row>
        <row r="1048">
          <cell r="AH1048" t="str">
            <v>E.S.E. HOSPITAL  SAN RAFAEL  -HELICONIA</v>
          </cell>
        </row>
        <row r="1049">
          <cell r="AH1049" t="str">
            <v>E.S.E. HOSPITAL  SAN RAFAEL  -ITAGUÍ</v>
          </cell>
        </row>
        <row r="1050">
          <cell r="AH1050" t="str">
            <v>E.S.E. HOSPITAL  SAN RAFAEL  -JERICÓ</v>
          </cell>
        </row>
        <row r="1051">
          <cell r="AH1051" t="str">
            <v>E.S.E. HOSPITAL  SAN RAFAEL  -PUEBLORRICO</v>
          </cell>
        </row>
        <row r="1052">
          <cell r="AH1052" t="str">
            <v>E.S.E. HOSPITAL  SAN RAFAEL  -SAN LUIS</v>
          </cell>
        </row>
        <row r="1053">
          <cell r="AH1053" t="str">
            <v>E.S.E. HOSPITAL  SAN RAFAEL  -SANTO DOMINGO</v>
          </cell>
        </row>
        <row r="1054">
          <cell r="AH1054" t="str">
            <v>E.S.E. HOSPITAL  SAN RAFAEL  -VENECIA</v>
          </cell>
        </row>
        <row r="1055">
          <cell r="AH1055" t="str">
            <v>E.S.E. HOSPITAL  SAN RAFAEL  -ZARAGOZA</v>
          </cell>
        </row>
        <row r="1056">
          <cell r="AH1056" t="str">
            <v>E.S.E. HOSPITAL  SAN ROQUE   - COYAIMA</v>
          </cell>
        </row>
        <row r="1057">
          <cell r="AH1057" t="str">
            <v>E.S.E. HOSPITAL  SAN ROQUE   - GUACARI</v>
          </cell>
        </row>
        <row r="1058">
          <cell r="AH1058" t="str">
            <v>E.S.E. HOSPITAL  SAN ROQUE   - PRADERA</v>
          </cell>
        </row>
        <row r="1059">
          <cell r="AH1059" t="str">
            <v>E.S.E. HOSPITAL  SAN ROQUE  - SIMACOTA</v>
          </cell>
        </row>
        <row r="1060">
          <cell r="AH1060" t="str">
            <v>E.S.E. HOSPITAL  SAN ROQUE  -SAN ROQUE</v>
          </cell>
        </row>
        <row r="1061">
          <cell r="AH1061" t="str">
            <v>E.S.E. HOSPITAL  SAN SEBASTIAN DE URABA  -NECOCLÍ</v>
          </cell>
        </row>
        <row r="1062">
          <cell r="AH1062" t="str">
            <v>E.S.E. HOSPITAL  SAN VICENTE  - RAMIRIQUI</v>
          </cell>
        </row>
        <row r="1063">
          <cell r="AH1063" t="str">
            <v>E.S.E. HOSPITAL  SAN VICENTE  -ARAUCA</v>
          </cell>
        </row>
        <row r="1064">
          <cell r="AH1064" t="str">
            <v>E.S.E. HOSPITAL  SAN VICENTE  -ROVIRA</v>
          </cell>
        </row>
        <row r="1065">
          <cell r="AH1065" t="str">
            <v>E.S.E. HOSPITAL  SAN VICENTE DE PAUL   - FRESNO</v>
          </cell>
        </row>
        <row r="1066">
          <cell r="AH1066" t="str">
            <v>E.S.E. HOSPITAL  SAN VICENTE DE PAUL  - FILANDIA</v>
          </cell>
        </row>
        <row r="1067">
          <cell r="AH1067" t="str">
            <v>E.S.E. HOSPITAL  SAN VICENTE DE PAUL  - PRADO</v>
          </cell>
        </row>
        <row r="1068">
          <cell r="AH1068" t="str">
            <v>E.S.E. HOSPITAL  SAN VICENTE DE PAUL  -ALCALA</v>
          </cell>
        </row>
        <row r="1069">
          <cell r="AH1069" t="str">
            <v>E.S.E. HOSPITAL  SAN VICENTE DE PAUL  -ANSERMA</v>
          </cell>
        </row>
        <row r="1070">
          <cell r="AH1070" t="str">
            <v>E.S.E. HOSPITAL  SAN VICENTE DE PAUL  -APIA</v>
          </cell>
        </row>
        <row r="1071">
          <cell r="AH1071" t="str">
            <v>E.S.E. HOSPITAL  SAN VICENTE DE PAUL  -BARBOSA</v>
          </cell>
        </row>
        <row r="1072">
          <cell r="AH1072" t="str">
            <v>E.S.E. HOSPITAL  SAN VICENTE DE PAUL  -GENOVA</v>
          </cell>
        </row>
        <row r="1073">
          <cell r="AH1073" t="str">
            <v>E.S.E. HOSPITAL  SAN VICENTE DE PAUL  -LORICA</v>
          </cell>
        </row>
        <row r="1074">
          <cell r="AH1074" t="str">
            <v>E.S.E. HOSPITAL  SAN VICENTE DE PAUL  -MISTRATO</v>
          </cell>
        </row>
        <row r="1075">
          <cell r="AH1075" t="str">
            <v>E.S.E. HOSPITAL  SAN VICENTE DE PAUL  -PAIPA</v>
          </cell>
        </row>
        <row r="1076">
          <cell r="AH1076" t="str">
            <v>E.S.E. HOSPITAL  SAN VICENTE DE PAUL  -PUEBLORRICO</v>
          </cell>
        </row>
        <row r="1077">
          <cell r="AH1077" t="str">
            <v>E.S.E. HOSPITAL  SAN VICENTE DE PAUL  -REMEDIOS</v>
          </cell>
        </row>
        <row r="1078">
          <cell r="AH1078" t="str">
            <v>E.S.E. HOSPITAL  SAN VICENTE DE PAUL  -SAN CARLOS</v>
          </cell>
        </row>
        <row r="1079">
          <cell r="AH1079" t="str">
            <v>E.S.E. HOSPITAL  SAN VICENTE DE PAUL  -SAN JUAN DE RIOSECO</v>
          </cell>
        </row>
        <row r="1080">
          <cell r="AH1080" t="str">
            <v>E.S.E. HOSPITAL  SAN VICENTE DE PAUL  -SANTA ROSA DE CABAL</v>
          </cell>
        </row>
        <row r="1081">
          <cell r="AH1081" t="str">
            <v>E.S.E. HOSPITAL  SAN VICENTE DE PAUL  -URRAO</v>
          </cell>
        </row>
        <row r="1082">
          <cell r="AH1082" t="str">
            <v>E.S.E. HOSPITAL  SAN VICENTE FERRER  - ANDALUCIA</v>
          </cell>
        </row>
        <row r="1083">
          <cell r="AH1083" t="str">
            <v>E.S.E. HOSPITAL  SANTA ANA    - BOLIVAR</v>
          </cell>
        </row>
        <row r="1084">
          <cell r="AH1084" t="str">
            <v>E.S.E. HOSPITAL  SANTA ANA   - FALAN</v>
          </cell>
        </row>
        <row r="1085">
          <cell r="AH1085" t="str">
            <v>E.S.E. HOSPITAL  SANTA ANA  -GUATICA</v>
          </cell>
        </row>
        <row r="1086">
          <cell r="AH1086" t="str">
            <v>E.S.E. HOSPITAL  SANTA ANA  -PALESTINA</v>
          </cell>
        </row>
        <row r="1087">
          <cell r="AH1087" t="str">
            <v>E.S.E. HOSPITAL  SANTA ANA DE LOS CABALLEROS  - ANSERMANUEVO</v>
          </cell>
        </row>
        <row r="1088">
          <cell r="AH1088" t="str">
            <v>E.S.E. HOSPITAL  SANTA BARBARA  -VENADILLO</v>
          </cell>
        </row>
        <row r="1089">
          <cell r="AH1089" t="str">
            <v>E.S.E. HOSPITAL  SANTA BARBARA  -VERGARA</v>
          </cell>
        </row>
        <row r="1090">
          <cell r="AH1090" t="str">
            <v>E.S.E. HOSPITAL  SANTA CATALINA  -EL CAIRO</v>
          </cell>
        </row>
        <row r="1091">
          <cell r="AH1091" t="str">
            <v>E.S.E. HOSPITAL  SANTA CLARA</v>
          </cell>
        </row>
        <row r="1092">
          <cell r="AH1092" t="str">
            <v>E.S.E. HOSPITAL  SANTA CRUZ  - TRUJILLO</v>
          </cell>
        </row>
        <row r="1093">
          <cell r="AH1093" t="str">
            <v>E.S.E. HOSPITAL  SANTA ISABEL  -GÓMEZ PLATA</v>
          </cell>
        </row>
        <row r="1094">
          <cell r="AH1094" t="str">
            <v>E.S.E. HOSPITAL  SANTA ISABEL  -SAN PEDRO DE LOS MILAGROS</v>
          </cell>
        </row>
        <row r="1095">
          <cell r="AH1095" t="str">
            <v>E.S.E. HOSPITAL  SANTA LUCIA   - EL DOVIO</v>
          </cell>
        </row>
        <row r="1096">
          <cell r="AH1096" t="str">
            <v>E.S.E. HOSPITAL  SANTA LUCIA  -CAJAMARCA</v>
          </cell>
        </row>
        <row r="1097">
          <cell r="AH1097" t="str">
            <v>E.S.E. HOSPITAL  SANTA LUCIA  -FREDONIA</v>
          </cell>
        </row>
        <row r="1098">
          <cell r="AH1098" t="str">
            <v>E.S.E. HOSPITAL  SANTA MARGARITA  - LA CUMBRE</v>
          </cell>
        </row>
        <row r="1099">
          <cell r="AH1099" t="str">
            <v>E.S.E. HOSPITAL  SANTA MARGARITA  -COPACABANA</v>
          </cell>
        </row>
        <row r="1100">
          <cell r="AH1100" t="str">
            <v>E.S.E. HOSPITAL  SANTA MARIA  -SANTA BARBARA</v>
          </cell>
        </row>
        <row r="1101">
          <cell r="AH1101" t="str">
            <v>E.S.E. HOSPITAL  SANTA MONICA  -DOSQUEBRADAS</v>
          </cell>
        </row>
        <row r="1102">
          <cell r="AH1102" t="str">
            <v>E.S.E. HOSPITAL  SANTA SOFIA  -CALDAS</v>
          </cell>
        </row>
        <row r="1103">
          <cell r="AH1103" t="str">
            <v>E.S.E. HOSPITAL  SANTA TERESITA  -PACORA</v>
          </cell>
        </row>
        <row r="1104">
          <cell r="AH1104" t="str">
            <v>E.S.E. HOSPITAL  SANTANDER - CAICEDONIA</v>
          </cell>
        </row>
        <row r="1105">
          <cell r="AH1105" t="str">
            <v>E.S.E. HOSPITAL  SANTANDER HERRERA   - PIVIJAY</v>
          </cell>
        </row>
        <row r="1106">
          <cell r="AH1106" t="str">
            <v>E.S.E. HOSPITAL  SANTO DOMINGO  - CASABIANCA</v>
          </cell>
        </row>
        <row r="1107">
          <cell r="AH1107" t="str">
            <v>E.S.E. HOSPITAL  SARARE  -SARAVENA</v>
          </cell>
        </row>
        <row r="1108">
          <cell r="AH1108" t="str">
            <v>E.S.E. HOSPITAL  SIMON BOLÍVAR</v>
          </cell>
        </row>
        <row r="1109">
          <cell r="AH1109" t="str">
            <v>E.S.E. HOSPITAL  SUSANA LOPEZ DE VALENCIA  -POPAYAN</v>
          </cell>
        </row>
        <row r="1110">
          <cell r="AH1110" t="str">
            <v>E.S.E. HOSPITAL  TOBIAS PUERTA  -URAMITA</v>
          </cell>
        </row>
        <row r="1111">
          <cell r="AH1111" t="str">
            <v>E.S.E. HOSPITAL  TULIA DURAN DE BORRERO  -BARAYA</v>
          </cell>
        </row>
        <row r="1112">
          <cell r="AH1112" t="str">
            <v>E.S.E. HOSPITAL  ULPIANO TASCON - SAN PEDRO</v>
          </cell>
        </row>
        <row r="1113">
          <cell r="AH1113" t="str">
            <v>E.S.E. HOSPITAL  VENANCIO DÍAZ DÍAZ  -SABANETA</v>
          </cell>
        </row>
        <row r="1114">
          <cell r="AH1114" t="str">
            <v>E.S.E. HOSPITAL  VISTAHERMOSA</v>
          </cell>
        </row>
        <row r="1115">
          <cell r="AH1115" t="str">
            <v>E.S.E. HOSPITAL 7 DE AGOSTO DE PLATO - MAGDALENA</v>
          </cell>
        </row>
        <row r="1116">
          <cell r="AH1116" t="str">
            <v>E.S.E. HOSPITAL AGUSTÍN CODAZZI</v>
          </cell>
        </row>
        <row r="1117">
          <cell r="AH1117" t="str">
            <v>E.S.E. HOSPITAL ANTONIO ROLDÁN BETANCUR -APARTADO</v>
          </cell>
        </row>
        <row r="1118">
          <cell r="AH1118" t="str">
            <v>E.S.E. HOSPITAL BARRANCAS</v>
          </cell>
        </row>
        <row r="1119">
          <cell r="AH1119" t="str">
            <v>E.S.E. HOSPITAL BAUDILIO ACERO</v>
          </cell>
        </row>
        <row r="1120">
          <cell r="AH1120" t="str">
            <v>E.S.E. HOSPITAL CAICEDO FLOREZ - SUAITA</v>
          </cell>
        </row>
        <row r="1121">
          <cell r="AH1121" t="str">
            <v>E.S.E. HOSPITAL CAMILO VILLAZÓN PUMAREJO - PUEBLO BELLO</v>
          </cell>
        </row>
        <row r="1122">
          <cell r="AH1122" t="str">
            <v>E.S.E. HOSPITAL CENTRO ORIENTE</v>
          </cell>
        </row>
        <row r="1123">
          <cell r="AH1123" t="str">
            <v>E.S.E. HOSPITAL CERRO DE SAN ANTONIO - CERRO DE SAN ANTONIO</v>
          </cell>
        </row>
        <row r="1124">
          <cell r="AH1124" t="str">
            <v>E.S.E. HOSPITAL CESAR URIBE PIEDRAHITA  -CAUCASIA</v>
          </cell>
        </row>
        <row r="1125">
          <cell r="AH1125" t="str">
            <v>E.S.E. HOSPITAL CHAPINERO</v>
          </cell>
        </row>
        <row r="1126">
          <cell r="AH1126" t="str">
            <v>E.S.E. HOSPITAL COMUNAL LAS MALVINAS - FLORENCIA</v>
          </cell>
        </row>
        <row r="1127">
          <cell r="AH1127" t="str">
            <v>E.S.E. HOSPITAL CUMBAL</v>
          </cell>
        </row>
        <row r="1128">
          <cell r="AH1128" t="str">
            <v>E.S.E. HOSPITAL DE BOSA</v>
          </cell>
        </row>
        <row r="1129">
          <cell r="AH1129" t="str">
            <v>E.S.E. HOSPITAL DE CALDAS</v>
          </cell>
        </row>
        <row r="1130">
          <cell r="AH1130" t="str">
            <v>E.S.E. HOSPITAL DE CANDELARIA</v>
          </cell>
        </row>
        <row r="1131">
          <cell r="AH1131" t="str">
            <v>E.S.E. HOSPITAL DE CASTILLA LA NUEVA</v>
          </cell>
        </row>
        <row r="1132">
          <cell r="AH1132" t="str">
            <v>E.S.E. HOSPITAL DE CHIBOLO - CHIBOLO</v>
          </cell>
        </row>
        <row r="1133">
          <cell r="AH1133" t="str">
            <v>E.S.E. HOSPITAL DE EL PASO - HERNANDO QUINTERO BLANCO - EL PASO</v>
          </cell>
        </row>
        <row r="1134">
          <cell r="AH1134" t="str">
            <v>E.S.E. HOSPITAL DE GIRARDOT</v>
          </cell>
        </row>
        <row r="1135">
          <cell r="AH1135" t="str">
            <v>E.S.E. HOSPITAL DE HATILLO DE LOBA - BOLIVAR</v>
          </cell>
        </row>
        <row r="1136">
          <cell r="AH1136" t="str">
            <v>E.S.E. HOSPITAL DE JUAN DE ACOSTA</v>
          </cell>
        </row>
        <row r="1137">
          <cell r="AH1137" t="str">
            <v>E.S.E. HOSPITAL DE LA CEJA</v>
          </cell>
        </row>
        <row r="1138">
          <cell r="AH1138" t="str">
            <v>E.S.E. HOSPITAL DE MEISSEN</v>
          </cell>
        </row>
        <row r="1139">
          <cell r="AH1139" t="str">
            <v>E.S.E. HOSPITAL DE ORITO - ORITO</v>
          </cell>
        </row>
        <row r="1140">
          <cell r="AH1140" t="str">
            <v>E.S.E. HOSPITAL DE PEDRAZA - PEDRAZA</v>
          </cell>
        </row>
        <row r="1141">
          <cell r="AH1141" t="str">
            <v>E.S.E. HOSPITAL DE PONEDERA</v>
          </cell>
        </row>
        <row r="1142">
          <cell r="AH1142" t="str">
            <v>E.S.E. HOSPITAL DE PUERTO COLOMBIA</v>
          </cell>
        </row>
        <row r="1143">
          <cell r="AH1143" t="str">
            <v>E.S.E. HOSPITAL DE SALAMINA - SALAMINA</v>
          </cell>
        </row>
        <row r="1144">
          <cell r="AH1144" t="str">
            <v>E.S.E. HOSPITAL DE SAN MARTIN</v>
          </cell>
        </row>
        <row r="1145">
          <cell r="AH1145" t="str">
            <v>E.S.E. HOSPITAL DE SAN ONOFRE</v>
          </cell>
        </row>
        <row r="1146">
          <cell r="AH1146" t="str">
            <v>E.S.E. HOSPITAL DE SANTO TOMAS</v>
          </cell>
        </row>
        <row r="1147">
          <cell r="AH1147" t="str">
            <v>E.S.E. HOSPITAL DE SITIONUEVO - SITIONUEVO</v>
          </cell>
        </row>
        <row r="1148">
          <cell r="AH1148" t="str">
            <v>E.S.E. HOSPITAL DE SUBA</v>
          </cell>
        </row>
        <row r="1149">
          <cell r="AH1149" t="str">
            <v>E.S.E. HOSPITAL DE TAMALAMEQUE</v>
          </cell>
        </row>
        <row r="1150">
          <cell r="AH1150" t="str">
            <v>E.S.E. HOSPITAL DE USAQUEN</v>
          </cell>
        </row>
        <row r="1151">
          <cell r="AH1151" t="str">
            <v>E.S.E. HOSPITAL DE USME</v>
          </cell>
        </row>
        <row r="1152">
          <cell r="AH1152" t="str">
            <v>E.S.E. HOSPITAL DEL MUNICIPIO DE MANATI</v>
          </cell>
        </row>
        <row r="1153">
          <cell r="AH1153" t="str">
            <v>E.S.E. HOSPITAL DEL PERPETUO SOCORRO DE VILLAVIEJA</v>
          </cell>
        </row>
        <row r="1154">
          <cell r="AH1154" t="str">
            <v>E.S.E. HOSPITAL DEL ROSARIO - GINEBRA</v>
          </cell>
        </row>
        <row r="1155">
          <cell r="AH1155" t="str">
            <v>E.S.E. HOSPITAL DEL SUR</v>
          </cell>
        </row>
        <row r="1156">
          <cell r="AH1156" t="str">
            <v>E.S.E. HOSPITAL DEL SUR  GABRIEL JARAMILLO PIEDRAHITA</v>
          </cell>
        </row>
        <row r="1157">
          <cell r="AH1157" t="str">
            <v>E.S.E. HOSPITAL DEPARTAMENTAL  HERNANDO MONCALEANO PERDOMO  - NEIVA</v>
          </cell>
        </row>
        <row r="1158">
          <cell r="AH1158" t="str">
            <v>E.S.E. HOSPITAL DEPARTAMENTAL  SAN ANTONIO  -PITALITO</v>
          </cell>
        </row>
        <row r="1159">
          <cell r="AH1159" t="str">
            <v>E.S.E. HOSPITAL DEPARTAMENTAL  SAN ANTONIO DE PADUA  -LA PLATA</v>
          </cell>
        </row>
        <row r="1160">
          <cell r="AH1160" t="str">
            <v>E.S.E. HOSPITAL DEPARTAMENTAL  SAN VICENTE DE PAUL  -GARZON</v>
          </cell>
        </row>
        <row r="1161">
          <cell r="AH1161" t="str">
            <v>E.S.E. HOSPITAL DEPARTAMENTAL CENTENARIO DE SEVILLA</v>
          </cell>
        </row>
        <row r="1162">
          <cell r="AH1162" t="str">
            <v>E.S.E. HOSPITAL DEPARTAMENTAL DE BUENAVENTURA</v>
          </cell>
        </row>
        <row r="1163">
          <cell r="AH1163" t="str">
            <v>E.S.E. HOSPITAL DEPARTAMENTAL DE CARTAGO</v>
          </cell>
        </row>
        <row r="1164">
          <cell r="AH1164" t="str">
            <v>E.S.E. HOSPITAL DEPARTAMENTAL DE SABANALARGA</v>
          </cell>
        </row>
        <row r="1165">
          <cell r="AH1165" t="str">
            <v>E.S.E. HOSPITAL DEPARTAMENTAL DE VILLAVICENCIO</v>
          </cell>
        </row>
        <row r="1166">
          <cell r="AH1166" t="str">
            <v>E.S.E. HOSPITAL DEPARTAMENTAL JUAN DOMINGUEZ ROMERO DE SOLEDAD</v>
          </cell>
        </row>
        <row r="1167">
          <cell r="AH1167" t="str">
            <v>E.S.E. HOSPITAL DEPARTAMENTAL MANUEL ELKIN PATARROYO - GUANIA</v>
          </cell>
        </row>
        <row r="1168">
          <cell r="AH1168" t="str">
            <v>E.S.E. HOSPITAL DEPARTAMENTAL SAN ANTONIO DE MARMATO - CALDAS</v>
          </cell>
        </row>
        <row r="1169">
          <cell r="AH1169" t="str">
            <v>E.S.E. HOSPITAL DEPARTAMENTAL SAN JOSE - MARULANDA</v>
          </cell>
        </row>
        <row r="1170">
          <cell r="AH1170" t="str">
            <v>E.S.E. HOSPITAL DEPARTAMENTAL SAN JOSE DE SAN JOSE - CALDAS</v>
          </cell>
        </row>
        <row r="1171">
          <cell r="AH1171" t="str">
            <v>E.S.E. HOSPITAL DEPARTAMENTAL SAN SIMON - VICTORIA</v>
          </cell>
        </row>
        <row r="1172">
          <cell r="AH1172" t="str">
            <v>E.S.E. HOSPITAL DEPARTAMENTAL SAN VICENTE DE PAUL - ARANZAZU</v>
          </cell>
        </row>
        <row r="1173">
          <cell r="AH1173" t="str">
            <v>E.S.E. HOSPITAL DIOGENES TRONCOSO - PUERTO SALGAR</v>
          </cell>
        </row>
        <row r="1174">
          <cell r="AH1174" t="str">
            <v>E.S.E. HOSPITAL DIVINO NIÑO - BUGA</v>
          </cell>
        </row>
        <row r="1175">
          <cell r="AH1175" t="str">
            <v>E.S.E. HOSPITAL DIVINO NIÑO - RIVERA</v>
          </cell>
        </row>
        <row r="1176">
          <cell r="AH1176" t="str">
            <v>E.S.E. HOSPITAL DIVINO SALVADOR -SOPO</v>
          </cell>
        </row>
        <row r="1177">
          <cell r="AH1177" t="str">
            <v>E.S.E. HOSPITAL DONALDO SAÚL MORON MANJARREZ - JAGUA DEL PILAR</v>
          </cell>
        </row>
        <row r="1178">
          <cell r="AH1178" t="str">
            <v>E.S.E. HOSPITAL DPTAL.  REINA SOFIA DE ESPAÑA   - LERIDA</v>
          </cell>
        </row>
        <row r="1179">
          <cell r="AH1179" t="str">
            <v>E.S.E. HOSPITAL DPTAL.  SAN JUAN BAUTISTA   - CHAPARRAL</v>
          </cell>
        </row>
        <row r="1180">
          <cell r="AH1180" t="str">
            <v>E.S.E. HOSPITAL DPTAL. ESPECIALIZADO GRANJA INTEGRAL  - LERIDA</v>
          </cell>
        </row>
        <row r="1181">
          <cell r="AH1181" t="str">
            <v>E.S.E. HOSPITAL DPTAL. FEDERICO LLERAS ACOSTA - IBAGUE</v>
          </cell>
        </row>
        <row r="1182">
          <cell r="AH1182" t="str">
            <v>E.S.E. HOSPITAL DPTAL. REGIONAL DE EL LIBANO</v>
          </cell>
        </row>
        <row r="1183">
          <cell r="AH1183" t="str">
            <v>E.S.E. HOSPITAL DPTAL. SAN RAFAEL   - ESPINAL</v>
          </cell>
        </row>
        <row r="1184">
          <cell r="AH1184" t="str">
            <v>E.S.E. HOSPITAL EDUARDO SANTOS - ISTMINA</v>
          </cell>
        </row>
        <row r="1185">
          <cell r="AH1185" t="str">
            <v>E.S.E. HOSPITAL EL SOCORRO  - SAN DIEGO</v>
          </cell>
        </row>
        <row r="1186">
          <cell r="AH1186" t="str">
            <v>E.S.E. HOSPITAL EMIRO QUINTERO CAÑIZARES - OCAÑA</v>
          </cell>
        </row>
        <row r="1187">
          <cell r="AH1187" t="str">
            <v>E.S.E. HOSPITAL ENGATIVÁ</v>
          </cell>
        </row>
        <row r="1188">
          <cell r="AH1188" t="str">
            <v>E.S.E. HOSPITAL ERASMO MEOZ</v>
          </cell>
        </row>
        <row r="1189">
          <cell r="AH1189" t="str">
            <v>E.S.E. HOSPITAL ESPECIAL DE CUBARÁ - CUBARÁ</v>
          </cell>
        </row>
        <row r="1190">
          <cell r="AH1190" t="str">
            <v>E.S.E. HOSPITAL FELIPE SUAREZ DE SALAMINA</v>
          </cell>
        </row>
        <row r="1191">
          <cell r="AH1191" t="str">
            <v>E.S.E. HOSPITAL FONTIBÓN</v>
          </cell>
        </row>
        <row r="1192">
          <cell r="AH1192" t="str">
            <v>E.S.E. HOSPITAL FRANCISCO CANOSA  - PELAYA</v>
          </cell>
        </row>
        <row r="1193">
          <cell r="AH1193" t="str">
            <v>E.S.E. HOSPITAL FRANCISCO VALDERRAMA - TURBO</v>
          </cell>
        </row>
        <row r="1194">
          <cell r="AH1194" t="str">
            <v>E.S.E. HOSPITAL FRAY LUIS DE LEON  - PLATO</v>
          </cell>
        </row>
        <row r="1195">
          <cell r="AH1195" t="str">
            <v>E.S.E. HOSPITAL FRONTERIZO LA DORADA</v>
          </cell>
        </row>
        <row r="1196">
          <cell r="AH1196" t="str">
            <v>E.S.E. HOSPITAL GERIATRICO  SAN ISIDRO  -MANIZALES</v>
          </cell>
        </row>
        <row r="1197">
          <cell r="AH1197" t="str">
            <v>E.S.E. HOSPITAL GERIATRICO ANCIANATO SAN MIGUEL</v>
          </cell>
        </row>
        <row r="1198">
          <cell r="AH1198" t="str">
            <v>E.S.E. HOSPITAL GIGANTE</v>
          </cell>
        </row>
        <row r="1199">
          <cell r="AH1199" t="str">
            <v>E.S.E. HOSPITAL GILBERTO MEJIA MEJIA</v>
          </cell>
        </row>
        <row r="1200">
          <cell r="AH1200" t="str">
            <v>E.S.E. HOSPITAL GUACHUCAL</v>
          </cell>
        </row>
        <row r="1201">
          <cell r="AH1201" t="str">
            <v>E.S.E. HOSPITAL HELI MORENO BLANCO  - PAILITAS</v>
          </cell>
        </row>
        <row r="1202">
          <cell r="AH1202" t="str">
            <v>E.S.E. HOSPITAL HILARIO LUGO - SASAIMA</v>
          </cell>
        </row>
        <row r="1203">
          <cell r="AH1203" t="str">
            <v>E.S.E. HOSPITAL INTEGRADO LANDAZURI</v>
          </cell>
        </row>
        <row r="1204">
          <cell r="AH1204" t="str">
            <v>E.S.E. HOSPITAL INTEGRADO SAN ANTONIO - PUENTE NACIONAL</v>
          </cell>
        </row>
        <row r="1205">
          <cell r="AH1205" t="str">
            <v>E.S.E. HOSPITAL INTEGRADO SAN BERNARDO DE BARBOSA</v>
          </cell>
        </row>
        <row r="1206">
          <cell r="AH1206" t="str">
            <v>E.S.E. HOSPITAL INTEGRADO SAN JOAQUIN</v>
          </cell>
        </row>
        <row r="1207">
          <cell r="AH1207" t="str">
            <v>E.S.E. HOSPITAL INTEGRADO SAN JUAN DE CIMITARRA</v>
          </cell>
        </row>
        <row r="1208">
          <cell r="AH1208" t="str">
            <v>E.S.E. HOSPITAL INTEGRADO SAN ROQUE DE CURITI</v>
          </cell>
        </row>
        <row r="1209">
          <cell r="AH1209" t="str">
            <v>E.S.E. HOSPITAL ISABEL CELIS YAÑEZ</v>
          </cell>
        </row>
        <row r="1210">
          <cell r="AH1210" t="str">
            <v>E.S.E. HOSPITAL ISAIAS DUARTE CANCINO -  VALLE DEL CAUCA</v>
          </cell>
        </row>
        <row r="1211">
          <cell r="AH1211" t="str">
            <v>E.S.E. HOSPITAL ISMAEL SILVA - SILVANIA</v>
          </cell>
        </row>
        <row r="1212">
          <cell r="AH1212" t="str">
            <v>E.S.E. HOSPITAL JORGE JULIO GUZMAN</v>
          </cell>
        </row>
        <row r="1213">
          <cell r="AH1213" t="str">
            <v>E.S.E. HOSPITAL JOSE ANTONIO SOCARRAS SANCHEZ</v>
          </cell>
        </row>
        <row r="1214">
          <cell r="AH1214" t="str">
            <v>E.S.E. HOSPITAL JOSE DAVID PADILLA VILLAFAÑE - AGUACHICA</v>
          </cell>
        </row>
        <row r="1215">
          <cell r="AH1215" t="str">
            <v>E.S.E. HOSPITAL JOSÉ RUDECINDO LÓPEZ PARODI - BARRANCO DE LOBA</v>
          </cell>
        </row>
        <row r="1216">
          <cell r="AH1216" t="str">
            <v>E.S.E. HOSPITAL JUAN PABLO II - ARATOCA (SANTANDER)</v>
          </cell>
        </row>
        <row r="1217">
          <cell r="AH1217" t="str">
            <v>E.S.E. HOSPITAL LA DIVINA MISERICORDIA DE MAGANGUE</v>
          </cell>
        </row>
        <row r="1218">
          <cell r="AH1218" t="str">
            <v>E.S.E. HOSPITAL LA INMACULADA - CHIMICHAGUA</v>
          </cell>
        </row>
        <row r="1219">
          <cell r="AH1219" t="str">
            <v>E.S.E. HOSPITAL LA UNION - SUCRE</v>
          </cell>
        </row>
        <row r="1220">
          <cell r="AH1220" t="str">
            <v>E.S.E. HOSPITAL LAUREANO PINO -SAN JÓSE DE LA MONTAÑA</v>
          </cell>
        </row>
        <row r="1221">
          <cell r="AH1221" t="str">
            <v>E.S.E. HOSPITAL LAZARO ALFONSO HERNANDEZ LARA - SAN ALBERTO</v>
          </cell>
        </row>
        <row r="1222">
          <cell r="AH1222" t="str">
            <v>E.S.E. HOSPITAL LOCAL  ISMAEL ROLDAN VALENCIA  - QUIBDÓ</v>
          </cell>
        </row>
        <row r="1223">
          <cell r="AH1223" t="str">
            <v>E.S.E. HOSPITAL LOCAL  MATERNO INFANTIL  -YOTOCO</v>
          </cell>
        </row>
        <row r="1224">
          <cell r="AH1224" t="str">
            <v>E.S.E. HOSPITAL LOCAL - MUNICIPIO DE LOS PATIOS</v>
          </cell>
        </row>
        <row r="1225">
          <cell r="AH1225" t="str">
            <v>E.S.E. HOSPITAL LOCAL - OBANDO</v>
          </cell>
        </row>
        <row r="1226">
          <cell r="AH1226" t="str">
            <v>E.S.E. HOSPITAL LOCAL  PEDRO SAENZ DIAZ   - ULLOA</v>
          </cell>
        </row>
        <row r="1227">
          <cell r="AH1227" t="str">
            <v>E.S.E. HOSPITAL LOCAL  SAN MIGUEL  -OLAYA</v>
          </cell>
        </row>
        <row r="1228">
          <cell r="AH1228" t="str">
            <v>E.S.E. HOSPITAL LOCAL  SANTA CRUZ  - ABRIAQUI - EN LIQUIDACION</v>
          </cell>
        </row>
        <row r="1229">
          <cell r="AH1229" t="str">
            <v>E.S.E. HOSPITAL LOCAL - TURBACO</v>
          </cell>
        </row>
        <row r="1230">
          <cell r="AH1230" t="str">
            <v>E.S.E. HOSPITAL LOCAL ANA MARÍA RODRÍGUEZ - SAN ESTANISLAO DE KOTSKA</v>
          </cell>
        </row>
        <row r="1231">
          <cell r="AH1231" t="str">
            <v>E.S.E. HOSPITAL LOCAL -BARANOA</v>
          </cell>
        </row>
        <row r="1232">
          <cell r="AH1232" t="str">
            <v>E.S.E. HOSPITAL LOCAL CALAMAR - CALAMAR</v>
          </cell>
        </row>
        <row r="1233">
          <cell r="AH1233" t="str">
            <v>E.S.E. HOSPITAL LOCAL CANDELARIA</v>
          </cell>
        </row>
        <row r="1234">
          <cell r="AH1234" t="str">
            <v>E.S.E. HOSPITAL LOCAL CARTAGENA DE INDIAS - CARTAGENA DE INDIAS</v>
          </cell>
        </row>
        <row r="1235">
          <cell r="AH1235" t="str">
            <v>E.S.E. HOSPITAL LOCAL CRISTIAN MORENO  - CURUMANI</v>
          </cell>
        </row>
        <row r="1236">
          <cell r="AH1236" t="str">
            <v>E.S.E. HOSPITAL LOCAL DE AGUACHICA</v>
          </cell>
        </row>
        <row r="1237">
          <cell r="AH1237" t="str">
            <v>E.S.E. HOSPITAL LOCAL DE ALGARROBO - ALGARROBO</v>
          </cell>
        </row>
        <row r="1238">
          <cell r="AH1238" t="str">
            <v>E.S.E. HOSPITAL LOCAL DE ARENAL MANUELA PABUENA LOBO - ARENAL</v>
          </cell>
        </row>
        <row r="1239">
          <cell r="AH1239" t="str">
            <v>E.S.E. HOSPITAL LOCAL DE ARJONA</v>
          </cell>
        </row>
        <row r="1240">
          <cell r="AH1240" t="str">
            <v>E.S.E. HOSPITAL LOCAL DE CAMPO DE LA CRUZ</v>
          </cell>
        </row>
        <row r="1241">
          <cell r="AH1241" t="str">
            <v>E.S.E. HOSPITAL LOCAL DE CAREPA -CAREPA</v>
          </cell>
        </row>
        <row r="1242">
          <cell r="AH1242" t="str">
            <v>E.S.E. HOSPITAL LOCAL DE CICUCO</v>
          </cell>
        </row>
        <row r="1243">
          <cell r="AH1243" t="str">
            <v>E.S.E. HOSPITAL LOCAL DE CONCORDIA - CONCORDIA</v>
          </cell>
        </row>
        <row r="1244">
          <cell r="AH1244" t="str">
            <v>E.S.E. HOSPITAL LOCAL DE CUBARRAL</v>
          </cell>
        </row>
        <row r="1245">
          <cell r="AH1245" t="str">
            <v>E.S.E. HOSPITAL LOCAL DE EL RETEN</v>
          </cell>
        </row>
        <row r="1246">
          <cell r="AH1246" t="str">
            <v>E.S.E. HOSPITAL LOCAL DE GONZALEZ</v>
          </cell>
        </row>
        <row r="1247">
          <cell r="AH1247" t="str">
            <v>E.S.E. HOSPITAL LOCAL DE LA ESTRELLA -LA ESTRELLA</v>
          </cell>
        </row>
        <row r="1248">
          <cell r="AH1248" t="str">
            <v>E.S.E. HOSPITAL LOCAL DE MALAMBO</v>
          </cell>
        </row>
        <row r="1249">
          <cell r="AH1249" t="str">
            <v>E.S.E. HOSPITAL LOCAL DE PIEDECUESTA</v>
          </cell>
        </row>
        <row r="1250">
          <cell r="AH1250" t="str">
            <v>E.S.E. HOSPITAL LOCAL DE REMOLINO</v>
          </cell>
        </row>
        <row r="1251">
          <cell r="AH1251" t="str">
            <v>E.S.E. HOSPITAL LOCAL DE REPELÓN</v>
          </cell>
        </row>
        <row r="1252">
          <cell r="AH1252" t="str">
            <v>E.S.E. HOSPITAL LOCAL DE SABANAS DE SAN ANGEL</v>
          </cell>
        </row>
        <row r="1253">
          <cell r="AH1253" t="str">
            <v>E.S.E. HOSPITAL LOCAL DE SAN CARLOS DE GUAROA</v>
          </cell>
        </row>
        <row r="1254">
          <cell r="AH1254" t="str">
            <v>E.S.E. HOSPITAL LOCAL DE SAN JACINTO - BOLIVAR</v>
          </cell>
        </row>
        <row r="1255">
          <cell r="AH1255" t="str">
            <v>E.S.E. HOSPITAL LOCAL DE SAN JUAN NEPOMUCENO</v>
          </cell>
        </row>
        <row r="1256">
          <cell r="AH1256" t="str">
            <v>E.S.E. HOSPITAL LOCAL DE SAN ZENON</v>
          </cell>
        </row>
        <row r="1257">
          <cell r="AH1257" t="str">
            <v>E.S.E. HOSPITAL LOCAL DE TAURAMENA</v>
          </cell>
        </row>
        <row r="1258">
          <cell r="AH1258" t="str">
            <v>E.S.E. HOSPITAL LOCAL DE TENERIFE - TENERIFE</v>
          </cell>
        </row>
        <row r="1259">
          <cell r="AH1259" t="str">
            <v>E.S.E. HOSPITAL LOCAL DE ZONA BANANERA - ZONA BANANERA</v>
          </cell>
        </row>
        <row r="1260">
          <cell r="AH1260" t="str">
            <v>E.S.E. HOSPITAL LOCAL DEL BOLIVAR  -SANTANDER</v>
          </cell>
        </row>
        <row r="1261">
          <cell r="AH1261" t="str">
            <v>E.S.E. HOSPITAL LOCAL DEL RIO DE ORO</v>
          </cell>
        </row>
        <row r="1262">
          <cell r="AH1262" t="str">
            <v>E.S.E. HOSPITAL LOCAL -GUAMAL</v>
          </cell>
        </row>
        <row r="1263">
          <cell r="AH1263" t="str">
            <v>E.S.E. HOSPITAL LOCAL JUAN HERNANDO URREGO - AGUAZUL</v>
          </cell>
        </row>
        <row r="1264">
          <cell r="AH1264" t="str">
            <v>E.S.E. HOSPITAL LOCAL LA CANDELARIA - RIOVIEJO</v>
          </cell>
        </row>
        <row r="1265">
          <cell r="AH1265" t="str">
            <v>E.S.E. HOSPITAL LOCAL LA JAGUA DE IBIRICO</v>
          </cell>
        </row>
        <row r="1266">
          <cell r="AH1266" t="str">
            <v>E.S.E. HOSPITAL LOCAL -LURUACO</v>
          </cell>
        </row>
        <row r="1267">
          <cell r="AH1267" t="str">
            <v>E.S.E. HOSPITAL LOCAL MAHATES - MAHATES (BOLIVAR)</v>
          </cell>
        </row>
        <row r="1268">
          <cell r="AH1268" t="str">
            <v>E.S.E. HOSPITAL LOCAL MARÍA LA BAJA</v>
          </cell>
        </row>
        <row r="1269">
          <cell r="AH1269" t="str">
            <v>E.S.E. HOSPITAL LOCAL -MONTELIBANO</v>
          </cell>
        </row>
        <row r="1270">
          <cell r="AH1270" t="str">
            <v>E.S.E. HOSPITAL LOCAL MUNICIPAL DE HOBO- HUILA</v>
          </cell>
        </row>
        <row r="1271">
          <cell r="AH1271" t="str">
            <v>E.S.E. HOSPITAL LOCAL NIVEL I NUESTRA SEÑORA DEL SOCORRO -SINCE</v>
          </cell>
        </row>
        <row r="1272">
          <cell r="AH1272" t="str">
            <v>E.S.E. HOSPITAL LOCAL NUEVA GRANADA - NUEVA GRANADA</v>
          </cell>
        </row>
        <row r="1273">
          <cell r="AH1273" t="str">
            <v>E.S.E. HOSPITAL LOCAL PIJIÑO DEL CARMEN - PIJIÑO DEL CARMEN</v>
          </cell>
        </row>
        <row r="1274">
          <cell r="AH1274" t="str">
            <v>E.S.E. HOSPITAL LOCAL PRIMER NIVEL - FUENTEDEORO</v>
          </cell>
        </row>
        <row r="1275">
          <cell r="AH1275" t="str">
            <v>E.S.E. HOSPITAL LOCAL PUERTO ASÍS - PUERTO ASÍS</v>
          </cell>
        </row>
        <row r="1276">
          <cell r="AH1276" t="str">
            <v>E.S.E. HOSPITAL LOCAL -PUERTO LOPEZ</v>
          </cell>
        </row>
        <row r="1277">
          <cell r="AH1277" t="str">
            <v>E.S.E. HOSPITAL LOCAL SAN BENITO ABAD</v>
          </cell>
        </row>
        <row r="1278">
          <cell r="AH1278" t="str">
            <v>E.S.E. HOSPITAL LOCAL SAN FERNANDO - SAN FERNANDO</v>
          </cell>
        </row>
        <row r="1279">
          <cell r="AH1279" t="str">
            <v>E.S.E. HOSPITAL LOCAL SAN JOSÉ DE ACHÍ</v>
          </cell>
        </row>
        <row r="1280">
          <cell r="AH1280" t="str">
            <v>E.S.E. HOSPITAL LOCAL SAN JUAN DE PUERTO RICO - TIQUISIO</v>
          </cell>
        </row>
        <row r="1281">
          <cell r="AH1281" t="str">
            <v>E.S.E. HOSPITAL LOCAL SAN MARTIN DE LOBA</v>
          </cell>
        </row>
        <row r="1282">
          <cell r="AH1282" t="str">
            <v>E.S.E. HOSPITAL LOCAL SAN PABLO - SAN PABLO</v>
          </cell>
        </row>
        <row r="1283">
          <cell r="AH1283" t="str">
            <v>E.S.E. HOSPITAL LOCAL SAN SEBASTIAN - MORALES</v>
          </cell>
        </row>
        <row r="1284">
          <cell r="AH1284" t="str">
            <v>E.S.E. HOSPITAL LOCAL SAN SEBASTIÁN DEL MUNICIPIO DE ZAMBRANO - ZAMBRANO</v>
          </cell>
        </row>
        <row r="1285">
          <cell r="AH1285" t="str">
            <v>E.S.E. HOSPITAL LOCAL SANTA BÁRBARA DE PINTO - SANTA BÁRBARA DE PINTO</v>
          </cell>
        </row>
        <row r="1286">
          <cell r="AH1286" t="str">
            <v>E.S.E. HOSPITAL LOCAL SANTA CATALINA DE ALEJANDRIA</v>
          </cell>
        </row>
        <row r="1287">
          <cell r="AH1287" t="str">
            <v>E.S.E. HOSPITAL LOCAL SANTA MARÍA - SANTA CRUZ DE MOMPOX</v>
          </cell>
        </row>
        <row r="1288">
          <cell r="AH1288" t="str">
            <v>E.S.E. HOSPITAL LOCAL SANTA RITA DE CASSIA</v>
          </cell>
        </row>
        <row r="1289">
          <cell r="AH1289" t="str">
            <v>E.S.E. HOSPITAL LOCAL SANTA ROSA DE LIMA</v>
          </cell>
        </row>
        <row r="1290">
          <cell r="AH1290" t="str">
            <v>E.S.E. HOSPITAL LOCAL SANTIAGO DE TOLU</v>
          </cell>
        </row>
        <row r="1291">
          <cell r="AH1291" t="str">
            <v>E.S.E. HOSPITAL LOCAL TALAIGUA NUEVO - BOLIVAR</v>
          </cell>
        </row>
        <row r="1292">
          <cell r="AH1292" t="str">
            <v>E.S.E. HOSPITAL LOCAL TURBANA - TURBANA</v>
          </cell>
        </row>
        <row r="1293">
          <cell r="AH1293" t="str">
            <v>E.S.E. HOSPITAL LUIS ABLANQUE DE LA PLATA - BUENAVENTURA</v>
          </cell>
        </row>
        <row r="1294">
          <cell r="AH1294" t="str">
            <v>E.S.E. HOSPITAL LUIS ANTONIO MOJICA DE NATAGA</v>
          </cell>
        </row>
        <row r="1295">
          <cell r="AH1295" t="str">
            <v>E.S.E. HOSPITAL LUIS CARLOS GALAN SARMIENTO - CHARALA</v>
          </cell>
        </row>
        <row r="1296">
          <cell r="AH1296" t="str">
            <v>E.S.E. HOSPITAL LUIS FELIPE CABRERA - ALGECIRAS</v>
          </cell>
        </row>
        <row r="1297">
          <cell r="AH1297" t="str">
            <v>E.S.E. HOSPITAL MANUEL ELKIN PATARROYO - SANTA ROSA DEL SUR</v>
          </cell>
        </row>
        <row r="1298">
          <cell r="AH1298" t="str">
            <v>E.S.E. HOSPITAL MARCO FELIPE AFANADOR DE TOCAIMA - TOCAIMA</v>
          </cell>
        </row>
        <row r="1299">
          <cell r="AH1299" t="str">
            <v>E.S.E. HOSPITAL MARÍA ANGELINES - PUERTO LEGUÍZAMO</v>
          </cell>
        </row>
        <row r="1300">
          <cell r="AH1300" t="str">
            <v>E.S.E. HOSPITAL MARINO ZULETA RAMIREZ  - LA PAZ</v>
          </cell>
        </row>
        <row r="1301">
          <cell r="AH1301" t="str">
            <v>E.S.E. HOSPITAL MATERNO INFANTIL - VIJES (VALLE)</v>
          </cell>
        </row>
        <row r="1302">
          <cell r="AH1302" t="str">
            <v>E.S.E. HOSPITAL MATERNO INFANTIL CIUDADELA  METROPOLITANA - SOLEDAD</v>
          </cell>
        </row>
        <row r="1303">
          <cell r="AH1303" t="str">
            <v>E.S.E. HOSPITAL MENTAL DE ANTIOQUIA - HOMO -</v>
          </cell>
        </row>
        <row r="1304">
          <cell r="AH1304" t="str">
            <v>E.S.E. HOSPITAL MENTAL DE RISARALDA -PEREIRA</v>
          </cell>
        </row>
        <row r="1305">
          <cell r="AH1305" t="str">
            <v>E.S.E. HOSPITAL MENTAL -FILANDIA</v>
          </cell>
        </row>
        <row r="1306">
          <cell r="AH1306" t="str">
            <v>E.S.E. HOSPITAL MENTAL RUDESINDO SOTO</v>
          </cell>
        </row>
        <row r="1307">
          <cell r="AH1307" t="str">
            <v>E.S.E. HOSPITAL MERCEDES TELLEZ DE PRADILLA - VIANI</v>
          </cell>
        </row>
        <row r="1308">
          <cell r="AH1308" t="str">
            <v>E.S.E. HOSPITAL MUNICIPAL DE EL DORADO</v>
          </cell>
        </row>
        <row r="1309">
          <cell r="AH1309" t="str">
            <v>E.S.E. HOSPITAL MUNICIPAL NUESTRA SEÑORA DE GUADALUPE</v>
          </cell>
        </row>
        <row r="1310">
          <cell r="AH1310" t="str">
            <v>E.S.E. HOSPITAL MUNICIPAL SAN FRANCISCO DE ASIS - ELIAS</v>
          </cell>
        </row>
        <row r="1311">
          <cell r="AH1311" t="str">
            <v>E.S.E. HOSPITAL NIÑO JESUS - BARRANQUILLA</v>
          </cell>
        </row>
        <row r="1312">
          <cell r="AH1312" t="str">
            <v>E.S.E. HOSPITAL NIVEL I EL BORDO</v>
          </cell>
        </row>
        <row r="1313">
          <cell r="AH1313" t="str">
            <v>E.S.E. HOSPITAL NIVEL I PUERTO RICO</v>
          </cell>
        </row>
        <row r="1314">
          <cell r="AH1314" t="str">
            <v>E.S.E. HOSPITAL NUESTRA SEÑORA DE GUADALUPE</v>
          </cell>
        </row>
        <row r="1315">
          <cell r="AH1315" t="str">
            <v>E.S.E. HOSPITAL NUESTRA SEÑORA DE LA CANDELARIA -GUARNE</v>
          </cell>
        </row>
        <row r="1316">
          <cell r="AH1316" t="str">
            <v>E.S.E. HOSPITAL NUESTRA SEÑORA DE LOS REMEDIOS</v>
          </cell>
        </row>
        <row r="1317">
          <cell r="AH1317" t="str">
            <v>E.S.E. HOSPITAL NUESTRA SEÑORA DEL CARMEN</v>
          </cell>
        </row>
        <row r="1318">
          <cell r="AH1318" t="str">
            <v>E.S.E. HOSPITAL NUESTRA SEÑORA DEL CARMEN - EL COLEGIO</v>
          </cell>
        </row>
        <row r="1319">
          <cell r="AH1319" t="str">
            <v>E.S.E. HOSPITAL NUESTRA SEÑORA DEL CARMEN - HATO NUEVO</v>
          </cell>
        </row>
        <row r="1320">
          <cell r="AH1320" t="str">
            <v>E.S.E. HOSPITAL NUESTRA SEÑORA DEL CARMEN - TABIO</v>
          </cell>
        </row>
        <row r="1321">
          <cell r="AH1321" t="str">
            <v>E.S.E. HOSPITAL NUESTRA SEÑORA DEL PERPETUO SOCORRO DE URIBIA, GUAJIRA</v>
          </cell>
        </row>
        <row r="1322">
          <cell r="AH1322" t="str">
            <v>E.S.E. HOSPITAL NUESTRA SEÑORA DEL PILAR DE MEDINA - MEDINA</v>
          </cell>
        </row>
        <row r="1323">
          <cell r="AH1323" t="str">
            <v>E.S.E. HOSPITAL NUEVO HORIZONTE</v>
          </cell>
        </row>
        <row r="1324">
          <cell r="AH1324" t="str">
            <v>E.S.E. HOSPITAL PADRE CLEMENTE GIRALDO -GRANADA</v>
          </cell>
        </row>
        <row r="1325">
          <cell r="AH1325" t="str">
            <v>E.S.E. HOSPITAL PILOTO  JAMUNDI - JAMUNDI</v>
          </cell>
        </row>
        <row r="1326">
          <cell r="AH1326" t="str">
            <v>E.S.E. HOSPITAL PROFESOR JORGE CAVELIER</v>
          </cell>
        </row>
        <row r="1327">
          <cell r="AH1327" t="str">
            <v>E.S.E. HOSPITAL PSIQUIATRICO SAN CAMILO DE BUCARAMANGA</v>
          </cell>
        </row>
        <row r="1328">
          <cell r="AH1328" t="str">
            <v>E.S.E. HOSPITAL PSIQUIATRICO UNIVERSITARIO  SAN ISIDRO  - CALI</v>
          </cell>
        </row>
        <row r="1329">
          <cell r="AH1329" t="str">
            <v>E.S.E. HOSPITAL RAFAEL PABA MANJARREZ - SAN SEBASTIAN</v>
          </cell>
        </row>
        <row r="1330">
          <cell r="AH1330" t="str">
            <v>E.S.E. HOSPITAL RAFAEL URIBE URIBE</v>
          </cell>
        </row>
        <row r="1331">
          <cell r="AH1331" t="str">
            <v>E.S.E. HOSPITAL RAMON MARIA ARANA  -  MURILLO</v>
          </cell>
        </row>
        <row r="1332">
          <cell r="AH1332" t="str">
            <v>E.S.E. HOSPITAL RAÚL OREJUELA BUENO</v>
          </cell>
        </row>
        <row r="1333">
          <cell r="AH1333" t="str">
            <v>E.S.E. HOSPITAL REGIONAL  LA CANDELARIA  -PURIFICACION</v>
          </cell>
        </row>
        <row r="1334">
          <cell r="AH1334" t="str">
            <v>E.S.E. HOSPITAL REGIONAL  LA MERCED  -CIUDAD BOLÍVAR</v>
          </cell>
        </row>
        <row r="1335">
          <cell r="AH1335" t="str">
            <v>E.S.E. HOSPITAL REGIONAL  SAN FRANCISCO DE ASIS  -QUIBDO</v>
          </cell>
        </row>
        <row r="1336">
          <cell r="AH1336" t="str">
            <v>E.S.E. HOSPITAL REGIONAL  SAN JUAN DE DIOS  -RIONEGRO</v>
          </cell>
        </row>
        <row r="1337">
          <cell r="AH1337" t="str">
            <v>E.S.E. HOSPITAL REGIONAL  SAN JUAN DE DIOS  -SANTAFE DE ANTIOQUIA</v>
          </cell>
        </row>
        <row r="1338">
          <cell r="AH1338" t="str">
            <v>E.S.E. HOSPITAL REGIONAL  SAN JUAN DE DIOS  -YARUMAL</v>
          </cell>
        </row>
        <row r="1339">
          <cell r="AH1339" t="str">
            <v>E.S.E. HOSPITAL REGIONAL  SAN MARCOS - SUCRE</v>
          </cell>
        </row>
        <row r="1340">
          <cell r="AH1340" t="str">
            <v>E.S.E. HOSPITAL REGIONAL  SAN RAFAEL  -YOLOMBO</v>
          </cell>
        </row>
        <row r="1341">
          <cell r="AH1341" t="str">
            <v>E.S.E. HOSPITAL REGIONAL  SAN VICENTE DE PAUL  -CALDAS</v>
          </cell>
        </row>
        <row r="1342">
          <cell r="AH1342" t="str">
            <v>E.S.E. HOSPITAL REGIONAL  SINCELEJO  -SINCELEJO</v>
          </cell>
        </row>
        <row r="1343">
          <cell r="AH1343" t="str">
            <v>E.S.E. HOSPITAL REGIONAL -ACACIAS</v>
          </cell>
        </row>
        <row r="1344">
          <cell r="AH1344" t="str">
            <v>E.S.E. HOSPITAL REGIONAL CENTRO - GRAMALOTE  NORTE DE SANTANDER</v>
          </cell>
        </row>
        <row r="1345">
          <cell r="AH1345" t="str">
            <v>E.S.E. HOSPITAL REGIONAL DE BOLIVAR</v>
          </cell>
        </row>
        <row r="1346">
          <cell r="AH1346" t="str">
            <v>E.S.E. HOSPITAL REGIONAL DE CHIQUINQUIRÁ</v>
          </cell>
        </row>
        <row r="1347">
          <cell r="AH1347" t="str">
            <v>E.S.E. HOSPITAL REGIONAL DE DUITAMA</v>
          </cell>
        </row>
        <row r="1348">
          <cell r="AH1348" t="str">
            <v>E.S.E. HOSPITAL REGIONAL DE GARCIA ROVIRA</v>
          </cell>
        </row>
        <row r="1349">
          <cell r="AH1349" t="str">
            <v>E.S.E. HOSPITAL REGIONAL DE MIRAFLORES</v>
          </cell>
        </row>
        <row r="1350">
          <cell r="AH1350" t="str">
            <v>E.S.E. HOSPITAL REGIONAL DE MONIQUIRÁ</v>
          </cell>
        </row>
        <row r="1351">
          <cell r="AH1351" t="str">
            <v>E.S.E. HOSPITAL REGIONAL DE SAN GIL</v>
          </cell>
        </row>
        <row r="1352">
          <cell r="AH1352" t="str">
            <v>E.S.E. HOSPITAL REGIONAL DE SOGAMOSO</v>
          </cell>
        </row>
        <row r="1353">
          <cell r="AH1353" t="str">
            <v>E.S.E. HOSPITAL REGIONAL DE VELEZ</v>
          </cell>
        </row>
        <row r="1354">
          <cell r="AH1354" t="str">
            <v>E.S.E. HOSPITAL REGIONAL DEL MAGDALENA MEDIO</v>
          </cell>
        </row>
        <row r="1355">
          <cell r="AH1355" t="str">
            <v>E.S.E. HOSPITAL REGIONAL -GRANADA</v>
          </cell>
        </row>
        <row r="1356">
          <cell r="AH1356" t="str">
            <v>E.S.E. HOSPITAL REGIONAL II NIVEL VALLE DE TENZA</v>
          </cell>
        </row>
        <row r="1357">
          <cell r="AH1357" t="str">
            <v>E.S.E. HOSPITAL REGIONAL MANUELA BELTRAN III NIVEL - SOCORRO SANTANDER</v>
          </cell>
        </row>
        <row r="1358">
          <cell r="AH1358" t="str">
            <v>E.S.E. HOSPITAL REGIONAL NOROCCIDENTAL - NORTE DE SANTANDER</v>
          </cell>
        </row>
        <row r="1359">
          <cell r="AH1359" t="str">
            <v>E.S.E. HOSPITAL REGIONAL NORTE</v>
          </cell>
        </row>
        <row r="1360">
          <cell r="AH1360" t="str">
            <v>E.S.E. HOSPITAL REGIONAL NUESTRA SEÑORA DE LAS MERCEDES  -COROZAL</v>
          </cell>
        </row>
        <row r="1361">
          <cell r="AH1361" t="str">
            <v>E.S.E. HOSPITAL REGIONAL NUESTRA SEÑORA DE LOS REMEDIOS - RIOHACHA</v>
          </cell>
        </row>
        <row r="1362">
          <cell r="AH1362" t="str">
            <v>E.S.E. HOSPITAL REGIONAL OCCIDENTE - NORTE DE SANTANDER</v>
          </cell>
        </row>
        <row r="1363">
          <cell r="AH1363" t="str">
            <v>E.S.E. HOSPITAL REGIONAL SAN ANDRES DE CHIRIGUANÁ</v>
          </cell>
        </row>
        <row r="1364">
          <cell r="AH1364" t="str">
            <v>E.S.E. HOSPITAL REGIONAL SUR ORIENTAL</v>
          </cell>
        </row>
        <row r="1365">
          <cell r="AH1365" t="str">
            <v>E.S.E. HOSPITAL RICAURTE</v>
          </cell>
        </row>
        <row r="1366">
          <cell r="AH1366" t="str">
            <v>E.S.E. HOSPITAL ROSARIO PUMAREJO DE LOPEZ</v>
          </cell>
        </row>
        <row r="1367">
          <cell r="AH1367" t="str">
            <v>E.S.E. HOSPITAL RUBÉN CRUZ VELEZ - TULUA</v>
          </cell>
        </row>
        <row r="1368">
          <cell r="AH1368" t="str">
            <v>E.S.E. HOSPITAL SAGRADA FAMILIA  - TORO (VALLE)</v>
          </cell>
        </row>
        <row r="1369">
          <cell r="AH1369" t="str">
            <v>E.S.E. HOSPITAL SAGRADO CORAZÓN DE JESÚS - QUIMBAYA</v>
          </cell>
        </row>
        <row r="1370">
          <cell r="AH1370" t="str">
            <v>E.S.E. HOSPITAL SAGRADO CORAZÓN DE JESÚS - SOCHA</v>
          </cell>
        </row>
        <row r="1371">
          <cell r="AH1371" t="str">
            <v>E.S.E. HOSPITAL SAGRADO CORAZON DE JESUS DE LA HORMIGA</v>
          </cell>
        </row>
        <row r="1372">
          <cell r="AH1372" t="str">
            <v>E.S.E. HOSPITAL SALAZAR DE VILLETA</v>
          </cell>
        </row>
        <row r="1373">
          <cell r="AH1373" t="str">
            <v>E.S.E. HOSPITAL SAN ANDRÉS APÓSTOL</v>
          </cell>
        </row>
        <row r="1374">
          <cell r="AH1374" t="str">
            <v>E.S.E. HOSPITAL SAN ANTONIO</v>
          </cell>
        </row>
        <row r="1375">
          <cell r="AH1375" t="str">
            <v>E.S.E. HOSPITAL SAN ANTONIO</v>
          </cell>
        </row>
        <row r="1376">
          <cell r="AH1376" t="str">
            <v>E.S.E. HOSPITAL SAN ANTONIO - ARBELAEZ</v>
          </cell>
        </row>
        <row r="1377">
          <cell r="AH1377" t="str">
            <v>E.S.E. HOSPITAL SAN ANTONIO - GUATAVITA</v>
          </cell>
        </row>
        <row r="1378">
          <cell r="AH1378" t="str">
            <v>E.S.E. HOSPITAL SAN ANTONIO DE CHÍA</v>
          </cell>
        </row>
        <row r="1379">
          <cell r="AH1379" t="str">
            <v>E.S.E. HOSPITAL SAN ANTONIO DE PADUA - SIMITI</v>
          </cell>
        </row>
        <row r="1380">
          <cell r="AH1380" t="str">
            <v>E.S.E. HOSPITAL SAN ANTONIO DE SESQUILE</v>
          </cell>
        </row>
        <row r="1381">
          <cell r="AH1381" t="str">
            <v>E.S.E. HOSPITAL SAN ANTONIO DEL TEQUENDAMA  I NIVEL</v>
          </cell>
        </row>
        <row r="1382">
          <cell r="AH1382" t="str">
            <v>E.S.E. HOSPITAL SAN BARTOLOME - CAPITANEJO</v>
          </cell>
        </row>
        <row r="1383">
          <cell r="AH1383" t="str">
            <v>E.S.E. HOSPITAL SAN BERNARDO - FILADELFIA</v>
          </cell>
        </row>
        <row r="1384">
          <cell r="AH1384" t="str">
            <v>E.S.E. HOSPITAL SAN CAMILO</v>
          </cell>
        </row>
        <row r="1385">
          <cell r="AH1385" t="str">
            <v>E.S.E. HOSPITAL SAN CAYETANO - MARQUETALIA</v>
          </cell>
        </row>
        <row r="1386">
          <cell r="AH1386" t="str">
            <v>E.S.E. HOSPITAL SAN FRANCISCO - VILLA DE LEYVA</v>
          </cell>
        </row>
        <row r="1387">
          <cell r="AH1387" t="str">
            <v>E.S.E. HOSPITAL SAN FRANCISCO DE VIOTA</v>
          </cell>
        </row>
        <row r="1388">
          <cell r="AH1388" t="str">
            <v>E.S.E. HOSPITAL SAN FRANCISCO JAVIER DEL MUNICIPIO DE ACEVEDO</v>
          </cell>
        </row>
        <row r="1389">
          <cell r="AH1389" t="str">
            <v>E.S.E. HOSPITAL SAN ISIDRO - ALPUJARRA</v>
          </cell>
        </row>
        <row r="1390">
          <cell r="AH1390" t="str">
            <v>E.S.E. HOSPITAL SAN JERONIMO</v>
          </cell>
        </row>
        <row r="1391">
          <cell r="AH1391" t="str">
            <v>E.S.E. HOSPITAL SAN JOSE</v>
          </cell>
        </row>
        <row r="1392">
          <cell r="AH1392" t="str">
            <v>E.S.E. HOSPITAL SAN JOSÉ - AGUADAS</v>
          </cell>
        </row>
        <row r="1393">
          <cell r="AH1393" t="str">
            <v>E.S.E. HOSPITAL SAN JOSÉ - BECERRIL</v>
          </cell>
        </row>
        <row r="1394">
          <cell r="AH1394" t="str">
            <v>E.S.E. HOSPITAL SAN JOSÉ - CONDOTO</v>
          </cell>
        </row>
        <row r="1395">
          <cell r="AH1395" t="str">
            <v>E.S.E. HOSPITAL SAN JOSE - GUACHETA</v>
          </cell>
        </row>
        <row r="1396">
          <cell r="AH1396" t="str">
            <v>E.S.E. HOSPITAL SAN JOSÉ - LA GLORIA</v>
          </cell>
        </row>
        <row r="1397">
          <cell r="AH1397" t="str">
            <v>E.S.E. HOSPITAL SAN JOSE  -TIERRALTA</v>
          </cell>
        </row>
        <row r="1398">
          <cell r="AH1398" t="str">
            <v>E.S.E. HOSPITAL SAN JOSÉ - VITERBO</v>
          </cell>
        </row>
        <row r="1399">
          <cell r="AH1399" t="str">
            <v>E.S.E. HOSPITAL SAN JOSÉ DE ARACATACA - ARACATACA</v>
          </cell>
        </row>
        <row r="1400">
          <cell r="AH1400" t="str">
            <v>E.S.E. HOSPITAL SAN JOSÉ DE GUADUAS</v>
          </cell>
        </row>
        <row r="1401">
          <cell r="AH1401" t="str">
            <v>E.S.E. HOSPITAL SAN JOSE DE ISNOS</v>
          </cell>
        </row>
        <row r="1402">
          <cell r="AH1402" t="str">
            <v>E.S.E. HOSPITAL SAN JOSE DE LA PALMA</v>
          </cell>
        </row>
        <row r="1403">
          <cell r="AH1403" t="str">
            <v>E.S.E. HOSPITAL SAN JOSE DE MAICAO DEL NIVEL II</v>
          </cell>
        </row>
        <row r="1404">
          <cell r="AH1404" t="str">
            <v>E.S.E. HOSPITAL SAN JOSÉ DE MARSELLA - MARSELLA</v>
          </cell>
        </row>
        <row r="1405">
          <cell r="AH1405" t="str">
            <v>E.S.E. HOSPITAL -SAN JOSÉ- DE PUEBLOVIEJO - PUEBLOVIEJO</v>
          </cell>
        </row>
        <row r="1406">
          <cell r="AH1406" t="str">
            <v>E.S.E. HOSPITAL SAN JOSE DE SAMANA</v>
          </cell>
        </row>
        <row r="1407">
          <cell r="AH1407" t="str">
            <v>E.S.E. HOSPITAL SAN JOSÉ DE TADO</v>
          </cell>
        </row>
        <row r="1408">
          <cell r="AH1408" t="str">
            <v>E.S.E. HOSPITAL SAN JOSE EL COCUY</v>
          </cell>
        </row>
        <row r="1409">
          <cell r="AH1409" t="str">
            <v>E.S.E. HOSPITAL SAN JUAN</v>
          </cell>
        </row>
        <row r="1410">
          <cell r="AH1410" t="str">
            <v>E.S.E. HOSPITAL SAN JUAN BOSCO</v>
          </cell>
        </row>
        <row r="1411">
          <cell r="AH1411" t="str">
            <v>E.S.E. HOSPITAL SAN JUAN DE DIOS   - HONDA</v>
          </cell>
        </row>
        <row r="1412">
          <cell r="AH1412" t="str">
            <v>E.S.E. HOSPITAL SAN JUAN DE DIOS - PAMPLONA</v>
          </cell>
        </row>
        <row r="1413">
          <cell r="AH1413" t="str">
            <v>E.S.E. HOSPITAL SAN JUAN DE DIOS DE BETULIA</v>
          </cell>
        </row>
        <row r="1414">
          <cell r="AH1414" t="str">
            <v>E.S.E. HOSPITAL SAN JUAN DE DIOS DE FLORIDABLANCA</v>
          </cell>
        </row>
        <row r="1415">
          <cell r="AH1415" t="str">
            <v>E.S.E. HOSPITAL SAN JUAN DE DIOS DE GALAN</v>
          </cell>
        </row>
        <row r="1416">
          <cell r="AH1416" t="str">
            <v>E.S.E. HOSPITAL SAN JUAN DE GIRON</v>
          </cell>
        </row>
        <row r="1417">
          <cell r="AH1417" t="str">
            <v>E.S.E. HOSPITAL SAN LORENZO - LIBORINA</v>
          </cell>
        </row>
        <row r="1418">
          <cell r="AH1418" t="str">
            <v>E.S.E. HOSPITAL SAN LORENZO - SUPÍA</v>
          </cell>
        </row>
        <row r="1419">
          <cell r="AH1419" t="str">
            <v>E.S.E. HOSPITAL SAN LUCAS   - EL MOLINO</v>
          </cell>
        </row>
        <row r="1420">
          <cell r="AH1420" t="str">
            <v>E.S.E. HOSPITAL SAN MARTÍN</v>
          </cell>
        </row>
        <row r="1421">
          <cell r="AH1421" t="str">
            <v>E.S.E. HOSPITAL SAN MARTIN - LA BELLEZA</v>
          </cell>
        </row>
        <row r="1422">
          <cell r="AH1422" t="str">
            <v>E.S.E. HOSPITAL SAN MIGUEL - SANTANDER</v>
          </cell>
        </row>
        <row r="1423">
          <cell r="AH1423" t="str">
            <v>E.S.E. HOSPITAL SAN NICOLAS DE TOLENTINO</v>
          </cell>
        </row>
        <row r="1424">
          <cell r="AH1424" t="str">
            <v>E.S.E. HOSPITAL SAN PEDRO  DE EL PIÑÓN</v>
          </cell>
        </row>
        <row r="1425">
          <cell r="AH1425" t="str">
            <v>E.S.E. HOSPITAL SAN PEDRO CLAVER - MOGOTES</v>
          </cell>
        </row>
        <row r="1426">
          <cell r="AH1426" t="str">
            <v>E.S.E. HOSPITAL SAN RAFAEL</v>
          </cell>
        </row>
        <row r="1427">
          <cell r="AH1427" t="str">
            <v>E.S.E. HOSPITAL SAN RAFAEL - ALBANIA</v>
          </cell>
        </row>
        <row r="1428">
          <cell r="AH1428" t="str">
            <v>E.S.E. HOSPITAL SAN RAFAEL DE CONCEPCIÓN</v>
          </cell>
        </row>
        <row r="1429">
          <cell r="AH1429" t="str">
            <v>E.S.E. HOSPITAL SAN RAFAEL DE MATANZA</v>
          </cell>
        </row>
        <row r="1430">
          <cell r="AH1430" t="str">
            <v>E.S.E. HOSPITAL SAN RAFAEL DE TUNJA</v>
          </cell>
        </row>
        <row r="1431">
          <cell r="AH1431" t="str">
            <v>E.S.E. HOSPITAL SAN RAFAEL -LETICIA</v>
          </cell>
        </row>
        <row r="1432">
          <cell r="AH1432" t="str">
            <v>E.S.E. HOSPITAL SAN RAFAEL NIVEL II</v>
          </cell>
        </row>
        <row r="1433">
          <cell r="AH1433" t="str">
            <v>E.S.E. HOSPITAL SAN ROQUE - EL CARMEN DE ATRATO</v>
          </cell>
        </row>
        <row r="1434">
          <cell r="AH1434" t="str">
            <v>E.S.E. HOSPITAL SAN ROQUE - LA UNIÓN</v>
          </cell>
        </row>
        <row r="1435">
          <cell r="AH1435" t="str">
            <v>E.S.E. HOSPITAL SAN ROQUE DE EL COPEY</v>
          </cell>
        </row>
        <row r="1436">
          <cell r="AH1436" t="str">
            <v>E.S.E. HOSPITAL SAN SEBASTIAN - PIEDRAS</v>
          </cell>
        </row>
        <row r="1437">
          <cell r="AH1437" t="str">
            <v>E.S.E. HOSPITAL SAN VICENTE - MONTENEGRO</v>
          </cell>
        </row>
        <row r="1438">
          <cell r="AH1438" t="str">
            <v>E.S.E. HOSPITAL SAN VICENTE DE PAUL</v>
          </cell>
        </row>
        <row r="1439">
          <cell r="AH1439" t="str">
            <v>E.S.E. HOSPITAL SAN VICENTE DE PAUL - NEMOCON</v>
          </cell>
        </row>
        <row r="1440">
          <cell r="AH1440" t="str">
            <v>E.S.E. HOSPITAL SAN VICENTE DE PAUL - ONZAGA</v>
          </cell>
        </row>
        <row r="1441">
          <cell r="AH1441" t="str">
            <v>E.S.E. HOSPITAL SAN VICENTE DE PAUL - PALMIRA</v>
          </cell>
        </row>
        <row r="1442">
          <cell r="AH1442" t="str">
            <v>E.S.E. HOSPITAL SAN VICENTE DE PAUL - SALENTO</v>
          </cell>
        </row>
        <row r="1443">
          <cell r="AH1443" t="str">
            <v>E.S.E. HOSPITAL SAN VICENTE DE PAUL - SANTUARIO (RISARALDA)</v>
          </cell>
        </row>
        <row r="1444">
          <cell r="AH1444" t="str">
            <v>E.S.E. HOSPITAL SAN VICENTE DE PAUL -FOMEQUE</v>
          </cell>
        </row>
        <row r="1445">
          <cell r="AH1445" t="str">
            <v>E.S.E. HOSPITAL SANTA ANA</v>
          </cell>
        </row>
        <row r="1446">
          <cell r="AH1446" t="str">
            <v>E.S.E. HOSPITAL SANTA ANA DE MUZO</v>
          </cell>
        </row>
        <row r="1447">
          <cell r="AH1447" t="str">
            <v>E.S.E. HOSPITAL SANTA CATALINA DE SENA DE SUCRE</v>
          </cell>
        </row>
        <row r="1448">
          <cell r="AH1448" t="str">
            <v>E.S.E. HOSPITAL SANTA MARÍA - EL TAMBO</v>
          </cell>
        </row>
        <row r="1449">
          <cell r="AH1449" t="str">
            <v>E.S.E. HOSPITAL SANTA MARTA - SAMACÁ</v>
          </cell>
        </row>
        <row r="1450">
          <cell r="AH1450" t="str">
            <v>E.S.E. HOSPITAL SANTA MATILDE - MADRID</v>
          </cell>
        </row>
        <row r="1451">
          <cell r="AH1451" t="str">
            <v>E.S.E. HOSPITAL SANTA ROSA - TENJO</v>
          </cell>
        </row>
        <row r="1452">
          <cell r="AH1452" t="str">
            <v>E.S.E. HOSPITAL SANTA ROSA DE LIMA - SUÁREZ TOLIMA</v>
          </cell>
        </row>
        <row r="1453">
          <cell r="AH1453" t="str">
            <v>E.S.E. HOSPITAL SANTA TERESA - TESALIA</v>
          </cell>
        </row>
        <row r="1454">
          <cell r="AH1454" t="str">
            <v>E.S.E. HOSPITAL SANTA TERESA DE JESÚS DE AVILA - DIBULLA</v>
          </cell>
        </row>
        <row r="1455">
          <cell r="AH1455" t="str">
            <v>E.S.E. HOSPITAL SANTO TOMAS - VILLANUEVA</v>
          </cell>
        </row>
        <row r="1456">
          <cell r="AH1456" t="str">
            <v>E.S.E. HOSPITAL SERAFIN MONTAÑA CUELLAR - SAN LUIS</v>
          </cell>
        </row>
        <row r="1457">
          <cell r="AH1457" t="str">
            <v>E.S.E. HOSPITAL TOMAS URIBE URIBE  - TULUA</v>
          </cell>
        </row>
        <row r="1458">
          <cell r="AH1458" t="str">
            <v>E.S.E. HOSPITAL TUNJUELITO</v>
          </cell>
        </row>
        <row r="1459">
          <cell r="AH1459" t="str">
            <v>E.S.E. HOSPITAL UNIVERSITARIO  LA SAMARITANA</v>
          </cell>
        </row>
        <row r="1460">
          <cell r="AH1460" t="str">
            <v>E.S.E. HOSPITAL UNIVERSITARIO  SAN JOSE  -POPAYAN</v>
          </cell>
        </row>
        <row r="1461">
          <cell r="AH1461" t="str">
            <v>E.S.E. HOSPITAL UNIVERSITARIO CARI</v>
          </cell>
        </row>
        <row r="1462">
          <cell r="AH1462" t="str">
            <v>E.S.E. HOSPITAL UNIVERSITARIO DE SANTANDER</v>
          </cell>
        </row>
        <row r="1463">
          <cell r="AH1463" t="str">
            <v>E.S.E. HOSPITAL UNIVERSITARIO DEL CARIBE</v>
          </cell>
        </row>
        <row r="1464">
          <cell r="AH1464" t="str">
            <v>E.S.E. HOSPITAL UNIVERSITARIO SAN JORGE-PEREIRA</v>
          </cell>
        </row>
        <row r="1465">
          <cell r="AH1465" t="str">
            <v>E.S.E. HOSPITAL VITO FASAEL GUTIERREZ PEDRAZA - VALLE DE SAN JUAN</v>
          </cell>
        </row>
        <row r="1466">
          <cell r="AH1466" t="str">
            <v>E.S.E. HOSPITAL YOPAL</v>
          </cell>
        </row>
        <row r="1467">
          <cell r="AH1467" t="str">
            <v>E.S.E. I.P.S. CENTRO DE SALUD SANTA BARBARA - SANTANDER</v>
          </cell>
        </row>
        <row r="1468">
          <cell r="AH1468" t="str">
            <v>E.S.E. I.P.S. GUANENTA</v>
          </cell>
        </row>
        <row r="1469">
          <cell r="AH1469" t="str">
            <v>E.S.E. IMSALUD - CUCUTA</v>
          </cell>
        </row>
        <row r="1470">
          <cell r="AH1470" t="str">
            <v>E.S.E. INÉS OCHOA PÉREZ - TIBASOSA</v>
          </cell>
        </row>
        <row r="1471">
          <cell r="AH1471" t="str">
            <v>E.S.E. INSTITUTO DEPARTAMENTAL DE REHABILITACION Y EDUCACION ESPECIAL DEL CESAR</v>
          </cell>
        </row>
        <row r="1472">
          <cell r="AH1472" t="str">
            <v>E.S.E. INSTITUTO NACIONAL DE CANCEROLOGIA</v>
          </cell>
        </row>
        <row r="1473">
          <cell r="AH1473" t="str">
            <v>E.S.E. IPS DEL MUNICIPIO DE CARTAGO</v>
          </cell>
        </row>
        <row r="1474">
          <cell r="AH1474" t="str">
            <v>E.S.E. JAIME ALVARADO Y CASTILLA - ARAUCA</v>
          </cell>
        </row>
        <row r="1475">
          <cell r="AH1475" t="str">
            <v>E.S.E. JOAQUIN EMIRO ESCOBAR - HERRAN</v>
          </cell>
        </row>
        <row r="1476">
          <cell r="AH1476" t="str">
            <v>E.S.E. JUAN RAMON NUÑEZ PALACIOS- LA ARGENTINA</v>
          </cell>
        </row>
        <row r="1477">
          <cell r="AH1477" t="str">
            <v>E.S.E. LAS MERCEDES DEL MUNICIPIO DE MONGUÍ</v>
          </cell>
        </row>
        <row r="1478">
          <cell r="AH1478" t="str">
            <v>E.S.E. LAURA PERDOMO DE GARCÍA</v>
          </cell>
        </row>
        <row r="1479">
          <cell r="AH1479" t="str">
            <v>E.S.E. MANUEL CASTRO TOVAR - PITALITO</v>
          </cell>
        </row>
        <row r="1480">
          <cell r="AH1480" t="str">
            <v>E.S.E. MANUEL ELKIN PATARROYO DEL MUNICIPIO DE OTANCHE</v>
          </cell>
        </row>
        <row r="1481">
          <cell r="AH1481" t="str">
            <v>E.S.E. MARIA AUXILIADORA DEL MUNICIPIO DE MOSQUERA - CUNDINAMARCA</v>
          </cell>
        </row>
        <row r="1482">
          <cell r="AH1482" t="str">
            <v>E.S.E. MARIA AUXILIADORA -GARZÓN</v>
          </cell>
        </row>
        <row r="1483">
          <cell r="AH1483" t="str">
            <v>E.S.E. METROSALUD</v>
          </cell>
        </row>
        <row r="1484">
          <cell r="AH1484" t="str">
            <v>E.S.E. MUNICIPAL DAVID MOLINA MUÑOZ - OPORAPA</v>
          </cell>
        </row>
        <row r="1485">
          <cell r="AH1485" t="str">
            <v>E.S.E. MUNICIPAL DE IPIALES</v>
          </cell>
        </row>
        <row r="1486">
          <cell r="AH1486" t="str">
            <v>E.S.E. NORTE  1</v>
          </cell>
        </row>
        <row r="1487">
          <cell r="AH1487" t="str">
            <v>E.S.E. NORTE 2</v>
          </cell>
        </row>
        <row r="1488">
          <cell r="AH1488" t="str">
            <v>E.S.E. NORTE 3</v>
          </cell>
        </row>
        <row r="1489">
          <cell r="AH1489" t="str">
            <v>E.S.E. NUESTRA SEÑORA DE LAS MERCEDES DE SALADOBLANCO</v>
          </cell>
        </row>
        <row r="1490">
          <cell r="AH1490" t="str">
            <v>E.S.E. NUESTRA SEÑORA DE LAS VICTORIAS</v>
          </cell>
        </row>
        <row r="1491">
          <cell r="AH1491" t="str">
            <v>E.S.E. NUESTRA SEÑORA DEL CARMEN - SANTA MARIA</v>
          </cell>
        </row>
        <row r="1492">
          <cell r="AH1492" t="str">
            <v>E.S.E. NUESTRA SEÑORA DEL ROSARIO DE PISBA</v>
          </cell>
        </row>
        <row r="1493">
          <cell r="AH1493" t="str">
            <v>E.S.E. OCCIDENTE - TIMBIQUI</v>
          </cell>
        </row>
        <row r="1494">
          <cell r="AH1494" t="str">
            <v>E.S.E. ORIENTE - BELALCAZAR</v>
          </cell>
        </row>
        <row r="1495">
          <cell r="AH1495" t="str">
            <v>E.S.E. PASTO SALUD</v>
          </cell>
        </row>
        <row r="1496">
          <cell r="AH1496" t="str">
            <v>E.S.E. PIO X DEL MUNICIPIO DE LA TEBAIDA QUINDIO</v>
          </cell>
        </row>
        <row r="1497">
          <cell r="AH1497" t="str">
            <v>E.S.E. POLICLINICO DE JUNIN</v>
          </cell>
        </row>
        <row r="1498">
          <cell r="AH1498" t="str">
            <v>E.S.E. POPAYAN</v>
          </cell>
        </row>
        <row r="1499">
          <cell r="AH1499" t="str">
            <v>E.S.E. PRESTADORA DE SERVICIOS DE SALUD GUSTAVO ROMERO HERNANDEZ</v>
          </cell>
        </row>
        <row r="1500">
          <cell r="AH1500" t="str">
            <v>E.S.E. PRIMER NIVEL GRANADA SALUD</v>
          </cell>
        </row>
        <row r="1501">
          <cell r="AH1501" t="str">
            <v>E.S.E. PUESTO DE SALUD DE CIENEGA</v>
          </cell>
        </row>
        <row r="1502">
          <cell r="AH1502" t="str">
            <v>E.S.E. PUESTO DE SALUD DE CORRALES</v>
          </cell>
        </row>
        <row r="1503">
          <cell r="AH1503" t="str">
            <v>E.S.E. PUESTO DE SALUD DE OICATA</v>
          </cell>
        </row>
        <row r="1504">
          <cell r="AH1504" t="str">
            <v>E.S.E. PUESTO DE SALUD -SAN MIGUEL- DE TUTA</v>
          </cell>
        </row>
        <row r="1505">
          <cell r="AH1505" t="str">
            <v>E.S.E. PUESTO DE SALUD SANTA LUCIA DE BUSBANZA</v>
          </cell>
        </row>
        <row r="1506">
          <cell r="AH1506" t="str">
            <v>E.S.E. QUILISALUD</v>
          </cell>
        </row>
        <row r="1507">
          <cell r="AH1507" t="str">
            <v>E.S.E. RAFAEL TOVAR PINEDA</v>
          </cell>
        </row>
        <row r="1508">
          <cell r="AH1508" t="str">
            <v>E.S.E. RED DE  SALUD DE LADERA  DE SANTIAGO DE CALI</v>
          </cell>
        </row>
        <row r="1509">
          <cell r="AH1509" t="str">
            <v>E.S.E. RED DE SALUD DEL NORTE</v>
          </cell>
        </row>
        <row r="1510">
          <cell r="AH1510" t="str">
            <v>E.S.E. RED DE SALUD DEL ORIENTE</v>
          </cell>
        </row>
        <row r="1511">
          <cell r="AH1511" t="str">
            <v>E.S.E. RED DE SALUD DEL SURORIENTE</v>
          </cell>
        </row>
        <row r="1512">
          <cell r="AH1512" t="str">
            <v>E.S.E. RED DE SERVICIOS DE SALUD DE PRIMER NIVEL - GUAVIARE</v>
          </cell>
        </row>
        <row r="1513">
          <cell r="AH1513" t="str">
            <v>E.S.E. RED SALUD CASANARE</v>
          </cell>
        </row>
        <row r="1514">
          <cell r="AH1514" t="str">
            <v>E.S.E. RED SALUD DEL CENTRO DEL MUNICIPIO DE CALI</v>
          </cell>
        </row>
        <row r="1515">
          <cell r="AH1515" t="str">
            <v>E.S.E. REDSALUD ARMENIA</v>
          </cell>
        </row>
        <row r="1516">
          <cell r="AH1516" t="str">
            <v>E.S.E. SAGRADO CORAZÓN DE JESUS  -VALENCIA</v>
          </cell>
        </row>
        <row r="1517">
          <cell r="AH1517" t="str">
            <v>E.S.E. SALUD AQUITANIA</v>
          </cell>
        </row>
        <row r="1518">
          <cell r="AH1518" t="str">
            <v>E.S.E. SALUD CHOCO- EN LIQUIDACION</v>
          </cell>
        </row>
        <row r="1519">
          <cell r="AH1519" t="str">
            <v>E.S.E. SALUD DEL TUNDAMA</v>
          </cell>
        </row>
        <row r="1520">
          <cell r="AH1520" t="str">
            <v>E.S.E. SALUD DORADA</v>
          </cell>
        </row>
        <row r="1521">
          <cell r="AH1521" t="str">
            <v>E.S.E. SALUD NOBSA - BOYACÁ</v>
          </cell>
        </row>
        <row r="1522">
          <cell r="AH1522" t="str">
            <v>E.S.E. SALUD PAJARITO</v>
          </cell>
        </row>
        <row r="1523">
          <cell r="AH1523" t="str">
            <v>E.S.E. SALUD PAZ DE RIO</v>
          </cell>
        </row>
        <row r="1524">
          <cell r="AH1524" t="str">
            <v>E.S.E. SALUD PEREIRA</v>
          </cell>
        </row>
        <row r="1525">
          <cell r="AH1525" t="str">
            <v>E.S.E. SALUD SOGAMOSO</v>
          </cell>
        </row>
        <row r="1526">
          <cell r="AH1526" t="str">
            <v>E.S.E. SALUD YOPAL - YOPAL</v>
          </cell>
        </row>
        <row r="1527">
          <cell r="AH1527" t="str">
            <v>E.S.E. SAN ANTONIO DE PADUA - PINCHOTE</v>
          </cell>
        </row>
        <row r="1528">
          <cell r="AH1528" t="str">
            <v>E.S.E. SAN CAYETANO - GUAPOTA</v>
          </cell>
        </row>
        <row r="1529">
          <cell r="AH1529" t="str">
            <v>E.S.E. SAN ISIDRO - TONA</v>
          </cell>
        </row>
        <row r="1530">
          <cell r="AH1530" t="str">
            <v>E.S.E. SAN JORGE  -AYAPEL</v>
          </cell>
        </row>
        <row r="1531">
          <cell r="AH1531" t="str">
            <v>E.S.E. SAN JOSE  -SAN BERNARDO DEL VIENTO</v>
          </cell>
        </row>
        <row r="1532">
          <cell r="AH1532" t="str">
            <v>E.S.E. SAN JUAN DE BETULIA</v>
          </cell>
        </row>
        <row r="1533">
          <cell r="AH1533" t="str">
            <v>E.S.E. SAN PEDRO DE CUMBITARA</v>
          </cell>
        </row>
        <row r="1534">
          <cell r="AH1534" t="str">
            <v>E.S.E. SANATORIO DE AGUA DE DIOS</v>
          </cell>
        </row>
        <row r="1535">
          <cell r="AH1535" t="str">
            <v>E.S.E. SANATORIO DE CONTRATACION</v>
          </cell>
        </row>
        <row r="1536">
          <cell r="AH1536" t="str">
            <v>E.S.E. SANTA GERTRUDIS ENVIGADO</v>
          </cell>
        </row>
        <row r="1537">
          <cell r="AH1537" t="str">
            <v>E.S.E. SANTA TERESITA</v>
          </cell>
        </row>
        <row r="1538">
          <cell r="AH1538" t="str">
            <v>E.S.E. SANTIAGO APOSTOL - IMUES</v>
          </cell>
        </row>
        <row r="1539">
          <cell r="AH1539" t="str">
            <v>E.S.E. SANTIAGO DE TUNJA</v>
          </cell>
        </row>
        <row r="1540">
          <cell r="AH1540" t="str">
            <v>E.S.E. SOR TERESA ADELE</v>
          </cell>
        </row>
        <row r="1541">
          <cell r="AH1541" t="str">
            <v>E.S.E. SUROCCIDENTE</v>
          </cell>
        </row>
        <row r="1542">
          <cell r="AH1542" t="str">
            <v>E.S.E. SURORIENTE - LA VEGA</v>
          </cell>
        </row>
        <row r="1543">
          <cell r="AH1543" t="str">
            <v>E.S.E. TANGUA SALUD HERMES ANDRADE MEJIA</v>
          </cell>
        </row>
        <row r="1544">
          <cell r="AH1544" t="str">
            <v>E.S.E. UNIDAD BÁSICA DE ATENCIÓN NUESTRA SEÑORA DEL CARMEN</v>
          </cell>
        </row>
        <row r="1545">
          <cell r="AH1545" t="str">
            <v>E.S.E. UNIDAD DE SALUD DE IBAGUÉ USI</v>
          </cell>
        </row>
        <row r="1546">
          <cell r="AH1546" t="str">
            <v>E.S.E. UNIDAD DE SALUD SAN FRANCISCO DE ASIS</v>
          </cell>
        </row>
        <row r="1547">
          <cell r="AH1547" t="str">
            <v>E.S.E. UNIDAD HOSPITAL JUAN LUIS LONDOÑO DE ZULIA</v>
          </cell>
        </row>
        <row r="1548">
          <cell r="AH1548" t="str">
            <v>E.S.E. VILLA DEL ROSARIO</v>
          </cell>
        </row>
        <row r="1549">
          <cell r="AH1549" t="str">
            <v>E.S.P.  DISTRITALES DE CARTAGENA - EN LIQUIDACIÓN</v>
          </cell>
        </row>
        <row r="1550">
          <cell r="AH1550" t="str">
            <v>E.S.P.  EMPRESA DE SERVICIOS PÚBLICOS - COCORNÁ</v>
          </cell>
        </row>
        <row r="1551">
          <cell r="AH1551" t="str">
            <v>E.S.P.  EMPRESA DE SERVICIOS PUBLICOS DE MACEO S.A.S.</v>
          </cell>
        </row>
        <row r="1552">
          <cell r="AH1552" t="str">
            <v>E.S.P.  MUNICIPALES CIENAGA DE ORO -EN LIQUIDACION</v>
          </cell>
        </row>
        <row r="1553">
          <cell r="AH1553" t="str">
            <v>E.S.P.  SERVICIOS PÚBLICOS DE ROSAS</v>
          </cell>
        </row>
        <row r="1554">
          <cell r="AH1554" t="str">
            <v>E.S.P. ACUAPANDI S.A.S.</v>
          </cell>
        </row>
        <row r="1555">
          <cell r="AH1555" t="str">
            <v>E.S.P. ACUEDUCTO ALCANTARILLADO Y ASEO DE TENJO S.A</v>
          </cell>
        </row>
        <row r="1556">
          <cell r="AH1556" t="str">
            <v>E.S.P. ACUEDUCTO METROPOLITANO DE BUCARAMANGA S.A.</v>
          </cell>
        </row>
        <row r="1557">
          <cell r="AH1557" t="str">
            <v>E.S.P. ACUEDUCTO REGIONAL COSTERO ARCOS S.A.</v>
          </cell>
        </row>
        <row r="1558">
          <cell r="AH1558" t="str">
            <v>E.S.P. ACUEDUCTO REGIONAL DEL SUR DEL ATLANTICO S.A</v>
          </cell>
        </row>
        <row r="1559">
          <cell r="AH1559" t="str">
            <v>E.S.P. ACUEDUCTO Y ALCANTARILLADO DE PADILLA - CAUCA</v>
          </cell>
        </row>
        <row r="1560">
          <cell r="AH1560" t="str">
            <v>E.S.P. ACUEDUCTO Y ALCANTARILLADO DE VILLAVICENCIO</v>
          </cell>
        </row>
        <row r="1561">
          <cell r="AH1561" t="str">
            <v>E.S.P. AGUA RICA AAA S.A.</v>
          </cell>
        </row>
        <row r="1562">
          <cell r="AH1562" t="str">
            <v>E.S.P. AGUAS ANDAKI S.A.</v>
          </cell>
        </row>
        <row r="1563">
          <cell r="AH1563" t="str">
            <v>E.S.P. AGUAS CANAL DEL DIQUE S.A.</v>
          </cell>
        </row>
        <row r="1564">
          <cell r="AH1564" t="str">
            <v>E.S.P. AGUAS CON FUTURO S.A</v>
          </cell>
        </row>
        <row r="1565">
          <cell r="AH1565" t="str">
            <v>E.S.P. AGUAS DE ABIBE DE CAREPA</v>
          </cell>
        </row>
        <row r="1566">
          <cell r="AH1566" t="str">
            <v>E.S.P. AGUAS DE ARANZAZU</v>
          </cell>
        </row>
        <row r="1567">
          <cell r="AH1567" t="str">
            <v>E.S.P. AGUAS DE BARRANCABERMEJA S.A.</v>
          </cell>
        </row>
        <row r="1568">
          <cell r="AH1568" t="str">
            <v>E.S.P. AGUAS DE BOGOTA  S.A..</v>
          </cell>
        </row>
        <row r="1569">
          <cell r="AH1569" t="str">
            <v>E.S.P. AGUAS DE BOLIVAR S.A.</v>
          </cell>
        </row>
        <row r="1570">
          <cell r="AH1570" t="str">
            <v>E.S.P. AGUAS DE BUGA S.A.</v>
          </cell>
        </row>
        <row r="1571">
          <cell r="AH1571" t="str">
            <v>E.S.P. AGUAS DE CARTAGENA S.A.</v>
          </cell>
        </row>
        <row r="1572">
          <cell r="AH1572" t="str">
            <v>E.S.P. AGUAS DE CASTILLA S.A.</v>
          </cell>
        </row>
        <row r="1573">
          <cell r="AH1573" t="str">
            <v>E.S.P. AGUAS DE CORDOBA S.A.</v>
          </cell>
        </row>
        <row r="1574">
          <cell r="AH1574" t="str">
            <v>E.S.P. AGUAS DE HELICONIA S.A.</v>
          </cell>
        </row>
        <row r="1575">
          <cell r="AH1575" t="str">
            <v>E.S.P. AGUAS DE LA MERCED</v>
          </cell>
        </row>
        <row r="1576">
          <cell r="AH1576" t="str">
            <v>E.S.P. AGUAS DE LA MIEL S.A.</v>
          </cell>
        </row>
        <row r="1577">
          <cell r="AH1577" t="str">
            <v>E.S.P. AGUAS DE MALAMBO S.A.</v>
          </cell>
        </row>
        <row r="1578">
          <cell r="AH1578" t="str">
            <v>E.S.P. AGUAS DE MANIZALES S.A.</v>
          </cell>
        </row>
        <row r="1579">
          <cell r="AH1579" t="str">
            <v>E.S.P. AGUAS DE MORROSQUILLO S.A.</v>
          </cell>
        </row>
        <row r="1580">
          <cell r="AH1580" t="str">
            <v>E.S.P. AGUAS DE PADILLA S.A.</v>
          </cell>
        </row>
        <row r="1581">
          <cell r="AH1581" t="str">
            <v>E.S.P. AGUAS DE PUERTO WILCHES S.A.S.</v>
          </cell>
        </row>
        <row r="1582">
          <cell r="AH1582" t="str">
            <v>E.S.P. AGUAS DE RIONEGRO S.A.</v>
          </cell>
        </row>
        <row r="1583">
          <cell r="AH1583" t="str">
            <v>E.S.P. AGUAS DE SAN ANDRES S.A.</v>
          </cell>
        </row>
        <row r="1584">
          <cell r="AH1584" t="str">
            <v>E.S.P. AGUAS DE SAN JERÓNIMO</v>
          </cell>
        </row>
        <row r="1585">
          <cell r="AH1585" t="str">
            <v>E.S.P. AGUAS DE TOLUVIEJO S.A. - EN LIQUIDACION</v>
          </cell>
        </row>
        <row r="1586">
          <cell r="AH1586" t="str">
            <v>E.S.P. AGUAS DE URABA S.A.</v>
          </cell>
        </row>
        <row r="1587">
          <cell r="AH1587" t="str">
            <v>E.S.P. AGUAS DE VILLAHERMOSA S.A.S.</v>
          </cell>
        </row>
        <row r="1588">
          <cell r="AH1588" t="str">
            <v>E.S.P. AGUAS DEL BAJO CAUCA S.A.</v>
          </cell>
        </row>
        <row r="1589">
          <cell r="AH1589" t="str">
            <v>E.S.P. AGUAS DEL CESAR S.A.</v>
          </cell>
        </row>
        <row r="1590">
          <cell r="AH1590" t="str">
            <v>E.S.P. AGUAS DEL GOLFO S.A.</v>
          </cell>
        </row>
        <row r="1591">
          <cell r="AH1591" t="str">
            <v>E.S.P. AGUAS DEL GUAVIARE S.A.</v>
          </cell>
        </row>
        <row r="1592">
          <cell r="AH1592" t="str">
            <v>E.S.P. AGUAS DEL MAGDALENA S.A</v>
          </cell>
        </row>
        <row r="1593">
          <cell r="AH1593" t="str">
            <v>E.S.P. AGUAS DEL NORDESTE S.A</v>
          </cell>
        </row>
        <row r="1594">
          <cell r="AH1594" t="str">
            <v>E.S.P. AGUAS DEL OCCIDENTE CUNDINAMARQUES, ACUEDUCTO, ALCANTARILLADO , ASEO Y SERVICIOS COMPLEMENTARIOS</v>
          </cell>
        </row>
        <row r="1595">
          <cell r="AH1595" t="str">
            <v>E.S.P. AGUAS DEL PORE S.A.</v>
          </cell>
        </row>
        <row r="1596">
          <cell r="AH1596" t="str">
            <v>E.S.P. AGUAS DEL PUERTO S.A. - PUERTO BERRIO</v>
          </cell>
        </row>
        <row r="1597">
          <cell r="AH1597" t="str">
            <v>E.S.P. AGUAS NACIONALES EPM S.A.</v>
          </cell>
        </row>
        <row r="1598">
          <cell r="AH1598" t="str">
            <v>E.S.P. AGUAS Y ASEO DE EL PEÑOL - A.A.P.</v>
          </cell>
        </row>
        <row r="1599">
          <cell r="AH1599" t="str">
            <v>E.S.P. AGUAS Y ASEO DE EL PITAL S.A. - EL PITAL</v>
          </cell>
        </row>
        <row r="1600">
          <cell r="AH1600" t="str">
            <v>E.S.P. AGUAS Y ASEO DE RISARALDA S.A.</v>
          </cell>
        </row>
        <row r="1601">
          <cell r="AH1601" t="str">
            <v>E.S.P. AGUAS Y ASEO DE SUBACHOQUE S.A.</v>
          </cell>
        </row>
        <row r="1602">
          <cell r="AH1602" t="str">
            <v>E.S.P. AGUAS Y ASEO DEL MACIZO S.A.</v>
          </cell>
        </row>
        <row r="1603">
          <cell r="AH1603" t="str">
            <v>E.S.P. ASEO ALCALA S.A.</v>
          </cell>
        </row>
        <row r="1604">
          <cell r="AH1604" t="str">
            <v>E.S.P. ASEO DE ROLDANILLO S.A.</v>
          </cell>
        </row>
        <row r="1605">
          <cell r="AH1605" t="str">
            <v>E.S.P. ASEO JAMUNDÍ S.A.</v>
          </cell>
        </row>
        <row r="1606">
          <cell r="AH1606" t="str">
            <v>E.S.P. ASEOBANDO S.A.</v>
          </cell>
        </row>
        <row r="1607">
          <cell r="AH1607" t="str">
            <v>E.S.P. ASOCIACIÓN DE MUNICIPIOS DE SABANAGRANDE Y SANTO TOMAS -</v>
          </cell>
        </row>
        <row r="1608">
          <cell r="AH1608" t="str">
            <v>E.S.P. BIORGANICOS DEL PAEZ S.A.</v>
          </cell>
        </row>
        <row r="1609">
          <cell r="AH1609" t="str">
            <v>E.S.P. BIORGANICOS DEL SUR DEL HUILA S.A.</v>
          </cell>
        </row>
        <row r="1610">
          <cell r="AH1610" t="str">
            <v>E.S.P. BIORGANICOS S.A.</v>
          </cell>
        </row>
        <row r="1611">
          <cell r="AH1611" t="str">
            <v>E.S.P. BUENAVISTA</v>
          </cell>
        </row>
        <row r="1612">
          <cell r="AH1612" t="str">
            <v>E.S.P. CABRERANA DE SERVICIOS PUBLICOS S.A.</v>
          </cell>
        </row>
        <row r="1613">
          <cell r="AH1613" t="str">
            <v>E.S.P. CENTRAL HIDROELECTRICA JUAN GARCIA S.A.S</v>
          </cell>
        </row>
        <row r="1614">
          <cell r="AH1614" t="str">
            <v>E.S.P. COLVATEL S.A.</v>
          </cell>
        </row>
        <row r="1615">
          <cell r="AH1615" t="str">
            <v>E.S.P. COMERCIALIZADORA ENERGETICA NACIONAL COLOMBIANA  CENCOL S.A. - EN LIQUIDACION</v>
          </cell>
        </row>
        <row r="1616">
          <cell r="AH1616" t="str">
            <v>E.S.P. COMPAÑÍA DE SERVICIOS PÚBLICOS SOGAMOSO S.A.</v>
          </cell>
        </row>
        <row r="1617">
          <cell r="AH1617" t="str">
            <v>E.S.P. CONFINEÑA DE SERVICIOS PÚBLICOS S.A.</v>
          </cell>
        </row>
        <row r="1618">
          <cell r="AH1618" t="str">
            <v>E.S.P. COOPERATIVA DE ACUEDUCTO, ALCANTARILLADO Y ASEO DE RICAURTE - NARIÑO</v>
          </cell>
        </row>
        <row r="1619">
          <cell r="AH1619" t="str">
            <v>E.S.P. COOPERATIVA DE SERVICIOS PUBLICOS DE CHIVOLO LTDA.</v>
          </cell>
        </row>
        <row r="1620">
          <cell r="AH1620" t="str">
            <v>E.S.P. CORPORACION DE SERVICIOS PUBLICOS DE ACUEDUCTO,ALCALTARILLADO Y ASEO - NARIÑO LTDA</v>
          </cell>
        </row>
        <row r="1621">
          <cell r="AH1621" t="str">
            <v>E.S.P. CORPORACION FRESNENSE DE OBRAS SANITARIAS</v>
          </cell>
        </row>
        <row r="1622">
          <cell r="AH1622" t="str">
            <v>E.S.P. DE AGUAS DE UPIA S.A.</v>
          </cell>
        </row>
        <row r="1623">
          <cell r="AH1623" t="str">
            <v>E.S.P. DE BARAYA -</v>
          </cell>
        </row>
        <row r="1624">
          <cell r="AH1624" t="str">
            <v>E.S.P. DE BELMIRA</v>
          </cell>
        </row>
        <row r="1625">
          <cell r="AH1625" t="str">
            <v>E.S.P. DE CALOTO -</v>
          </cell>
        </row>
        <row r="1626">
          <cell r="AH1626" t="str">
            <v>E.S.P. DE COROZAL</v>
          </cell>
        </row>
        <row r="1627">
          <cell r="AH1627" t="str">
            <v>E.S.P. DE LA CALERA</v>
          </cell>
        </row>
        <row r="1628">
          <cell r="AH1628" t="str">
            <v>E.S.P. DE LA JAGUA DEL PILAR S.A.</v>
          </cell>
        </row>
        <row r="1629">
          <cell r="AH1629" t="str">
            <v>E.S.P. DE LA REGIÓN DE MARQUEZ S.A.</v>
          </cell>
        </row>
        <row r="1630">
          <cell r="AH1630" t="str">
            <v>E.S.P. DE SAN ANTONIO DEL TEQUENDAMA S.A.</v>
          </cell>
        </row>
        <row r="1631">
          <cell r="AH1631" t="str">
            <v>E.S.P. DE SANDONA</v>
          </cell>
        </row>
        <row r="1632">
          <cell r="AH1632" t="str">
            <v>E.S.P. DE SANTO DOMINGO</v>
          </cell>
        </row>
        <row r="1633">
          <cell r="AH1633" t="str">
            <v>E.S.P. DE SOPO -</v>
          </cell>
        </row>
        <row r="1634">
          <cell r="AH1634" t="str">
            <v>E.S.P. DE TOCANCIPA  S.A.</v>
          </cell>
        </row>
        <row r="1635">
          <cell r="AH1635" t="str">
            <v>E.S.P. DE VEGACHI S.A.</v>
          </cell>
        </row>
        <row r="1636">
          <cell r="AH1636" t="str">
            <v>E.S.P. DE VIGIA DEL FUERTE</v>
          </cell>
        </row>
        <row r="1637">
          <cell r="AH1637" t="str">
            <v>E.S.P. DISTRIBUIDORA ELECTRICA DE CUNDINAMARCA S.A.</v>
          </cell>
        </row>
        <row r="1638">
          <cell r="AH1638" t="str">
            <v>E.S.P. DOMICILIARIOS - SÁCHICA</v>
          </cell>
        </row>
        <row r="1639">
          <cell r="AH1639" t="str">
            <v>E.S.P. DOMICILIARIOS - SOATA</v>
          </cell>
        </row>
        <row r="1640">
          <cell r="AH1640" t="str">
            <v>E.S.P. DOMICILIARIOS DE ALBANIA S.A.</v>
          </cell>
        </row>
        <row r="1641">
          <cell r="AH1641" t="str">
            <v>E.S.P. DOMICILIARIOS DE CARACOLI  S.A.</v>
          </cell>
        </row>
        <row r="1642">
          <cell r="AH1642" t="str">
            <v>E.S.P. DOMICILIARIOS DE LA MONTAÑITA S.A</v>
          </cell>
        </row>
        <row r="1643">
          <cell r="AH1643" t="str">
            <v>E.S.P. DOMICILIARIOS DE LIBORINA  S.A.</v>
          </cell>
        </row>
        <row r="1644">
          <cell r="AH1644" t="str">
            <v>E.S.P. DOMICILIARIOS DE PUERRES</v>
          </cell>
        </row>
        <row r="1645">
          <cell r="AH1645" t="str">
            <v>E.S.P. DOMICILIARIOS DE SABANALARGA S.A.</v>
          </cell>
        </row>
        <row r="1646">
          <cell r="AH1646" t="str">
            <v>E.S.P. EDATEL S.A.</v>
          </cell>
        </row>
        <row r="1647">
          <cell r="AH1647" t="str">
            <v>E.S.P. ELECTRIFICADORA DEL MUNICIPIO DE NUQUI  S.A</v>
          </cell>
        </row>
        <row r="1648">
          <cell r="AH1648" t="str">
            <v>E.S.P. EMILIO GARTNER EMPRESA DE SERVICIOS PÚBLICOS DE BALBOA</v>
          </cell>
        </row>
        <row r="1649">
          <cell r="AH1649" t="str">
            <v>E.S.P. EMPRESA  DE SERVICIOS PÚBLICOS - EMVILLARICA</v>
          </cell>
        </row>
        <row r="1650">
          <cell r="AH1650" t="str">
            <v>E.S.P. EMPRESA  DE SERVICIOS PUBLICOS DE ACANDI S.A.</v>
          </cell>
        </row>
        <row r="1651">
          <cell r="AH1651" t="str">
            <v>E.S.P. EMPRESA AGUAS DE APICALA - EN LIQUIDACION</v>
          </cell>
        </row>
        <row r="1652">
          <cell r="AH1652" t="str">
            <v>E.S.P. EMPRESA AGUAS DE SUCRE S.A.</v>
          </cell>
        </row>
        <row r="1653">
          <cell r="AH1653" t="str">
            <v>E.S.P. EMPRESA AGUAS DEL ORIENTE ANTIOQUEÑO S.A.</v>
          </cell>
        </row>
        <row r="1654">
          <cell r="AH1654" t="str">
            <v>E.S.P. EMPRESA CAUCANA DE SERVICIOS S.A.</v>
          </cell>
        </row>
        <row r="1655">
          <cell r="AH1655" t="str">
            <v>E.S.P. EMPRESA COLOMBIANA DE PROCESOS TECNOLOGICOS, TECNOLOGIA Y COMUNICACIONES S.A.</v>
          </cell>
        </row>
        <row r="1656">
          <cell r="AH1656" t="str">
            <v>E.S.P. EMPRESA DE  ENERGÍA DEL VALLE DE SIBUNDOY S.A.</v>
          </cell>
        </row>
        <row r="1657">
          <cell r="AH1657" t="str">
            <v>E.S.P. EMPRESA DE ACUEDUCTO Y ALCANTARILLADO -  MOSQUERA</v>
          </cell>
        </row>
        <row r="1658">
          <cell r="AH1658" t="str">
            <v>E.S.P. EMPRESA DE ACUEDUCTO Y ALCANTARILLADO DE BOGOTÁ</v>
          </cell>
        </row>
        <row r="1659">
          <cell r="AH1659" t="str">
            <v>E.S.P. EMPRESA DE ACUEDUCTO Y ALCANTARILLADO DE LORICA S.A.</v>
          </cell>
        </row>
        <row r="1660">
          <cell r="AH1660" t="str">
            <v>E.S.P. EMPRESA DE ACUEDUCTO Y ALCANTARILLADO DE PEREIRA S.A.</v>
          </cell>
        </row>
        <row r="1661">
          <cell r="AH1661" t="str">
            <v>E.S.P. EMPRESA DE ACUEDUCTO Y ALCANTARILLADO DE SAN JOSE DEL GUAVIARE -</v>
          </cell>
        </row>
        <row r="1662">
          <cell r="AH1662" t="str">
            <v>E.S.P. EMPRESA DE ACUEDUCTO Y ALCANTARILLADO DE SILVIA</v>
          </cell>
        </row>
        <row r="1663">
          <cell r="AH1663" t="str">
            <v>E.S.P. EMPRESA DE ACUEDUCTO Y ALCANTARILLADO DEL RÍO PALO  S.A.- EN LIQUIDACION</v>
          </cell>
        </row>
        <row r="1664">
          <cell r="AH1664" t="str">
            <v>E.S.P. EMPRESA DE ACUEDUCTO Y ALCANTARILLADO Y ASEO DE MADRID</v>
          </cell>
        </row>
        <row r="1665">
          <cell r="AH1665" t="str">
            <v>E.S.P. EMPRESA DE ACUEDUCTO, ALCANTARILLADO Y ASEO DE ACACÍAS</v>
          </cell>
        </row>
        <row r="1666">
          <cell r="AH1666" t="str">
            <v>E.S.P. EMPRESA DE ACUEDUCTO, ALCANTARILLADO Y ASEO DE BUENAVISTA S.A.</v>
          </cell>
        </row>
        <row r="1667">
          <cell r="AH1667" t="str">
            <v>E.S.P. EMPRESA DE ACUEDUCTO, ALCANTARILLADO Y ASEO DE CHOACHÍ -</v>
          </cell>
        </row>
        <row r="1668">
          <cell r="AH1668" t="str">
            <v>E.S.P. EMPRESA DE ACUEDUCTO, ALCANTARILLADO Y ASEO DE COLOMBIA S.A.</v>
          </cell>
        </row>
        <row r="1669">
          <cell r="AH1669" t="str">
            <v>E.S.P. EMPRESA DE ACUEDUCTO, ALCANTARILLADO Y ASEO DE DIBULLA S.A.</v>
          </cell>
        </row>
        <row r="1670">
          <cell r="AH1670" t="str">
            <v>E.S.P. EMPRESA DE ACUEDUCTO, ALCANTARILLADO Y ASEO DE GUADALUPE S.A.</v>
          </cell>
        </row>
        <row r="1671">
          <cell r="AH1671" t="str">
            <v>E.S.P. EMPRESA DE ACUEDUCTO, ALCANTARILLADO Y ASEO DE GUASCA S.A.</v>
          </cell>
        </row>
        <row r="1672">
          <cell r="AH1672" t="str">
            <v>E.S.P. EMPRESA DE ACUEDUCTO, ALCANTARILLADO Y ASEO DE LABRANZAGRANDE S.A.</v>
          </cell>
        </row>
        <row r="1673">
          <cell r="AH1673" t="str">
            <v>E.S.P. EMPRESA DE ACUEDUCTO, ALCANTARILLADO Y ASEO DE MANI</v>
          </cell>
        </row>
        <row r="1674">
          <cell r="AH1674" t="str">
            <v>E.S.P. EMPRESA DE ACUEDUCTO, ALCANTARILLADO Y ASEO DE OVEJAS - SUCRE</v>
          </cell>
        </row>
        <row r="1675">
          <cell r="AH1675" t="str">
            <v>E.S.P. EMPRESA DE ACUEDUCTO, ALCANTARILLADO Y ASEO DE SALADOBLANCO S.A.</v>
          </cell>
        </row>
        <row r="1676">
          <cell r="AH1676" t="str">
            <v>E.S.P. EMPRESA DE ACUEDUCTO, ALCANTARILLADO Y ASEO DE SAN ALBERTO S.A.</v>
          </cell>
        </row>
        <row r="1677">
          <cell r="AH1677" t="str">
            <v>E.S.P. EMPRESA DE ACUEDUCTO, ALCANTARILLADO Y ASEO DE SAN ANTONIO DE PALMITO</v>
          </cell>
        </row>
        <row r="1678">
          <cell r="AH1678" t="str">
            <v>E.S.P. EMPRESA DE ACUEDUCTO, ALCANTARILLADO Y ASEO DE SAN JUAN DE BETULIA - EN LIQUIDACION</v>
          </cell>
        </row>
        <row r="1679">
          <cell r="AH1679" t="str">
            <v>E.S.P. EMPRESA DE ACUEDUCTO, ALCANTARILLADO Y ASEO DE SAN LUIS DE PALENQUE S.A.</v>
          </cell>
        </row>
        <row r="1680">
          <cell r="AH1680" t="str">
            <v>E.S.P. EMPRESA DE ACUEDUCTO, ALCANTARILLADO Y ASEO DE TENZA S.A.</v>
          </cell>
        </row>
        <row r="1681">
          <cell r="AH1681" t="str">
            <v>E.S.P. EMPRESA DE ACUEDUCTO, ALCANTARILLADO Y ASEO DEL BORDO PATIA</v>
          </cell>
        </row>
        <row r="1682">
          <cell r="AH1682" t="str">
            <v>E.S.P. EMPRESA DE ACUEDUCTO, ALCANTARILLADO Y ASEO DEL ESPINAL</v>
          </cell>
        </row>
        <row r="1683">
          <cell r="AH1683" t="str">
            <v>E.S.P. EMPRESA DE ACUEDUCTO, ALCANTARILLADO Y ASEO DEL ROSAL S.A.</v>
          </cell>
        </row>
        <row r="1684">
          <cell r="AH1684" t="str">
            <v>E.S.P. EMPRESA DE ACUEDUCTO, ALCANTARILLADO Y ASEO -FUNZA</v>
          </cell>
        </row>
        <row r="1685">
          <cell r="AH1685" t="str">
            <v>E.S.P. EMPRESA DE ACUEDUCTO, ALCANTARILLADO Y ASEO -LA VEGA</v>
          </cell>
        </row>
        <row r="1686">
          <cell r="AH1686" t="str">
            <v>E.S.P. EMPRESA DE ACUEDUCTO, ALCANTARILLADO Y ASEO- PAZ DE ARIPORO</v>
          </cell>
        </row>
        <row r="1687">
          <cell r="AH1687" t="str">
            <v>E.S.P. EMPRESA DE ACUEDUCTO, ALCANTARILLADO, ASEO Y SERVICIOS COMPLEMENTARIOS DE OTANCHE S.A.S.</v>
          </cell>
        </row>
        <row r="1688">
          <cell r="AH1688" t="str">
            <v>E.S.P. EMPRESA DE ACUEDUCTO, ALCANTARILLADO, ASEO Y SERVICIOS COMPLEMENTARIOS DE ZIPACON S.A.</v>
          </cell>
        </row>
        <row r="1689">
          <cell r="AH1689" t="str">
            <v>E.S.P. EMPRESA DE ACUEDUCTO, ALCANTARILLADOY ASEO DE SILVANIA S.A.</v>
          </cell>
        </row>
        <row r="1690">
          <cell r="AH1690" t="str">
            <v>E.S.P. EMPRESA DE ALUMBRADO PÚBLICO DE TOLUVIEJO</v>
          </cell>
        </row>
        <row r="1691">
          <cell r="AH1691" t="str">
            <v>E.S.P. EMPRESA DE ASEO DE BUCARAMANGA S.A.</v>
          </cell>
        </row>
        <row r="1692">
          <cell r="AH1692" t="str">
            <v>E.S.P. EMPRESA DE ASEO DE PEREIRA S.A.</v>
          </cell>
        </row>
        <row r="1693">
          <cell r="AH1693" t="str">
            <v>E.S.P. EMPRESA DE ASEO DE PUERTO TEJADA S.A.</v>
          </cell>
        </row>
        <row r="1694">
          <cell r="AH1694" t="str">
            <v>E.S.P. EMPRESA DE DISTRIBUCION DE AGUA POTABLE, ALCANTARILLADO Y ASEO DEL CARMEN DE APICALA S.A.</v>
          </cell>
        </row>
        <row r="1695">
          <cell r="AH1695" t="str">
            <v>E.S.P. EMPRESA DE ENERGIA DE BAHIA SOLANO S.A.</v>
          </cell>
        </row>
        <row r="1696">
          <cell r="AH1696" t="str">
            <v>E.S.P. EMPRESA DE ENERGIA DE BOGOTÁ  S.A.</v>
          </cell>
        </row>
        <row r="1697">
          <cell r="AH1697" t="str">
            <v>E.S.P. EMPRESA DE ENERGIA DE PEREIRA S.A.</v>
          </cell>
        </row>
        <row r="1698">
          <cell r="AH1698" t="str">
            <v>E.S.P. EMPRESA DE ENERGIA DEL ARCHIPIELAGO DE SAN ANDRES ,PROVIDENCIA Y SANTA CATALINA S.A.</v>
          </cell>
        </row>
        <row r="1699">
          <cell r="AH1699" t="str">
            <v>E.S.P. EMPRESA DE ENERGIA DEL CASANARE - ENERCA S.A.</v>
          </cell>
        </row>
        <row r="1700">
          <cell r="AH1700" t="str">
            <v>E.S.P. EMPRESA DE ENERGÍA DEL GUAINÍA - LA CEIBA S.A.</v>
          </cell>
        </row>
        <row r="1701">
          <cell r="AH1701" t="str">
            <v>E.S.P. EMPRESA DE ENERGIA ELECTRICA DE SERVICIOS PUBLICOS - MURINDO</v>
          </cell>
        </row>
        <row r="1702">
          <cell r="AH1702" t="str">
            <v>E.S.P. EMPRESA DE ENERGÍA ELÉCTRICA DEL DEPARTAMENTO DEL GUAVIARE S.A.</v>
          </cell>
        </row>
        <row r="1703">
          <cell r="AH1703" t="str">
            <v>E.S.P. EMPRESA DE ENERGIA ELECTRICA DEL DEPARTAMENTO DEL VICHADA S.A.</v>
          </cell>
        </row>
        <row r="1704">
          <cell r="AH1704" t="str">
            <v>E.S.P. EMPRESA DE GAS Y ENERGIA ELÉCTRICA SIGLO XXI - LA PRIMAVERA</v>
          </cell>
        </row>
        <row r="1705">
          <cell r="AH1705" t="str">
            <v>E.S.P. EMPRESA DE GENERACION Y PROMOCION DE ENERGIA DE ANTIOQUIA S.A.</v>
          </cell>
        </row>
        <row r="1706">
          <cell r="AH1706" t="str">
            <v>E.S.P. EMPRESA DE OBRAS SANITARIAS DE CALDAS LTDA.</v>
          </cell>
        </row>
        <row r="1707">
          <cell r="AH1707" t="str">
            <v>E.S.P. EMPRESA DE OBRAS SANITARIAS DE SANTA ROSA DE CABAL - -E.I.C.E.</v>
          </cell>
        </row>
        <row r="1708">
          <cell r="AH1708" t="str">
            <v>E.S.P. EMPRESA DE RECURSOS TECNOLOGICOS S. A.</v>
          </cell>
        </row>
        <row r="1709">
          <cell r="AH1709" t="str">
            <v>E.S.P. EMPRESA DE SERVICIO PUBLICO DE ASEO DE YOTOCO S.A.S.</v>
          </cell>
        </row>
        <row r="1710">
          <cell r="AH1710" t="str">
            <v>E.S.P. EMPRESA DE SERVICIOS DE ACUEDUCTO, ALCANTARILLADO Y ASEO -  - LIBANO</v>
          </cell>
        </row>
        <row r="1711">
          <cell r="AH1711" t="str">
            <v>E.S.P. EMPRESA DE SERVICIOS DE ACUEDUCTO, ALCANTARILLADO Y ASEO DE APULO S.A.</v>
          </cell>
        </row>
        <row r="1712">
          <cell r="AH1712" t="str">
            <v>E.S.P. EMPRESA DE SERVICIOS DE ACUEDUCTO, ALCANTARILLADO Y ASEO DE CERETÉ -  -EN LIQUIDACION-</v>
          </cell>
        </row>
        <row r="1713">
          <cell r="AH1713" t="str">
            <v>E.S.P. EMPRESA DE SERVICIOS DE CURILLO -ESERCU- S.A.</v>
          </cell>
        </row>
        <row r="1714">
          <cell r="AH1714" t="str">
            <v>E.S.P. EMPRESA DE SERVICIOS DE NOBSA S.A</v>
          </cell>
        </row>
        <row r="1715">
          <cell r="AH1715" t="str">
            <v>E.S.P. EMPRESA DE SERVICIOS DE SAN MARCOS -</v>
          </cell>
        </row>
        <row r="1716">
          <cell r="AH1716" t="str">
            <v>E.S.P. EMPRESA DE SERVICIOS DEL GUALIVA S.A.S.</v>
          </cell>
        </row>
        <row r="1717">
          <cell r="AH1717" t="str">
            <v>E.S.P. EMPRESA DE SERVICIOS DOMICILIARIOS DE HONDA</v>
          </cell>
        </row>
        <row r="1718">
          <cell r="AH1718" t="str">
            <v>E.S.P. EMPRESA DE SERVICIOS PÚBLICOS  EMPAGUA  - GUACHUCAL</v>
          </cell>
        </row>
        <row r="1719">
          <cell r="AH1719" t="str">
            <v>E.S.P. EMPRESA DE SERVICIOS PÚBLICOS - FRONTINO</v>
          </cell>
        </row>
        <row r="1720">
          <cell r="AH1720" t="str">
            <v>E.S.P. EMPRESA DE SERVICIOS PÚBLICOS - LA UNIÓN</v>
          </cell>
        </row>
        <row r="1721">
          <cell r="AH1721" t="str">
            <v>E.S.P. EMPRESA DE SERVICIOS PUBLICOS - ORITO</v>
          </cell>
        </row>
        <row r="1722">
          <cell r="AH1722" t="str">
            <v>E.S.P. EMPRESA DE SERVICIOS PUBLICOS  PUERTO SALGAR</v>
          </cell>
        </row>
        <row r="1723">
          <cell r="AH1723" t="str">
            <v>E.S.P. EMPRESA DE SERVICIOS PÚBLICOS ALGECIRAS -</v>
          </cell>
        </row>
        <row r="1724">
          <cell r="AH1724" t="str">
            <v>E.S.P. EMPRESA DE SERVICIOS PÚBLICOS CAMPOALEGRE - EN LIQUIDACION</v>
          </cell>
        </row>
        <row r="1725">
          <cell r="AH1725" t="str">
            <v>E.S.P. EMPRESA DE SERVICIOS PÚBLICOS DE ACUEDUCTO Y ALCANTARILLADO -CHACHAGÜI</v>
          </cell>
        </row>
        <row r="1726">
          <cell r="AH1726" t="str">
            <v>E.S.P. EMPRESA DE SERVICIOS PUBLICOS DE ACUEDUCTO, ALCANTARILLADO Y ASEO - TAMBO</v>
          </cell>
        </row>
        <row r="1727">
          <cell r="AH1727" t="str">
            <v>E.S.P. EMPRESA DE SERVICIOS PUBLICOS DE ACUEDUCTO, ALCANTARILLADO Y ASEO DE MOGOTES S.A..</v>
          </cell>
        </row>
        <row r="1728">
          <cell r="AH1728" t="str">
            <v>E.S.P. EMPRESA DE SERVICIOS PUBLICOS DE ACUEDUCTO, ALCANTARILLADO Y ASEO DEL GUAMO</v>
          </cell>
        </row>
        <row r="1729">
          <cell r="AH1729" t="str">
            <v>E.S.P. EMPRESA DE SERVICIOS PUBLICOS DE ACUEDUCTO, ALCANTARILLADO Y ASEO S.A.- BOLIVAR CAUCA</v>
          </cell>
        </row>
        <row r="1730">
          <cell r="AH1730" t="str">
            <v>E.S.P. EMPRESA DE SERVICIOS PUBLICOS DE ACUEDUCTO, ALCANTARILLADOY ASEO  DE OCAMONTE S.A.</v>
          </cell>
        </row>
        <row r="1731">
          <cell r="AH1731" t="str">
            <v>E.S.P. EMPRESA DE SERVICIOS PÚBLICOS DE AGUA DE DIOS - EN LIQUIDACION</v>
          </cell>
        </row>
        <row r="1732">
          <cell r="AH1732" t="str">
            <v>E.S.P. EMPRESA DE SERVICIOS PUBLICOS DE AGUA POTABLE Y SANEAMIENTO BASICO S.A.S.</v>
          </cell>
        </row>
        <row r="1733">
          <cell r="AH1733" t="str">
            <v>E.S.P. EMPRESA DE SERVICIOS PÚBLICOS DE AGUSTIN CODAZZI</v>
          </cell>
        </row>
        <row r="1734">
          <cell r="AH1734" t="str">
            <v>E.S.P. EMPRESA DE SERVICIOS PUBLICOS DE ALMEIDA S.A.</v>
          </cell>
        </row>
        <row r="1735">
          <cell r="AH1735" t="str">
            <v>E.S.P. EMPRESA DE SERVICIOS PUBLICOS DE ARGELIA DE MARIA  S.A</v>
          </cell>
        </row>
        <row r="1736">
          <cell r="AH1736" t="str">
            <v>E.S.P. EMPRESA DE SERVICIOS PÚBLICOS DE ASEO- SAN JOSE DE MARINILLA</v>
          </cell>
        </row>
        <row r="1737">
          <cell r="AH1737" t="str">
            <v>E.S.P. EMPRESA DE SERVICIOS PÚBLICOS DE ASEO Y ALCANTARILLADO DE RESTREPO S.A.</v>
          </cell>
        </row>
        <row r="1738">
          <cell r="AH1738" t="str">
            <v>E.S.P. EMPRESA DE SERVICIOS PÚBLICOS DE BARICHARA S.A.</v>
          </cell>
        </row>
        <row r="1739">
          <cell r="AH1739" t="str">
            <v>E.S.P. EMPRESA DE SERVICIOS PUBLICOS DE BUENAVISTA - CORDOBA</v>
          </cell>
        </row>
        <row r="1740">
          <cell r="AH1740" t="str">
            <v>E.S.P. EMPRESA DE SERVICIOS PÚBLICOS DE CÁCHIRA S.A.S.</v>
          </cell>
        </row>
        <row r="1741">
          <cell r="AH1741" t="str">
            <v>E.S.P. EMPRESA DE SERVICIOS PUBLICOS DE CAJICA S.A.</v>
          </cell>
        </row>
        <row r="1742">
          <cell r="AH1742" t="str">
            <v>E.S.P. EMPRESA DE SERVICIOS PUBLICOS DE CARAMANTA S.A.</v>
          </cell>
        </row>
        <row r="1743">
          <cell r="AH1743" t="str">
            <v>E.S.P. EMPRESA DE SERVICIOS PÚBLICOS DE CHAPARRAL</v>
          </cell>
        </row>
        <row r="1744">
          <cell r="AH1744" t="str">
            <v>E.S.P. EMPRESA DE SERVICIOS PÚBLICOS DE CHIQUINQUIRA -</v>
          </cell>
        </row>
        <row r="1745">
          <cell r="AH1745" t="str">
            <v>E.S.P. EMPRESA DE SERVICIOS PÚBLICOS DE COELLO</v>
          </cell>
        </row>
        <row r="1746">
          <cell r="AH1746" t="str">
            <v>E.S.P. EMPRESA DE SERVICIOS PUBLICOS DE CRAVO NORTE JAGÜEY S.A.</v>
          </cell>
        </row>
        <row r="1747">
          <cell r="AH1747" t="str">
            <v>E.S.P. EMPRESA DE SERVICIOS PÚBLICOS DE CUNDAY</v>
          </cell>
        </row>
        <row r="1748">
          <cell r="AH1748" t="str">
            <v>E.S.P. EMPRESA DE SERVICIOS PÚBLICOS DE EBEJICO</v>
          </cell>
        </row>
        <row r="1749">
          <cell r="AH1749" t="str">
            <v>E.S.P. EMPRESA DE SERVICIOS PUBLICOS DE EL COLEGIO -</v>
          </cell>
        </row>
        <row r="1750">
          <cell r="AH1750" t="str">
            <v>E.S.P. EMPRESA DE SERVICIOS PUBLICOS DE EL PAUJIL S.A.</v>
          </cell>
        </row>
        <row r="1751">
          <cell r="AH1751" t="str">
            <v>E.S.P. EMPRESA DE SERVICIOS PUBLICOS DE GALAN S.A.</v>
          </cell>
        </row>
        <row r="1752">
          <cell r="AH1752" t="str">
            <v>E.S.P. EMPRESA DE SERVICIOS PUBLICOS DE GALERAS S.A.</v>
          </cell>
        </row>
        <row r="1753">
          <cell r="AH1753" t="str">
            <v>E.S.P. EMPRESA DE SERVICIOS PÚBLICOS DE GIRALDO S.A.</v>
          </cell>
        </row>
        <row r="1754">
          <cell r="AH1754" t="str">
            <v>E.S.P. EMPRESA DE SERVICIOS PUBLICOS DE GUADALUPE S.A.S</v>
          </cell>
        </row>
        <row r="1755">
          <cell r="AH1755" t="str">
            <v>E.S.P. EMPRESA DE SERVICIOS PUBLICOS DE GUADUAS S.A. - AGUAS DEL CAPIRA</v>
          </cell>
        </row>
        <row r="1756">
          <cell r="AH1756" t="str">
            <v>E.S.P. EMPRESA DE SERVICIOS PÚBLICOS DE GUATAVITA S.A.</v>
          </cell>
        </row>
        <row r="1757">
          <cell r="AH1757" t="str">
            <v>E.S.P. EMPRESA DE SERVICIOS PUBLICOS DE HERVEO S.A.</v>
          </cell>
        </row>
        <row r="1758">
          <cell r="AH1758" t="str">
            <v>E.S.P. EMPRESA DE SERVICIOS PUBLICOS DE LA CRUZ</v>
          </cell>
        </row>
        <row r="1759">
          <cell r="AH1759" t="str">
            <v>E.S.P. EMPRESA DE SERVICIOS PÚBLICOS DE LA PALMEÑA S.A.S.</v>
          </cell>
        </row>
        <row r="1760">
          <cell r="AH1760" t="str">
            <v>E.S.P. EMPRESA DE SERVICIOS PÚBLICOS DE LA PAZ</v>
          </cell>
        </row>
        <row r="1761">
          <cell r="AH1761" t="str">
            <v>E.S.P. EMPRESA DE SERVICIOS PUBLICOS DE LA PROVINCIA DE LENGUPA S.A.</v>
          </cell>
        </row>
        <row r="1762">
          <cell r="AH1762" t="str">
            <v>E.S.P. EMPRESA DE SERVICIOS PÚBLICOS DE LEIVA S.A.S.</v>
          </cell>
        </row>
        <row r="1763">
          <cell r="AH1763" t="str">
            <v>E.S.P. EMPRESA DE SERVICIOS PÚBLICOS DE LEJANÍAS - META</v>
          </cell>
        </row>
        <row r="1764">
          <cell r="AH1764" t="str">
            <v>E.S.P. EMPRESA DE SERVICIOS PÚBLICOS DE LÉRIDA -</v>
          </cell>
        </row>
        <row r="1765">
          <cell r="AH1765" t="str">
            <v>E.S.P. EMPRESA DE SERVICIOS PUBLICOS DE MARQUETALIA S.A.</v>
          </cell>
        </row>
        <row r="1766">
          <cell r="AH1766" t="str">
            <v>E.S.P. EMPRESA DE SERVICIOS PÚBLICOS DE MONIQUIRA S.A.</v>
          </cell>
        </row>
        <row r="1767">
          <cell r="AH1767" t="str">
            <v>E.S.P. EMPRESA DE SERVICIOS PUBLICOS DE NECOCLI S.A.</v>
          </cell>
        </row>
        <row r="1768">
          <cell r="AH1768" t="str">
            <v>E.S.P. EMPRESA DE SERVICIOS PUBLICOS DE PAMPLONA S.A.</v>
          </cell>
        </row>
        <row r="1769">
          <cell r="AH1769" t="str">
            <v>E.S.P. EMPRESA DE SERVICIOS PÚBLICOS DE POLICARPA S.A.</v>
          </cell>
        </row>
        <row r="1770">
          <cell r="AH1770" t="str">
            <v>E.S.P. EMPRESA DE SERVICIOS PUBLICOS DE POTOSI</v>
          </cell>
        </row>
        <row r="1771">
          <cell r="AH1771" t="str">
            <v>E.S.P. EMPRESA DE SERVICIOS PÚBLICOS DE PUERTO RICO META - PUERTO RICO</v>
          </cell>
        </row>
        <row r="1772">
          <cell r="AH1772" t="str">
            <v>E.S.P. EMPRESA DE SERVICIOS PUBLICOS DE PUERTO TRIUNFO S.A.</v>
          </cell>
        </row>
        <row r="1773">
          <cell r="AH1773" t="str">
            <v>E.S.P. EMPRESA DE SERVICIOS PUBLICOS DE PURIFICACION -</v>
          </cell>
        </row>
        <row r="1774">
          <cell r="AH1774" t="str">
            <v>E.S.P. EMPRESA DE SERVICIOS PUBLICOS DE RESTREPO AGUA VIVA S.A.</v>
          </cell>
        </row>
        <row r="1775">
          <cell r="AH1775" t="str">
            <v>E.S.P. EMPRESA DE SERVICIOS PUBLICOS DE RONCESVALLES S.A.</v>
          </cell>
        </row>
        <row r="1776">
          <cell r="AH1776" t="str">
            <v>E.S.P. EMPRESA DE SERVICIOS PÚBLICOS DE SACAMA S.A.</v>
          </cell>
        </row>
        <row r="1777">
          <cell r="AH1777" t="str">
            <v>E.S.P. EMPRESA DE SERVICIOS PÚBLICOS DE SALDAÑA S.A.</v>
          </cell>
        </row>
        <row r="1778">
          <cell r="AH1778" t="str">
            <v>E.S.P. EMPRESA DE SERVICIOS PUBLICOS DE SAN ANTERO</v>
          </cell>
        </row>
        <row r="1779">
          <cell r="AH1779" t="str">
            <v>E.S.P. EMPRESA DE SERVICIOS PÚBLICOS DE SAN ANTONIO -</v>
          </cell>
        </row>
        <row r="1780">
          <cell r="AH1780" t="str">
            <v>E.S.P. EMPRESA DE SERVICIOS PÚBLICOS DE SAN JUAN DEL CESAR - EN LIQUIDACIÓN.</v>
          </cell>
        </row>
        <row r="1781">
          <cell r="AH1781" t="str">
            <v>E.S.P. EMPRESA DE SERVICIOS PUBLICOS DE SAN PEDRO DE CARTAGO S.A.</v>
          </cell>
        </row>
        <row r="1782">
          <cell r="AH1782" t="str">
            <v>E.S.P. EMPRESA DE SERVICIOS PUBLICOS DE SANTA ROSA DE OSOS S.A.</v>
          </cell>
        </row>
        <row r="1783">
          <cell r="AH1783" t="str">
            <v>E.S.P. EMPRESA DE SERVICIOS PÚBLICOS DE SORACA S.A.</v>
          </cell>
        </row>
        <row r="1784">
          <cell r="AH1784" t="str">
            <v>E.S.P. EMPRESA DE SERVICIOS PUBLICOS DE TABIO S.A.</v>
          </cell>
        </row>
        <row r="1785">
          <cell r="AH1785" t="str">
            <v>E.S.P. EMPRESA DE SERVICIOS PÚBLICOS DE TAME</v>
          </cell>
        </row>
        <row r="1786">
          <cell r="AH1786" t="str">
            <v>E.S.P. EMPRESA DE SERVICIOS PUBLICOS DE TARSO S.A.</v>
          </cell>
        </row>
        <row r="1787">
          <cell r="AH1787" t="str">
            <v>E.S.P. EMPRESA DE SERVICIOS PÚBLICOS DE TOPAGA S.A.</v>
          </cell>
        </row>
        <row r="1788">
          <cell r="AH1788" t="str">
            <v>E.S.P. EMPRESA DE SERVICIOS PUBLICOS DE URAMITA S.A.S.</v>
          </cell>
        </row>
        <row r="1789">
          <cell r="AH1789" t="str">
            <v>E.S.P. EMPRESA DE SERVICIOS PUBLICOS DE VALPARAISO  S.A.</v>
          </cell>
        </row>
        <row r="1790">
          <cell r="AH1790" t="str">
            <v>E.S.P. EMPRESA DE SERVICIOS PUBLICOS DE VILLANUEVA S.A.</v>
          </cell>
        </row>
        <row r="1791">
          <cell r="AH1791" t="str">
            <v>E.S.P. EMPRESA DE SERVICIOS PUBLICOS DE VILLETA</v>
          </cell>
        </row>
        <row r="1792">
          <cell r="AH1792" t="str">
            <v>E.S.P. EMPRESA DE SERVICIOS PUBLICOS DE VITERBO S.A</v>
          </cell>
        </row>
        <row r="1793">
          <cell r="AH1793" t="str">
            <v>E.S.P. EMPRESA DE SERVICIOS PÚBLICOS DEL META</v>
          </cell>
        </row>
        <row r="1794">
          <cell r="AH1794" t="str">
            <v>E.S.P. EMPRESA DE SERVICIOS PÚBLICOS DEL VALLE DE SAN JOSÉ S.A.</v>
          </cell>
        </row>
        <row r="1795">
          <cell r="AH1795" t="str">
            <v>E.S.P. EMPRESA DE SERVICIOS PUBLICOS DEL VALLE DEL GUAMEZ S.A.</v>
          </cell>
        </row>
        <row r="1796">
          <cell r="AH1796" t="str">
            <v>E.S.P. EMPRESA DE SERVICIOS PUBLICOS DOMICILIARIOS - AMBALEMA</v>
          </cell>
        </row>
        <row r="1797">
          <cell r="AH1797" t="str">
            <v>E.S.P. EMPRESA DE SERVICIOS PÚBLICOS DOMICILIARIOS - SAN ROQUE</v>
          </cell>
        </row>
        <row r="1798">
          <cell r="AH1798" t="str">
            <v>E.S.P. EMPRESA DE SERVICIOS PÚBLICOS DOMICILIARIOS - SIBATÉ</v>
          </cell>
        </row>
        <row r="1799">
          <cell r="AH1799" t="str">
            <v>E.S.P. EMPRESA DE SERVICIOS PUBLICOS DOMICILIARIOS AGUAS Y ASEO DE FREDONIA S.A.</v>
          </cell>
        </row>
        <row r="1800">
          <cell r="AH1800" t="str">
            <v>E.S.P. EMPRESA DE SERVICIOS PUBLICOS DOMICILIARIOS CAQUEZA S.A.</v>
          </cell>
        </row>
        <row r="1801">
          <cell r="AH1801" t="str">
            <v>E.S.P. EMPRESA DE SERVICIOS PÚBLICOS DOMICILIARIOS DE ACUEDUCTO, ALCANTARILLADO Y ASEO - YONDÓ</v>
          </cell>
        </row>
        <row r="1802">
          <cell r="AH1802" t="str">
            <v>E.S.P. EMPRESA DE SERVICIOS PÚBLICOS DOMICILIARIOS DE AGUAZUL -</v>
          </cell>
        </row>
        <row r="1803">
          <cell r="AH1803" t="str">
            <v>E.S.P. EMPRESA DE SERVICIOS PUBLICOS DOMICILIARIOS DE ANGOSTURA S.A.</v>
          </cell>
        </row>
        <row r="1804">
          <cell r="AH1804" t="str">
            <v>E.S.P. EMPRESA DE SERVICIOS PUBLICOS DOMICILIARIOS DE BARBOSA</v>
          </cell>
        </row>
        <row r="1805">
          <cell r="AH1805" t="str">
            <v>E.S.P. EMPRESA DE SERVICIOS PUBLICOS DOMICILIARIOS DE BELEN</v>
          </cell>
        </row>
        <row r="1806">
          <cell r="AH1806" t="str">
            <v>E.S.P. EMPRESA DE SERVICIOS PUBLICOS DOMICILIARIOS DE BURITICA S.A.</v>
          </cell>
        </row>
        <row r="1807">
          <cell r="AH1807" t="str">
            <v>E.S.P. EMPRESA DE SERVICIOS PUBLICOS DOMICILIARIOS DE CISNEROS S.A.</v>
          </cell>
        </row>
        <row r="1808">
          <cell r="AH1808" t="str">
            <v>E.S.P. EMPRESA DE SERVICIOS PUBLICOS DOMICILIARIOS DE DOSQUEBRADAS</v>
          </cell>
        </row>
        <row r="1809">
          <cell r="AH1809" t="str">
            <v>E.S.P. EMPRESA DE SERVICIOS PUBLICOS DOMICILIARIOS DE EL CARMEN DE BOLIVAR S.A.</v>
          </cell>
        </row>
        <row r="1810">
          <cell r="AH1810" t="str">
            <v>E.S.P. EMPRESA DE SERVICIOS PÚBLICOS DOMICILIARIOS DE LA DORADA - DORADA</v>
          </cell>
        </row>
        <row r="1811">
          <cell r="AH1811" t="str">
            <v>E.S.P. EMPRESA DE SERVICIOS PUBLICOS DOMICILIARIOS DE LA ESTRELLA S.A.</v>
          </cell>
        </row>
        <row r="1812">
          <cell r="AH1812" t="str">
            <v>E.S.P. EMPRESA DE SERVICIOS PÚBLICOS DOMICILIARIOS DE LLORO S.A.</v>
          </cell>
        </row>
        <row r="1813">
          <cell r="AH1813" t="str">
            <v>E.S.P. EMPRESA DE SERVICIOS PÚBLICOS DOMICILIARIOS DE ORTEGA - EMPORTEGA</v>
          </cell>
        </row>
        <row r="1814">
          <cell r="AH1814" t="str">
            <v>E.S.P. EMPRESA DE SERVICIOS PUBLICOS DOMICILIARIOS DE SESQUILE S.A.</v>
          </cell>
        </row>
        <row r="1815">
          <cell r="AH1815" t="str">
            <v>E.S.P. EMPRESA DE SERVICIOS PUBLICOS DOMICILIARIOS DE TUQUERRES</v>
          </cell>
        </row>
        <row r="1816">
          <cell r="AH1816" t="str">
            <v>E.S.P. EMPRESA DE SERVICIOS PÚBLICOS DOMICILIARIOS DE VALPARAISO S.A.S.</v>
          </cell>
        </row>
        <row r="1817">
          <cell r="AH1817" t="str">
            <v>E.S.P. EMPRESA DE SERVICIOS PÚBLICOS DOMICILIARIOS DEL MUNICIPIO DE PACHO</v>
          </cell>
        </row>
        <row r="1818">
          <cell r="AH1818" t="str">
            <v>E.S.P. EMPRESA DE SERVICIOS PÚBLICOS E.I.S. CÚCUTA</v>
          </cell>
        </row>
        <row r="1819">
          <cell r="AH1819" t="str">
            <v>E.S.P. EMPRESA DE SERVICIOS PÚBLICOS ELECTRO ORITO - EN LIQUIDACIÓN</v>
          </cell>
        </row>
        <row r="1820">
          <cell r="AH1820" t="str">
            <v>E.S.P. EMPRESA DE SERVICIOS PÚBLICOS LA PLATA HUILA</v>
          </cell>
        </row>
        <row r="1821">
          <cell r="AH1821" t="str">
            <v>E.S.P. EMPRESA DE SERVICIOS PUBLICOS LOS PALMITOS S.A.</v>
          </cell>
        </row>
        <row r="1822">
          <cell r="AH1822" t="str">
            <v>E.S.P. EMPRESA DE SERVICIOS PÚBLICOS MUNICIPALES</v>
          </cell>
        </row>
        <row r="1823">
          <cell r="AH1823" t="str">
            <v>E.S.P. EMPRESA DE SERVICIOS PÚBLICOS MUNICIPALES - LA UNION NARIÑO</v>
          </cell>
        </row>
        <row r="1824">
          <cell r="AH1824" t="str">
            <v>E.S.P. EMPRESA DE SERVICIOS PUBLICOS MUNICIPALES DE EL COPEY</v>
          </cell>
        </row>
        <row r="1825">
          <cell r="AH1825" t="str">
            <v>E.S.P. EMPRESA DE SERVICIOS PÚBLICOS- SAN LUIS ANTIOQUIA</v>
          </cell>
        </row>
        <row r="1826">
          <cell r="AH1826" t="str">
            <v>E.S.P. EMPRESA DE SERVICIOS PUBLICOS SOLIDARIOS DE CHIA -</v>
          </cell>
        </row>
        <row r="1827">
          <cell r="AH1827" t="str">
            <v>E.S.P. EMPRESA DE SERVICIOS PUBLICOS TAMANA CACERES S.A.</v>
          </cell>
        </row>
        <row r="1828">
          <cell r="AH1828" t="str">
            <v>E.S.P. EMPRESA DE SERVICIOS PUBLICOS VARIOS DE PUPIALES</v>
          </cell>
        </row>
        <row r="1829">
          <cell r="AH1829" t="str">
            <v>E.S.P. EMPRESA DE SERVICIOS PUBLICOS, ACUEDUCTO Y ALCANTARILLADO - ALBAN NARIÑO</v>
          </cell>
        </row>
        <row r="1830">
          <cell r="AH1830" t="str">
            <v>E.S.P. EMPRESA DE SERVICIOS SANITARIOS DE CÓRDOBA -</v>
          </cell>
        </row>
        <row r="1831">
          <cell r="AH1831" t="str">
            <v>E.S.P. EMPRESA DE SERVICOS PUBLICOS DE BUENAVISTA S.A.</v>
          </cell>
        </row>
        <row r="1832">
          <cell r="AH1832" t="str">
            <v>E.S.P. EMPRESA DE SERVICOS PÚBLICOS DOMICIIARIOS DE VELEZ-</v>
          </cell>
        </row>
        <row r="1833">
          <cell r="AH1833" t="str">
            <v>E.S.P. EMPRESA DE TELECOMUNICACIONES DE BOGOTA S.A.</v>
          </cell>
        </row>
        <row r="1834">
          <cell r="AH1834" t="str">
            <v>E.S.P. EMPRESA DE TELECOMUNICACIONES DE BUCARAMANGA S.A. -</v>
          </cell>
        </row>
        <row r="1835">
          <cell r="AH1835" t="str">
            <v>E.S.P. EMPRESA DE TELECOMUNICACIONES DE IPIALES S.A.</v>
          </cell>
        </row>
        <row r="1836">
          <cell r="AH1836" t="str">
            <v>E.S.P. EMPRESA DE TELECOMUNICACIONES DE POPAYÁN S.A.</v>
          </cell>
        </row>
        <row r="1837">
          <cell r="AH1837" t="str">
            <v>E.S.P. EMPRESA DEPARTAMENTAL DE ACUEDUCTO, ALCANTARILLADO Y ASEO DEL TOLIMA S.A.</v>
          </cell>
        </row>
        <row r="1838">
          <cell r="AH1838" t="str">
            <v>E.S.P. EMPRESA DEPARTAMENTAL DE SERVICIOS PUBLICOS DE BOYACA</v>
          </cell>
        </row>
        <row r="1839">
          <cell r="AH1839" t="str">
            <v>E.S.P. EMPRESA DEPARTAMENTAL DE SERVICIOS PUBLICOS DE CASANARE S.A.</v>
          </cell>
        </row>
        <row r="1840">
          <cell r="AH1840" t="str">
            <v>E.S.P. EMPRESA DISTRIBUIDORA DEL PACÍFICO S.A. -</v>
          </cell>
        </row>
        <row r="1841">
          <cell r="AH1841" t="str">
            <v>E.S.P. EMPRESA GENERADORA DEL TOLIMA S.A.</v>
          </cell>
        </row>
        <row r="1842">
          <cell r="AH1842" t="str">
            <v>E.S.P. EMPRESA IBAGUEREÑA DE ACUEDUCTO Y ALCANTARILLADO S.A.</v>
          </cell>
        </row>
        <row r="1843">
          <cell r="AH1843" t="str">
            <v>E.S.P. EMPRESA INTERMUNICIPAL DE SERVICIOS PUBLICOS DOMICILIARIOS DE ACUEDUCTO Y ALCANTARILLADO S.A.</v>
          </cell>
        </row>
        <row r="1844">
          <cell r="AH1844" t="str">
            <v>E.S.P. EMPRESA MIXTA MUNICIPAL DE SERVICIOS PUBLICOS S.A.</v>
          </cell>
        </row>
        <row r="1845">
          <cell r="AH1845" t="str">
            <v>E.S.P. EMPRESA MUNICIPAL DE ACUEDUCTO, ALCANTARILLADO Y ASEO DE COLOSO S.A.</v>
          </cell>
        </row>
        <row r="1846">
          <cell r="AH1846" t="str">
            <v>E.S.P. EMPRESA MUNICIPAL DE ACUEDUCTO, ALCANTARILLADO Y ASEO DE LA UNION DE SUCRE S.A.</v>
          </cell>
        </row>
        <row r="1847">
          <cell r="AH1847" t="str">
            <v>E.S.P. EMPRESA MUNICIPAL DE ACUEDUCTO, ALCANTARILLADO Y ASEO DE SAN JUAN DE BETULIA S.A.</v>
          </cell>
        </row>
        <row r="1848">
          <cell r="AH1848" t="str">
            <v>E.S.P. EMPRESA MUNICIPAL DE ASEO - FLORIDABLANCA</v>
          </cell>
        </row>
        <row r="1849">
          <cell r="AH1849" t="str">
            <v>E.S.P. EMPRESA MUNICIPAL DE ASEO DE VICTORIA -</v>
          </cell>
        </row>
        <row r="1850">
          <cell r="AH1850" t="str">
            <v>E.S.P. EMPRESA MUNICIPAL DE NATAGAIMA</v>
          </cell>
        </row>
        <row r="1851">
          <cell r="AH1851" t="str">
            <v>E.S.P. EMPRESA MUNICIPAL DE SERVICIOS PÚBLICOS DE TAURAMENA</v>
          </cell>
        </row>
        <row r="1852">
          <cell r="AH1852" t="str">
            <v>E.S.P. EMPRESA MUNICIPAL DE SERVICIOS PÚBLICOS DE TIMBIO</v>
          </cell>
        </row>
        <row r="1853">
          <cell r="AH1853" t="str">
            <v>E.S.P. EMPRESA MUNICIPAL DE SERVICIOS PUBLICOS DE TRINIDAD</v>
          </cell>
        </row>
        <row r="1854">
          <cell r="AH1854" t="str">
            <v>E.S.P. EMPRESA OFICIAL DE ACUEDUCTO, ALCANTARILLADO Y ASEO DE CHINU</v>
          </cell>
        </row>
        <row r="1855">
          <cell r="AH1855" t="str">
            <v>E.S.P. EMPRESA OFICIAL DE ACUEDUCTO, ALCANTARILLADO Y ASEO DE TOLUVIEJO S.A.</v>
          </cell>
        </row>
        <row r="1856">
          <cell r="AH1856" t="str">
            <v>E.S.P. EMPRESA OFICIAL DE SERVICIOS PUBLICOS DE JAMUNDÍ S.A.</v>
          </cell>
        </row>
        <row r="1857">
          <cell r="AH1857" t="str">
            <v>E.S.P. EMPRESA PRESTADORA DE SERVICIO PÚBLICO DE ASEO - CHIGORODÓ</v>
          </cell>
        </row>
        <row r="1858">
          <cell r="AH1858" t="str">
            <v>E.S.P. EMPRESA PUBLICA DE ALCANTARILLADO DE SANTANDER S.A.</v>
          </cell>
        </row>
        <row r="1859">
          <cell r="AH1859" t="str">
            <v>E.S.P. EMPRESA PUEBLORIQUEÑA DE ACUEDUCTO, ALCANTARILLADO Y ASEO S.A.</v>
          </cell>
        </row>
        <row r="1860">
          <cell r="AH1860" t="str">
            <v>E.S.P. EMPRESA REGIONAL AGUAS DEL TEQUENDAMA S.A.</v>
          </cell>
        </row>
        <row r="1861">
          <cell r="AH1861" t="str">
            <v>E.S.P. EMPRESA REGIONAL DE ACUEDUCTO Y SANEAMIENTO BASICO S.A.S.</v>
          </cell>
        </row>
        <row r="1862">
          <cell r="AH1862" t="str">
            <v>E.S.P. EMPRESA REGIONAL DE ASEO DEL NORTE DE CALDAS S.A.</v>
          </cell>
        </row>
        <row r="1863">
          <cell r="AH1863" t="str">
            <v>E.S.P. EMPRESA REGIONAL DE SERVICO PUBLICO DE ASEO DE CADELARIA</v>
          </cell>
        </row>
        <row r="1864">
          <cell r="AH1864" t="str">
            <v>E.S.P. EMPRESA SANITARIA DEL QUINDIO S. A. -</v>
          </cell>
        </row>
        <row r="1865">
          <cell r="AH1865" t="str">
            <v>E.S.P. EMPRESA SOLIDARIA DE SERVICIOS PUBLICOS DE CHINAVITA</v>
          </cell>
        </row>
        <row r="1866">
          <cell r="AH1866" t="str">
            <v>E.S.P. EMPRESAS DE SERVICIOS PÚBLICOS  DE ROVIRA</v>
          </cell>
        </row>
        <row r="1867">
          <cell r="AH1867" t="str">
            <v>E.S.P. EMPRESAS DE SERVICIOS PÚBLICOS - GRANADA</v>
          </cell>
        </row>
        <row r="1868">
          <cell r="AH1868" t="str">
            <v>E.S.P. EMPRESAS DE SERVICIOS PUBLICOS DE LA VIRGINIA</v>
          </cell>
        </row>
        <row r="1869">
          <cell r="AH1869" t="str">
            <v>E.S.P. EMPRESAS DEL PUEBLO Y PARA EL PUEBLO DE GIGANTE S.A.</v>
          </cell>
        </row>
        <row r="1870">
          <cell r="AH1870" t="str">
            <v>E.S.P. EMPRESAS MUNICIPALES DE TIBASOSA</v>
          </cell>
        </row>
        <row r="1871">
          <cell r="AH1871" t="str">
            <v>E.S.P. EMPRESAS MUNICIPALES DE TULUA</v>
          </cell>
        </row>
        <row r="1872">
          <cell r="AH1872" t="str">
            <v>E.S.P. EMPRESAS MUNICIPALES DE VILLA DEL ROSARIO  -</v>
          </cell>
        </row>
        <row r="1873">
          <cell r="AH1873" t="str">
            <v>E.S.P. EMPRESAS PÚBLICAS - CONCORDIA</v>
          </cell>
        </row>
        <row r="1874">
          <cell r="AH1874" t="str">
            <v>E.S.P. EMPRESAS PUBLICAS  DE LA CEJA</v>
          </cell>
        </row>
        <row r="1875">
          <cell r="AH1875" t="str">
            <v>E.S.P. EMPRESAS PÚBLICAS - PUERTO BOYACÁ</v>
          </cell>
        </row>
        <row r="1876">
          <cell r="AH1876" t="str">
            <v>E.S.P. EMPRESAS PUBLICAS A.A.A. DE YAGUARA S.A</v>
          </cell>
        </row>
        <row r="1877">
          <cell r="AH1877" t="str">
            <v>E.S.P. EMPRESAS PÚBLICAS DE  MARSELLA</v>
          </cell>
        </row>
        <row r="1878">
          <cell r="AH1878" t="str">
            <v>E.S.P. EMPRESAS PÚBLICAS DE ABEJORRAL</v>
          </cell>
        </row>
        <row r="1879">
          <cell r="AH1879" t="str">
            <v>E.S.P. EMPRESAS PUBLICAS DE ACEVEDO S.A.</v>
          </cell>
        </row>
        <row r="1880">
          <cell r="AH1880" t="str">
            <v>E.S.P. EMPRESAS PUBLICAS DE AIPE S.A.</v>
          </cell>
        </row>
        <row r="1881">
          <cell r="AH1881" t="str">
            <v>E.S.P. EMPRESAS PÚBLICAS DE ALGECIRAS S.A.</v>
          </cell>
        </row>
        <row r="1882">
          <cell r="AH1882" t="str">
            <v>E.S.P. EMPRESAS PUBLICAS DE AMAGA S.A</v>
          </cell>
        </row>
        <row r="1883">
          <cell r="AH1883" t="str">
            <v>E.S.P. EMPRESAS PÚBLICAS DE ANDES</v>
          </cell>
        </row>
        <row r="1884">
          <cell r="AH1884" t="str">
            <v>E.S.P. EMPRESAS PÚBLICAS DE BETULIA S.A.</v>
          </cell>
        </row>
        <row r="1885">
          <cell r="AH1885" t="str">
            <v>E.S.P. EMPRESAS PUBLICAS DE BRICEÑO S.A.</v>
          </cell>
        </row>
        <row r="1886">
          <cell r="AH1886" t="str">
            <v>E.S.P. EMPRESAS PUBLICAS DE CAICEDONIA - E.P.C.</v>
          </cell>
        </row>
        <row r="1887">
          <cell r="AH1887" t="str">
            <v>E.S.P. EMPRESAS PUBLICAS DE CAÑASGORDAS S.A.</v>
          </cell>
        </row>
        <row r="1888">
          <cell r="AH1888" t="str">
            <v>E.S.P. EMPRESAS PUBLICAS DE CHAMEZA S.A.S.</v>
          </cell>
        </row>
        <row r="1889">
          <cell r="AH1889" t="str">
            <v>E.S.P. EMPRESAS PUBLICAS DE CUNDINAMARCA S.A.</v>
          </cell>
        </row>
        <row r="1890">
          <cell r="AH1890" t="str">
            <v>E.S.P. EMPRESAS PUBLICAS DE DABEIBA S.A.S.</v>
          </cell>
        </row>
        <row r="1891">
          <cell r="AH1891" t="str">
            <v>E.S.P. EMPRESAS PÚBLICAS DE EL SANTUARIO</v>
          </cell>
        </row>
        <row r="1892">
          <cell r="AH1892" t="str">
            <v>E.S.P. EMPRESAS PUBLICAS DE FACATATIVÁ</v>
          </cell>
        </row>
        <row r="1893">
          <cell r="AH1893" t="str">
            <v>E.S.P. EMPRESAS PÚBLICAS DE GARAGOA S.A.</v>
          </cell>
        </row>
        <row r="1894">
          <cell r="AH1894" t="str">
            <v>E.S.P. EMPRESAS PUBLICAS DE HATO COROZAL S.A.</v>
          </cell>
        </row>
        <row r="1895">
          <cell r="AH1895" t="str">
            <v>E.S.P. EMPRESAS PÚBLICAS DE HISPANIA S.A.</v>
          </cell>
        </row>
        <row r="1896">
          <cell r="AH1896" t="str">
            <v>E.S.P. EMPRESAS PUBLICAS DE HOBO S.A.</v>
          </cell>
        </row>
        <row r="1897">
          <cell r="AH1897" t="str">
            <v>E.S.P. EMPRESAS PUBLICAS DE IQUIRA S.A.</v>
          </cell>
        </row>
        <row r="1898">
          <cell r="AH1898" t="str">
            <v>E.S.P. EMPRESAS PUBLICAS DE ITUANGO S.A.</v>
          </cell>
        </row>
        <row r="1899">
          <cell r="AH1899" t="str">
            <v>E.S.P. EMPRESAS PUBLICAS DE JARDÍN S.A.</v>
          </cell>
        </row>
        <row r="1900">
          <cell r="AH1900" t="str">
            <v>E.S.P. EMPRESAS PUBLICAS DE JERICO S.A.</v>
          </cell>
        </row>
        <row r="1901">
          <cell r="AH1901" t="str">
            <v>E.S.P. EMPRESAS PUBLICAS DE LA ARGENTINA S.A.</v>
          </cell>
        </row>
        <row r="1902">
          <cell r="AH1902" t="str">
            <v>E.S.P. EMPRESAS PUBLICAS DE LA PINTADA S.A</v>
          </cell>
        </row>
        <row r="1903">
          <cell r="AH1903" t="str">
            <v>E.S.P. EMPRESAS PÚBLICAS DE MONTERREY S.A.</v>
          </cell>
        </row>
        <row r="1904">
          <cell r="AH1904" t="str">
            <v>E.S.P. EMPRESAS PÚBLICAS DE NILO S.A.S.</v>
          </cell>
        </row>
        <row r="1905">
          <cell r="AH1905" t="str">
            <v>E.S.P. EMPRESAS PUBLICAS DE ORIENTE ANTIOQUEÑO S.A.</v>
          </cell>
        </row>
        <row r="1906">
          <cell r="AH1906" t="str">
            <v>E.S.P. EMPRESAS PUBLICAS DE QUIBDO - EN LIQUIDACION</v>
          </cell>
        </row>
        <row r="1907">
          <cell r="AH1907" t="str">
            <v>E.S.P. EMPRESAS PUBLICAS DE RECETOR S.A.S.</v>
          </cell>
        </row>
        <row r="1908">
          <cell r="AH1908" t="str">
            <v>E.S.P. EMPRESAS PUBLICAS DE RIVERA S.A.</v>
          </cell>
        </row>
        <row r="1909">
          <cell r="AH1909" t="str">
            <v>E.S.P. EMPRESAS PUBLICAS DE SALGAR S.A.</v>
          </cell>
        </row>
        <row r="1910">
          <cell r="AH1910" t="str">
            <v>E.S.P. EMPRESAS PÚBLICAS DE SAN ANDRÉS DE CUERQUIA S.A.</v>
          </cell>
        </row>
        <row r="1911">
          <cell r="AH1911" t="str">
            <v>E.S.P. EMPRESAS PÚBLICAS DE SAN LUIS S.A.S.</v>
          </cell>
        </row>
        <row r="1912">
          <cell r="AH1912" t="str">
            <v>E.S.P. EMPRESAS PÚBLICAS DE SAN RAFAEL S.A.</v>
          </cell>
        </row>
        <row r="1913">
          <cell r="AH1913" t="str">
            <v>E.S.P. EMPRESAS PÚBLICAS DE SANTA FE DE ANTIOQUIA S.A.</v>
          </cell>
        </row>
        <row r="1914">
          <cell r="AH1914" t="str">
            <v>E.S.P. EMPRESAS PÚBLICAS DE SONSON S.A.</v>
          </cell>
        </row>
        <row r="1915">
          <cell r="AH1915" t="str">
            <v>E.S.P. EMPRESAS PUBLICAS DE SUAZA S.A.</v>
          </cell>
        </row>
        <row r="1916">
          <cell r="AH1916" t="str">
            <v>E.S.P. EMPRESAS PUBLICAS DE TAMARA S.A.S.</v>
          </cell>
        </row>
        <row r="1917">
          <cell r="AH1917" t="str">
            <v>E.S.P. EMPRESAS PUBLICAS DE TARAZÁ S.A.</v>
          </cell>
        </row>
        <row r="1918">
          <cell r="AH1918" t="str">
            <v>E.S.P. EMPRESAS PUBLICAS DE TERUEL S.A.</v>
          </cell>
        </row>
        <row r="1919">
          <cell r="AH1919" t="str">
            <v>E.S.P. EMPRESAS PUBLICAS DE TESALIA S.A.</v>
          </cell>
        </row>
        <row r="1920">
          <cell r="AH1920" t="str">
            <v>E.S.P. EMPRESAS PUBLICAS DE TIMANA S.A.</v>
          </cell>
        </row>
        <row r="1921">
          <cell r="AH1921" t="str">
            <v>E.S.P. EMPRESAS PUBLICAS DE VALDIVIA S.A.</v>
          </cell>
        </row>
        <row r="1922">
          <cell r="AH1922" t="str">
            <v>E.S.P. EMPRESAS PÚBLICAS DE VILLAMARIA- CALDAS</v>
          </cell>
        </row>
        <row r="1923">
          <cell r="AH1923" t="str">
            <v>E.S.P. EMPRESAS PUBLICAS MUNICIPALES - SOPETRAN</v>
          </cell>
        </row>
        <row r="1924">
          <cell r="AH1924" t="str">
            <v>E.S.P. EMPRESAS PÚBLICAS MUNICIPALES DE APIA</v>
          </cell>
        </row>
        <row r="1925">
          <cell r="AH1925" t="str">
            <v>E.S.P. EMPRESAS PÚBLICAS MUNICIPALES DE BELÉN DE UMBRÍA S.A.S.</v>
          </cell>
        </row>
        <row r="1926">
          <cell r="AH1926" t="str">
            <v>E.S.P. EMPRESAS PUBLICAS MUNICIPALES DE BETANIA S.A.</v>
          </cell>
        </row>
        <row r="1927">
          <cell r="AH1927" t="str">
            <v>E.S.P. EMPRESAS PUBLICAS MUNICIPALES DE CALARCA</v>
          </cell>
        </row>
        <row r="1928">
          <cell r="AH1928" t="str">
            <v>E.S.P. EMPRESAS PÚBLICAS MUNICIPALES DE GUATICA</v>
          </cell>
        </row>
        <row r="1929">
          <cell r="AH1929" t="str">
            <v>E.S.P. EMPRESAS PÚBLICAS MUNICIPALES DE QUINCHIA</v>
          </cell>
        </row>
        <row r="1930">
          <cell r="AH1930" t="str">
            <v>E.S.P. EMPRESAS PUBLICAS MUNICIPALES DE SIBATE S.C.A.</v>
          </cell>
        </row>
        <row r="1931">
          <cell r="AH1931" t="str">
            <v>E.S.P. EMPRESAS PUBLICAS MUNICIPALES DE TIBÚ</v>
          </cell>
        </row>
        <row r="1932">
          <cell r="AH1932" t="str">
            <v>E.S.P. EMPRESAS PÚBLICAS MUNICPALES DE YOLOMBO</v>
          </cell>
        </row>
        <row r="1933">
          <cell r="AH1933" t="str">
            <v>E.S.P. EMPRESAS VARIAS DE CAICEDONIA E.V.C</v>
          </cell>
        </row>
        <row r="1934">
          <cell r="AH1934" t="str">
            <v>E.S.P. EMSERCOTA S.A</v>
          </cell>
        </row>
        <row r="1935">
          <cell r="AH1935" t="str">
            <v>E.S.P. EMUSERP HOBO - EN LIQUIDACION</v>
          </cell>
        </row>
        <row r="1936">
          <cell r="AH1936" t="str">
            <v>E.S.P. ENVIASEO</v>
          </cell>
        </row>
        <row r="1937">
          <cell r="AH1937" t="str">
            <v>E.S.P. EPM ITUANGO S.A.</v>
          </cell>
        </row>
        <row r="1938">
          <cell r="AH1938" t="str">
            <v>E.S.P. EPM TELECOMUNICACIONES S.A.</v>
          </cell>
        </row>
        <row r="1939">
          <cell r="AH1939" t="str">
            <v>E.S.P. EVAS ENVIAMBIENTALES S.A.</v>
          </cell>
        </row>
        <row r="1940">
          <cell r="AH1940" t="str">
            <v>E.S.P. GECELCA 3 S.A.S.</v>
          </cell>
        </row>
        <row r="1941">
          <cell r="AH1941" t="str">
            <v>E.S.P. GENERADORA SANTA RITA</v>
          </cell>
        </row>
        <row r="1942">
          <cell r="AH1942" t="str">
            <v>E.S.P. GENERADORA Y COMERCIALIZADORA DE ENERGIA DEL CARIBE S.A.</v>
          </cell>
        </row>
        <row r="1943">
          <cell r="AH1943" t="str">
            <v>E.S.P. GESEP S.C.A.</v>
          </cell>
        </row>
        <row r="1944">
          <cell r="AH1944" t="str">
            <v>E.S.P. GESTAGUAS S.A.</v>
          </cell>
        </row>
        <row r="1945">
          <cell r="AH1945" t="str">
            <v>E.S.P. GESTION ENERGETICA S.A.</v>
          </cell>
        </row>
        <row r="1946">
          <cell r="AH1946" t="str">
            <v>E.S.P. HIDROELECTRICA PESCADERO ITUANGO S.A.</v>
          </cell>
        </row>
        <row r="1947">
          <cell r="AH1947" t="str">
            <v>E.S.P. HIDROELECTRICAS DEL RIO ARMA S.A.S.</v>
          </cell>
        </row>
        <row r="1948">
          <cell r="AH1948" t="str">
            <v>E.S.P. HYDROS CHIA S. EN C.A.</v>
          </cell>
        </row>
        <row r="1949">
          <cell r="AH1949" t="str">
            <v>E.S.P. HYDROS MELGAR S.EN C.A.</v>
          </cell>
        </row>
        <row r="1950">
          <cell r="AH1950" t="str">
            <v>E.S.P. HYDROS MOSQUERA S. EN C.A.</v>
          </cell>
        </row>
        <row r="1951">
          <cell r="AH1951" t="str">
            <v>E.S.P. IMPULSADORA DEL DESARROLLO ARMONICO SOSTENIBLE S.A.</v>
          </cell>
        </row>
        <row r="1952">
          <cell r="AH1952" t="str">
            <v>E.S.P. INSTITUTO DE SERVICIOS VARIOS DE IPIALES -ISERVI-</v>
          </cell>
        </row>
        <row r="1953">
          <cell r="AH1953" t="str">
            <v>E.S.P. JAGUAZUL S.A. - MONTELIBANO</v>
          </cell>
        </row>
        <row r="1954">
          <cell r="AH1954" t="str">
            <v>E.S.P. LA CIMARRONA - CARMEN DE VIBORAL</v>
          </cell>
        </row>
        <row r="1955">
          <cell r="AH1955" t="str">
            <v>E.S.P. LA EMPRESA DE ACUEDUCTO, ALCANTARILLADO Y ASEO DE CHIMICHAGUA -</v>
          </cell>
        </row>
        <row r="1956">
          <cell r="AH1956" t="str">
            <v>E.S.P. NUESTRO ASEO</v>
          </cell>
        </row>
        <row r="1957">
          <cell r="AH1957" t="str">
            <v>E.S.P. PLANTA DE TRATAMIENTO VILLA SANTANA S.A.</v>
          </cell>
        </row>
        <row r="1958">
          <cell r="AH1958" t="str">
            <v>E.S.P. RED VITAL PAIPA S.A.</v>
          </cell>
        </row>
        <row r="1959">
          <cell r="AH1959" t="str">
            <v>E.S.P. REGIONAL DE OCCIDENTE S.A.</v>
          </cell>
        </row>
        <row r="1960">
          <cell r="AH1960" t="str">
            <v>E.S.P. RETIRAR - EL RETIRO</v>
          </cell>
        </row>
        <row r="1961">
          <cell r="AH1961" t="str">
            <v>E.S.P. RIO LUISA EMPRESA DE SERVICIOS PÚBLICOS DE SAN LUIS S.A.</v>
          </cell>
        </row>
        <row r="1962">
          <cell r="AH1962" t="str">
            <v>E.S.P. SABANALARGA EMPRESA DE SERVICIOS PÚBLICOS S.A.</v>
          </cell>
        </row>
        <row r="1963">
          <cell r="AH1963" t="str">
            <v>E.S.P. SAN AGUSTIN</v>
          </cell>
        </row>
        <row r="1964">
          <cell r="AH1964" t="str">
            <v>E.S.P. SERVICIO PÚBLICO DE ALUMBRADO DE PASTO - SEPAL S.A.</v>
          </cell>
        </row>
        <row r="1965">
          <cell r="AH1965" t="str">
            <v>E.S.P. SERVICIO PÚBLICO DE ASEO - VENECIA</v>
          </cell>
        </row>
        <row r="1966">
          <cell r="AH1966" t="str">
            <v>E.S.P. SERVICIOS PUBLICOS DE CAMPOALEGRE S.A</v>
          </cell>
        </row>
        <row r="1967">
          <cell r="AH1967" t="str">
            <v>E.S.P. SERVICIOS PUBLICOS DE DUITAMA S.A.</v>
          </cell>
        </row>
        <row r="1968">
          <cell r="AH1968" t="str">
            <v>E.S.P. SERVICIOS PUBLICOS DE MACANAL S.A.</v>
          </cell>
        </row>
        <row r="1969">
          <cell r="AH1969" t="str">
            <v>E.S.P. SERVICIOS PUBLICOS DE OROCUE S.A.</v>
          </cell>
        </row>
        <row r="1970">
          <cell r="AH1970" t="str">
            <v>E.S.P. SERVICIOS PUBLICOS DE PRADO S.A.</v>
          </cell>
        </row>
        <row r="1971">
          <cell r="AH1971" t="str">
            <v>E.S.P. SERVICIOS PÚBLICOS DE PUERTO LOPEZ  S.A.</v>
          </cell>
        </row>
        <row r="1972">
          <cell r="AH1972" t="str">
            <v>E.S.P. SERVICIOS PUBLICOS DE SAN JOSE DE LA FRAGUA S.A.</v>
          </cell>
        </row>
        <row r="1973">
          <cell r="AH1973" t="str">
            <v>E.S.P. SERVICIOS PÚBLICOS DE SAN PABLO</v>
          </cell>
        </row>
        <row r="1974">
          <cell r="AH1974" t="str">
            <v>E.S.P. SERVICIOS PÚBLICOS DE SANTA ROSA DE VITERBO S.A.</v>
          </cell>
        </row>
        <row r="1975">
          <cell r="AH1975" t="str">
            <v>E.S.P. SERVICIOS PUBLICOS DE SANTANA - BOYACA</v>
          </cell>
        </row>
        <row r="1976">
          <cell r="AH1976" t="str">
            <v>E.S.P. SERVICIOS PUBLICOS DE YUMBO S.A.</v>
          </cell>
        </row>
        <row r="1977">
          <cell r="AH1977" t="str">
            <v>E.S.P. SERVICIOS PÚBLICOS DOMICILIARIOS - DON MATÍAS</v>
          </cell>
        </row>
        <row r="1978">
          <cell r="AH1978" t="str">
            <v>E.S.P. SERVICIOS PUBLICOS DOMICILIARIOS - MORALES BOLIVAR</v>
          </cell>
        </row>
        <row r="1979">
          <cell r="AH1979" t="str">
            <v>E.S.P. SERVICIOS PUBLICOS DOMICILIARIOS AGUAS DEL CAGUAN S.A.</v>
          </cell>
        </row>
        <row r="1980">
          <cell r="AH1980" t="str">
            <v>E.S.P. SERVICIOS PUBLICOS DOMICILIARIOS DE ALTAMIRA S.A.</v>
          </cell>
        </row>
        <row r="1981">
          <cell r="AH1981" t="str">
            <v>E.S.P. SERVICIOS PUBLICOS DOMICILIARIOS DE ARMERO GUAYABAL S.A.</v>
          </cell>
        </row>
        <row r="1982">
          <cell r="AH1982" t="str">
            <v>E.S.P. SERVICIOS PUBLICOS DOMICILIARIOS DE MOCOA</v>
          </cell>
        </row>
        <row r="1983">
          <cell r="AH1983" t="str">
            <v>E.S.P. SERVICIOS PUBLICOS DOMICILIARIOS DE PUERTO PARRA</v>
          </cell>
        </row>
        <row r="1984">
          <cell r="AH1984" t="str">
            <v>E.S.P. SERVICIOS PÚBLICOS DOMICILIARIOS DEL VALLE DEL GUAMUEZ - EN LIQUIDACION</v>
          </cell>
        </row>
        <row r="1985">
          <cell r="AH1985" t="str">
            <v>E.S.P. SERVIDOLORES</v>
          </cell>
        </row>
        <row r="1986">
          <cell r="AH1986" t="str">
            <v>E.S.P. SERVIPULI S.A.</v>
          </cell>
        </row>
        <row r="1987">
          <cell r="AH1987" t="str">
            <v>E.S.P. SOCIEDAD AGUAS DE ARCABUCO S.A.</v>
          </cell>
        </row>
        <row r="1988">
          <cell r="AH1988" t="str">
            <v>E.S.P. SOCIEDAD AGUAS DEL NORTE ANTIOQUEÑO S.A.</v>
          </cell>
        </row>
        <row r="1989">
          <cell r="AH1989" t="str">
            <v>E.S.P. SOCIEDAD AGUAS DEL VICHADA S.A.</v>
          </cell>
        </row>
        <row r="1990">
          <cell r="AH1990" t="str">
            <v>E.S.P. SOCIEDAD DE ACUEDUCTO Y ALCANTARILLADO DE BUENAVENTURA S.A.</v>
          </cell>
        </row>
        <row r="1991">
          <cell r="AH1991" t="str">
            <v>E.S.P. SOCIEDAD DE ASEO Y ALCANTARILLADO SERVIULLOA S.A.</v>
          </cell>
        </row>
        <row r="1992">
          <cell r="AH1992" t="str">
            <v>E.S.P. TOCAGUA</v>
          </cell>
        </row>
        <row r="1993">
          <cell r="AH1993" t="str">
            <v>E.S.P. TRANSELCA S.A.</v>
          </cell>
        </row>
        <row r="1994">
          <cell r="AH1994" t="str">
            <v>E.S.P. TRANSPORTADORA DE GAS INTERNACIONAL S.A.</v>
          </cell>
        </row>
        <row r="1995">
          <cell r="AH1995" t="str">
            <v>E.S.P. VALLECAUCANA DE AGUAS S.A.</v>
          </cell>
        </row>
        <row r="1996">
          <cell r="AH1996" t="str">
            <v>E.S.P. XM COMPAÑIA DE EXPERTOS EN MERCADOS S.A.</v>
          </cell>
        </row>
        <row r="1997">
          <cell r="AH1997" t="str">
            <v>E.S.P.DE SUAREZ --</v>
          </cell>
        </row>
        <row r="1998">
          <cell r="AH1998" t="str">
            <v>EBÉJICO</v>
          </cell>
        </row>
        <row r="1999">
          <cell r="AH1999" t="str">
            <v>ECOPETROL S.A.</v>
          </cell>
        </row>
        <row r="2000">
          <cell r="AH2000" t="str">
            <v>EL AGRADO</v>
          </cell>
        </row>
        <row r="2001">
          <cell r="AH2001" t="str">
            <v>EL AGUILA</v>
          </cell>
        </row>
        <row r="2002">
          <cell r="AH2002" t="str">
            <v>EL BAGRE</v>
          </cell>
        </row>
        <row r="2003">
          <cell r="AH2003" t="str">
            <v>EL BANCO</v>
          </cell>
        </row>
        <row r="2004">
          <cell r="AH2004" t="str">
            <v>EL CAIRO</v>
          </cell>
        </row>
        <row r="2005">
          <cell r="AH2005" t="str">
            <v>EL CALVARIO</v>
          </cell>
        </row>
        <row r="2006">
          <cell r="AH2006" t="str">
            <v>EL CANTÓN DE SAN PABLO (MANAGRÚ)</v>
          </cell>
        </row>
        <row r="2007">
          <cell r="AH2007" t="str">
            <v>EL CARMEN</v>
          </cell>
        </row>
        <row r="2008">
          <cell r="AH2008" t="str">
            <v>EL CARMEN DE ATRATO</v>
          </cell>
        </row>
        <row r="2009">
          <cell r="AH2009" t="str">
            <v>EL CARMEN DE BOLIVAR</v>
          </cell>
        </row>
        <row r="2010">
          <cell r="AH2010" t="str">
            <v>EL CARMEN DE CHUCURI</v>
          </cell>
        </row>
        <row r="2011">
          <cell r="AH2011" t="str">
            <v>EL CARMEN DE VIBORAL</v>
          </cell>
        </row>
        <row r="2012">
          <cell r="AH2012" t="str">
            <v>EL CASTILLO</v>
          </cell>
        </row>
        <row r="2013">
          <cell r="AH2013" t="str">
            <v>EL CERRITO</v>
          </cell>
        </row>
        <row r="2014">
          <cell r="AH2014" t="str">
            <v>EL CHARCO</v>
          </cell>
        </row>
        <row r="2015">
          <cell r="AH2015" t="str">
            <v>EL COCUY</v>
          </cell>
        </row>
        <row r="2016">
          <cell r="AH2016" t="str">
            <v>EL COPEY</v>
          </cell>
        </row>
        <row r="2017">
          <cell r="AH2017" t="str">
            <v>EL DONCELLO</v>
          </cell>
        </row>
        <row r="2018">
          <cell r="AH2018" t="str">
            <v>EL DORADO</v>
          </cell>
        </row>
        <row r="2019">
          <cell r="AH2019" t="str">
            <v>EL DOVIO</v>
          </cell>
        </row>
        <row r="2020">
          <cell r="AH2020" t="str">
            <v>EL ESPINAL</v>
          </cell>
        </row>
        <row r="2021">
          <cell r="AH2021" t="str">
            <v>EL ESPINO</v>
          </cell>
        </row>
        <row r="2022">
          <cell r="AH2022" t="str">
            <v>EL GUACAMAYO</v>
          </cell>
        </row>
        <row r="2023">
          <cell r="AH2023" t="str">
            <v>EL GUAMO - BOLIVAR</v>
          </cell>
        </row>
        <row r="2024">
          <cell r="AH2024" t="str">
            <v>EL GUAMO - TOLIMA</v>
          </cell>
        </row>
        <row r="2025">
          <cell r="AH2025" t="str">
            <v>EL MOLINO</v>
          </cell>
        </row>
        <row r="2026">
          <cell r="AH2026" t="str">
            <v>EL PASO</v>
          </cell>
        </row>
        <row r="2027">
          <cell r="AH2027" t="str">
            <v>EL PAUJIL</v>
          </cell>
        </row>
        <row r="2028">
          <cell r="AH2028" t="str">
            <v>EL PEÑOL - ANTIOQUIA</v>
          </cell>
        </row>
        <row r="2029">
          <cell r="AH2029" t="str">
            <v>EL PEÑOL - NARIÑO</v>
          </cell>
        </row>
        <row r="2030">
          <cell r="AH2030" t="str">
            <v>EL PEÑON - BOLIVAR</v>
          </cell>
        </row>
        <row r="2031">
          <cell r="AH2031" t="str">
            <v>EL PEÑÓN - CUNDINAMARCA</v>
          </cell>
        </row>
        <row r="2032">
          <cell r="AH2032" t="str">
            <v>EL PEÑÓN - SANTANDER</v>
          </cell>
        </row>
        <row r="2033">
          <cell r="AH2033" t="str">
            <v>EL PIÑÓN</v>
          </cell>
        </row>
        <row r="2034">
          <cell r="AH2034" t="str">
            <v>EL PITAL</v>
          </cell>
        </row>
        <row r="2035">
          <cell r="AH2035" t="str">
            <v>EL PLAYÓN</v>
          </cell>
        </row>
        <row r="2036">
          <cell r="AH2036" t="str">
            <v>EL RETÉN</v>
          </cell>
        </row>
        <row r="2037">
          <cell r="AH2037" t="str">
            <v>EL RETIRO</v>
          </cell>
        </row>
        <row r="2038">
          <cell r="AH2038" t="str">
            <v>EL RETORNO</v>
          </cell>
        </row>
        <row r="2039">
          <cell r="AH2039" t="str">
            <v>EL ROBLE</v>
          </cell>
        </row>
        <row r="2040">
          <cell r="AH2040" t="str">
            <v>EL ROSAL</v>
          </cell>
        </row>
        <row r="2041">
          <cell r="AH2041" t="str">
            <v>EL ROSARIO</v>
          </cell>
        </row>
        <row r="2042">
          <cell r="AH2042" t="str">
            <v>EL TABLÓN DE GÓMEZ</v>
          </cell>
        </row>
        <row r="2043">
          <cell r="AH2043" t="str">
            <v>EL TAMBO - CAUCA</v>
          </cell>
        </row>
        <row r="2044">
          <cell r="AH2044" t="str">
            <v>EL TAMBO - NARIÑO</v>
          </cell>
        </row>
        <row r="2045">
          <cell r="AH2045" t="str">
            <v>EL TARRA</v>
          </cell>
        </row>
        <row r="2046">
          <cell r="AH2046" t="str">
            <v>EL ZULIA</v>
          </cell>
        </row>
        <row r="2047">
          <cell r="AH2047" t="str">
            <v>ELECTRIFICADORA  SANTANDER S.A. -E.S.P.</v>
          </cell>
        </row>
        <row r="2048">
          <cell r="AH2048" t="str">
            <v>ELECTRIFICADORA DEL CAQUETA S. A. -  E.S.P.</v>
          </cell>
        </row>
        <row r="2049">
          <cell r="AH2049" t="str">
            <v>ELECTRIFICADORA DEL CESAR S.A. -E.S.P. - EN LIQUIDACION</v>
          </cell>
        </row>
        <row r="2050">
          <cell r="AH2050" t="str">
            <v>ELECTRIFICADORA DEL HUILA S. A. -E.S.P.</v>
          </cell>
        </row>
        <row r="2051">
          <cell r="AH2051" t="str">
            <v>ELECTRIFICADORA DEL META S. A. -E.S.P.</v>
          </cell>
        </row>
        <row r="2052">
          <cell r="AH2052" t="str">
            <v>ELECTRIFICADORA DEL TOLIMA S. A. -E.S.P. - EN LIQUIDACION</v>
          </cell>
        </row>
        <row r="2053">
          <cell r="AH2053" t="str">
            <v>ELÍAS</v>
          </cell>
        </row>
        <row r="2054">
          <cell r="AH2054" t="str">
            <v>EMBARCADERO TURISTICO DE GIRARDOT LTDA</v>
          </cell>
        </row>
        <row r="2055">
          <cell r="AH2055" t="str">
            <v>EMPRESA ADMINISTRADORA DE JUEGOS DE SUERTE Y AZAR DEL CESAR - EN LIQUIDACION</v>
          </cell>
        </row>
        <row r="2056">
          <cell r="AH2056" t="str">
            <v>EMPRESA AGROINDUSTRIAL CASANAREÑA DE LACTEOS E.I.C.E</v>
          </cell>
        </row>
        <row r="2057">
          <cell r="AH2057" t="str">
            <v>EMPRESA AGROINDUSTRIAL DEL ORIENTE EMBALSES S.A.</v>
          </cell>
        </row>
        <row r="2058">
          <cell r="AH2058" t="str">
            <v>EMPRESA AUTONOMA DEL MUNICIPIO DE GUATAPE -</v>
          </cell>
        </row>
        <row r="2059">
          <cell r="AH2059" t="str">
            <v>EMPRESA CARNICA DE ENVIGADO</v>
          </cell>
        </row>
        <row r="2060">
          <cell r="AH2060" t="str">
            <v>EMPRESA COLOMBIANA DE PRODUCTOS VETERINARIOS S. A.</v>
          </cell>
        </row>
        <row r="2061">
          <cell r="AH2061" t="str">
            <v>EMPRESA COMERCIAL DE JUEGOS DE SUERTE Y AZAR DE SUCRE</v>
          </cell>
        </row>
        <row r="2062">
          <cell r="AH2062" t="str">
            <v>EMPRESA COMERCIAL Y DE SERVICIOS INTEGRADOS DE FUNZA- EN LIQUIDACION</v>
          </cell>
        </row>
        <row r="2063">
          <cell r="AH2063" t="str">
            <v>EMPRESA CONSTRUCTORA DE VIVIENDA DE TUNJA</v>
          </cell>
        </row>
        <row r="2064">
          <cell r="AH2064" t="str">
            <v>EMPRESA DE ACUEDUCTO - SUAN</v>
          </cell>
        </row>
        <row r="2065">
          <cell r="AH2065" t="str">
            <v>EMPRESA DE ACUEDUCTO Y ALCANTARILLADO - CORINTO</v>
          </cell>
        </row>
        <row r="2066">
          <cell r="AH2066" t="str">
            <v>EMPRESA DE ACUEDUCTO Y ALCANTARILLADO DE SANTADER DE QUILICHAO --</v>
          </cell>
        </row>
        <row r="2067">
          <cell r="AH2067" t="str">
            <v>EMPRESA DE ACUEDUCTO Y ALCANTARILLADO DE SINCELEJO -</v>
          </cell>
        </row>
        <row r="2068">
          <cell r="AH2068" t="str">
            <v>EMPRESA DE ACUEDUCTO Y ALCANTARILLADO DEL MUNICIPIO DE SAN GIL</v>
          </cell>
        </row>
        <row r="2069">
          <cell r="AH2069" t="str">
            <v>EMPRESA DE ACUEDUCTO Y ALCANTARILLADO PUERTO ASIS</v>
          </cell>
        </row>
        <row r="2070">
          <cell r="AH2070" t="str">
            <v>EMPRESA DE ACUEDUCTO Y ALCANTARILLADO Y ASEO DE REPELON</v>
          </cell>
        </row>
        <row r="2071">
          <cell r="AH2071" t="str">
            <v>EMPRESA DE ACUEDUCTO Y ALCANTARILLADO ZIPAQUIRA -ESP-</v>
          </cell>
        </row>
        <row r="2072">
          <cell r="AH2072" t="str">
            <v>EMPRESA DE ACUEDUCTO, ALCANTARILLADO Y ASEO DE FONSECA</v>
          </cell>
        </row>
        <row r="2073">
          <cell r="AH2073" t="str">
            <v>EMPRESA DE ALUMBRADO PÚBLICO - SABANETA</v>
          </cell>
        </row>
        <row r="2074">
          <cell r="AH2074" t="str">
            <v>EMPRESA DE CABLE AEREO DE EL PEÑOL</v>
          </cell>
        </row>
        <row r="2075">
          <cell r="AH2075" t="str">
            <v>EMPRESA DE DESARROLLO ECONOMICO SOCIAL Y DE VIVIENDA</v>
          </cell>
        </row>
        <row r="2076">
          <cell r="AH2076" t="str">
            <v>EMPRESA DE DESARROLLO URBANO -</v>
          </cell>
        </row>
        <row r="2077">
          <cell r="AH2077" t="str">
            <v>EMPRESA DE DESARROLLO URBANO DE ARMENIA -</v>
          </cell>
        </row>
        <row r="2078">
          <cell r="AH2078" t="str">
            <v>EMPRESA DE DESARROLLO URBANO DE BARRANCABERMEJA -</v>
          </cell>
        </row>
        <row r="2079">
          <cell r="AH2079" t="str">
            <v>EMPRESA DE DESARROLLO URBANO DE BARRANQUILLA S.A.</v>
          </cell>
        </row>
        <row r="2080">
          <cell r="AH2080" t="str">
            <v>EMPRESA DE DESARROLLO URBANO DE BOLÍVAR  S.A.</v>
          </cell>
        </row>
        <row r="2081">
          <cell r="AH2081" t="str">
            <v>EMPRESA DE DESARROLLO URBANO DE VILLAVICENCIO - EN LIQUIDACION</v>
          </cell>
        </row>
        <row r="2082">
          <cell r="AH2082" t="str">
            <v>EMPRESA DE DESARROLLO URBANO Y MEDIO AMBIENTE DE SOLEDAD S.A</v>
          </cell>
        </row>
        <row r="2083">
          <cell r="AH2083" t="str">
            <v>EMPRESA DE ENERGIA DE CUNDINAMARCA S. A. -E.S.P</v>
          </cell>
        </row>
        <row r="2084">
          <cell r="AH2084" t="str">
            <v>EMPRESA DE ENERGIA DEL QUINDIO S.A. - E.S.P.</v>
          </cell>
        </row>
        <row r="2085">
          <cell r="AH2085" t="str">
            <v>EMPRESA DE ENERGIA ELECTRICA DE ARAUCA</v>
          </cell>
        </row>
        <row r="2086">
          <cell r="AH2086" t="str">
            <v>EMPRESA DE ENERGIA ELECTRICA DEL AMAZONAS S. A. -E.S.P.</v>
          </cell>
        </row>
        <row r="2087">
          <cell r="AH2087" t="str">
            <v>EMPRESA DE GESTIÓN INTEGRAL DE RESIDUOS SÓLIDOS DEL SUROCCIDENTE COLOMBIANO EICE</v>
          </cell>
        </row>
        <row r="2088">
          <cell r="AH2088" t="str">
            <v>EMPRESA DE LICORES DE CUNDINAMARCA</v>
          </cell>
        </row>
        <row r="2089">
          <cell r="AH2089" t="str">
            <v>EMPRESA DE LICORES DEL CAQUETÁ - EN LIQUIDACION</v>
          </cell>
        </row>
        <row r="2090">
          <cell r="AH2090" t="str">
            <v>EMPRESA DE LOTERIA Y APUESTAS PERMANENTES DEL ATLANTICO - EN LIQUIDACION</v>
          </cell>
        </row>
        <row r="2091">
          <cell r="AH2091" t="str">
            <v>EMPRESA DE MERCADO PUBLICO DE TULUA - EN LIQUIDACION</v>
          </cell>
        </row>
        <row r="2092">
          <cell r="AH2092" t="str">
            <v>EMPRESA DE OBRAS SANITARIAS DE LA PROVINCIA DE OBANDO -</v>
          </cell>
        </row>
        <row r="2093">
          <cell r="AH2093" t="str">
            <v>EMPRESA DE OBRAS SANITARIAS DE LETICIA - EN LIQUIDACION</v>
          </cell>
        </row>
        <row r="2094">
          <cell r="AH2094" t="str">
            <v>EMPRESA DE OBRAS SANITARIAS DE PASTO -</v>
          </cell>
        </row>
        <row r="2095">
          <cell r="AH2095" t="str">
            <v>EMPRESA DE RENOVACIÓN URBANA DE BOGOTÁ</v>
          </cell>
        </row>
        <row r="2096">
          <cell r="AH2096" t="str">
            <v>EMPRESA DE RENOVACIÓN URBANA DE LA BAJA SUIZA LTDA.</v>
          </cell>
        </row>
        <row r="2097">
          <cell r="AH2097" t="str">
            <v>EMPRESA DE SERVICIO PÚBLICO DE ASEO DEL DISTRITO DE SANTA MARTA -</v>
          </cell>
        </row>
        <row r="2098">
          <cell r="AH2098" t="str">
            <v>EMPRESA DE SERVICIO PUBLICOS MUNICIPALES DE CALIMA DEL DARIEN</v>
          </cell>
        </row>
        <row r="2099">
          <cell r="AH2099" t="str">
            <v>EMPRESA DE SERVICIOS MUNICIPALES Y REGIONALES - SER REGIONALES</v>
          </cell>
        </row>
        <row r="2100">
          <cell r="AH2100" t="str">
            <v>EMPRESA DE SERVICIOS PÚBLICOS CARTAGENA DEL CHAIRA</v>
          </cell>
        </row>
        <row r="2101">
          <cell r="AH2101" t="str">
            <v>EMPRESA DE SERVICIOS PÚBLICOS DE ACUEDUCTO,  ALCANTARILLAD  O  Y ASEO MUNICIPAL DE CURUMANI -</v>
          </cell>
        </row>
        <row r="2102">
          <cell r="AH2102" t="str">
            <v>EMPRESA DE SERVICIOS PÚBLICOS DE ACUEDUCTO, ALCANTARILLADO Y ASEO -</v>
          </cell>
        </row>
        <row r="2103">
          <cell r="AH2103" t="str">
            <v>EMPRESA DE SERVICIOS PUBLICOS DE CAJAMARCA  TOLIMA</v>
          </cell>
        </row>
        <row r="2104">
          <cell r="AH2104" t="str">
            <v>EMPRESA DE SERVICIOS PÚBLICOS DE CONDOTO</v>
          </cell>
        </row>
        <row r="2105">
          <cell r="AH2105" t="str">
            <v>EMPRESA DE SERVICIOS PÚBLICOS DE COYAIMA E.S.P -</v>
          </cell>
        </row>
        <row r="2106">
          <cell r="AH2106" t="str">
            <v>EMPRESA DE SERVICIOS PÚBLICOS DE DUITAMA</v>
          </cell>
        </row>
        <row r="2107">
          <cell r="AH2107" t="str">
            <v>EMPRESA DE SERVICIOS PÚBLICOS DE EL BANCO</v>
          </cell>
        </row>
        <row r="2108">
          <cell r="AH2108" t="str">
            <v>EMPRESA DE SERVICIOS PÚBLICOS DE ENERGÍA ELÉCTRICA DE SANTA ROSALÍA</v>
          </cell>
        </row>
        <row r="2109">
          <cell r="AH2109" t="str">
            <v>EMPRESA DE SERVICIOS PÚBLICOS DE FLANDES E.S.P.</v>
          </cell>
        </row>
        <row r="2110">
          <cell r="AH2110" t="str">
            <v>EMPRESA DE SERVICIOS PÚBLICOS DE GUARNE</v>
          </cell>
        </row>
        <row r="2111">
          <cell r="AH2111" t="str">
            <v>EMPRESA DE SERVICIOS PÚBLICOS DE LEBRIJA</v>
          </cell>
        </row>
        <row r="2112">
          <cell r="AH2112" t="str">
            <v>EMPRESA DE SERVICIOS PÚBLICOS DE MAGANGUE -</v>
          </cell>
        </row>
        <row r="2113">
          <cell r="AH2113" t="str">
            <v>EMPRESA DE SERVICIOS PÚBLICOS DE MOMPOS -</v>
          </cell>
        </row>
        <row r="2114">
          <cell r="AH2114" t="str">
            <v>EMPRESA DE SERVICIOS PÚBLICOS DE PALERMO</v>
          </cell>
        </row>
        <row r="2115">
          <cell r="AH2115" t="str">
            <v>EMPRESA DE SERVICIOS PÚBLICOS DE PITALITO -</v>
          </cell>
        </row>
        <row r="2116">
          <cell r="AH2116" t="str">
            <v>EMPRESA DE SERVICIOS PÚBLICOS DE PIVIJAY -</v>
          </cell>
        </row>
        <row r="2117">
          <cell r="AH2117" t="str">
            <v>EMPRESA DE SERVICIOS PÚBLICOS DE PUEBLO RICO</v>
          </cell>
        </row>
        <row r="2118">
          <cell r="AH2118" t="str">
            <v>EMPRESA DE SERVICIOS PÚBLICOS DE VALLEDUPAR  S. A. -</v>
          </cell>
        </row>
        <row r="2119">
          <cell r="AH2119" t="str">
            <v>EMPRESA DE SERVICIOS PÚBLICOS DE VENADILLO</v>
          </cell>
        </row>
        <row r="2120">
          <cell r="AH2120" t="str">
            <v>EMPRESA DE SERVICIOS PÚBLICOS DOMICILIARIOS DE ACUEDUCTO Y ALCANTARILLADO DE YOPAL</v>
          </cell>
        </row>
        <row r="2121">
          <cell r="AH2121" t="str">
            <v>EMPRESA DE SERVICIOS PÚBLICOS DOMICILIARIOS DE LEGUIZAMO</v>
          </cell>
        </row>
        <row r="2122">
          <cell r="AH2122" t="str">
            <v>EMPRESA DE SERVICIOS PÚBLICOS DOMICILIARIOS DE MELGAR -</v>
          </cell>
        </row>
        <row r="2123">
          <cell r="AH2123" t="str">
            <v>EMPRESA DE SERVICIOS PÚBLICOS DOMICILIARIOS DEL MUNICIPIO DE GUATAPÉ E.S.P.</v>
          </cell>
        </row>
        <row r="2124">
          <cell r="AH2124" t="str">
            <v>EMPRESA DE SERVICIOS PÚBLICOS DOMICILIARIOS PARATEBUENO - E.S.P.</v>
          </cell>
        </row>
        <row r="2125">
          <cell r="AH2125" t="str">
            <v>EMPRESA DE SERVICIOS PÚBLICOS LA GLORIA</v>
          </cell>
        </row>
        <row r="2126">
          <cell r="AH2126" t="str">
            <v>EMPRESA DE SERVICIOS VARIOS  EMSERVIR</v>
          </cell>
        </row>
        <row r="2127">
          <cell r="AH2127" t="str">
            <v>EMPRESA DE SERVICIOS VARIOS DE CALI - EN LIQUIDACION</v>
          </cell>
        </row>
        <row r="2128">
          <cell r="AH2128" t="str">
            <v>EMPRESA DE TELECOMUNICACIONES DE PEREIRA</v>
          </cell>
        </row>
        <row r="2129">
          <cell r="AH2129" t="str">
            <v>EMPRESA DE TRANSPORTE DE BUCARAMANGA - METROLINEA</v>
          </cell>
        </row>
        <row r="2130">
          <cell r="AH2130" t="str">
            <v>EMPRESA DE TRANSPORTE DEL TERCER MILENIO  TRANSMILENIO S.A.</v>
          </cell>
        </row>
        <row r="2131">
          <cell r="AH2131" t="str">
            <v>EMPRESA DE TRANSPORTE INTEGRADO DE MANIZALES S.A.</v>
          </cell>
        </row>
        <row r="2132">
          <cell r="AH2132" t="str">
            <v>EMPRESA DE TRANSPORTE MASIVO DE CALI S.A.</v>
          </cell>
        </row>
        <row r="2133">
          <cell r="AH2133" t="str">
            <v>EMPRESA DE TRANSPORTE MASIVO DEL VALLE DE ABURRA LTDA.</v>
          </cell>
        </row>
        <row r="2134">
          <cell r="AH2134" t="str">
            <v>EMPRESA DE VIVIENDA DE ANTIOQUIA</v>
          </cell>
        </row>
        <row r="2135">
          <cell r="AH2135" t="str">
            <v>EMPRESA DE VIVIENDA DEL GUAVIARE - EN LIQUIDACION</v>
          </cell>
        </row>
        <row r="2136">
          <cell r="AH2136" t="str">
            <v>EMPRESA DE VIVIENDA MUNICIPAL DE ACACIAS</v>
          </cell>
        </row>
        <row r="2137">
          <cell r="AH2137" t="str">
            <v>EMPRESA DEPARTAMENTAL DE JUEGOS DE SUERTE Y AZAR</v>
          </cell>
        </row>
        <row r="2138">
          <cell r="AH2138" t="str">
            <v>EMPRESA DEPARTAMENTAL PARA LA SALUD</v>
          </cell>
        </row>
        <row r="2139">
          <cell r="AH2139" t="str">
            <v>EMPRESA DESCENTRALIZADA PLAZA DE MERCADO CUBIERTO - SOCORRO</v>
          </cell>
        </row>
        <row r="2140">
          <cell r="AH2140" t="str">
            <v>EMPRESA EDITORA DE NARIÑO --</v>
          </cell>
        </row>
        <row r="2141">
          <cell r="AH2141" t="str">
            <v>EMPRESA FERREA REGIONAL S.A.S</v>
          </cell>
        </row>
        <row r="2142">
          <cell r="AH2142" t="str">
            <v>EMPRESA FORESTAL DEL HUILA S.A.</v>
          </cell>
        </row>
        <row r="2143">
          <cell r="AH2143" t="str">
            <v>EMPRESA INDUSTRIAL, COMERCIAL,FRIGORIFICO Y PLAZA DE FERIAS DE ZIPAQUIRA</v>
          </cell>
        </row>
        <row r="2144">
          <cell r="AH2144" t="str">
            <v>EMPRESA INMOBILIARIA DE CUNDINAMARCA</v>
          </cell>
        </row>
        <row r="2145">
          <cell r="AH2145" t="str">
            <v>EMPRESA LOTERIA Y JUEGO DE APUESTAS PERMANENTES DEL DEPARTAMENTO DEL HUILA</v>
          </cell>
        </row>
        <row r="2146">
          <cell r="AH2146" t="str">
            <v>EMPRESA MATADERO DE TUNJA</v>
          </cell>
        </row>
        <row r="2147">
          <cell r="AH2147" t="str">
            <v>EMPRESA METROPOLITANA DE TELECOMUNICACIONES S.A.</v>
          </cell>
        </row>
        <row r="2148">
          <cell r="AH2148" t="str">
            <v>EMPRESA MUNICIPAL CUERPO DE BOMBEROS OFICIALES DE PIEDECUESTA</v>
          </cell>
        </row>
        <row r="2149">
          <cell r="AH2149" t="str">
            <v>EMPRESA MUNICIPAL DE LOS PATIOS - EN LIQUIDACION</v>
          </cell>
        </row>
        <row r="2150">
          <cell r="AH2150" t="str">
            <v>EMPRESA MUNICIPAL DE RENOVACIÓN URBANA DEL MUNICIPIO DE SANTIAGO DE CALI</v>
          </cell>
        </row>
        <row r="2151">
          <cell r="AH2151" t="str">
            <v>EMPRESA MUNICIPAL DE SERVICIOS DE ASEO -- RIOSUCIO</v>
          </cell>
        </row>
        <row r="2152">
          <cell r="AH2152" t="str">
            <v>EMPRESA MUNICIPAL DE SERVICIOS DE SANTUARIO</v>
          </cell>
        </row>
        <row r="2153">
          <cell r="AH2153" t="str">
            <v>EMPRESA MUNICIPAL DE SERVICIOS PÚBLICOS - SAN JUAN NEPOMUCENO</v>
          </cell>
        </row>
        <row r="2154">
          <cell r="AH2154" t="str">
            <v>EMPRESA MUNICIPAL DE SERVICIOS PÚBLICOS DE ARAUCA --</v>
          </cell>
        </row>
        <row r="2155">
          <cell r="AH2155" t="str">
            <v>EMPRESA MUNICIPAL DE SERVICIOS PUBLICOS DE GRANADA</v>
          </cell>
        </row>
        <row r="2156">
          <cell r="AH2156" t="str">
            <v>EMPRESA MUNICIPAL DE SERVICIOS PÚBLICOS DE VILLA DE LEYVA</v>
          </cell>
        </row>
        <row r="2157">
          <cell r="AH2157" t="str">
            <v>EMPRESA MUNICIPAL DE SERVICIOS PÚBLICOS DOMICILIARIOS - SABANALARGA</v>
          </cell>
        </row>
        <row r="2158">
          <cell r="AH2158" t="str">
            <v>EMPRESA MUNICIPAL DE SERVICIOS PÚBLICOS DOMICILIARIOS DE PIEDECUESTA</v>
          </cell>
        </row>
        <row r="2159">
          <cell r="AH2159" t="str">
            <v>EMPRESA MUNICIPAL DE TELECOMUNICACIONES TELEOBANDO (IPIALES)  - EN LIQUIDACION</v>
          </cell>
        </row>
        <row r="2160">
          <cell r="AH2160" t="str">
            <v>EMPRESA MUNICIPAL DE VÍAS EMVÍAS - BELÉN DE UMBRÍA</v>
          </cell>
        </row>
        <row r="2161">
          <cell r="AH2161" t="str">
            <v>EMPRESA MUNICIPAL GALERIA EL BORDO EN LIQUIDACION</v>
          </cell>
        </row>
        <row r="2162">
          <cell r="AH2162" t="str">
            <v>EMPRESA MUNICIPAL PARA LA SALUD - EMSA</v>
          </cell>
        </row>
        <row r="2163">
          <cell r="AH2163" t="str">
            <v>EMPRESA MUNICIPAL PRO-DESARROLLO - EN LIQUIDACION</v>
          </cell>
        </row>
        <row r="2164">
          <cell r="AH2164" t="str">
            <v>EMPRESA MUNICIPALES DE CHINACOTA</v>
          </cell>
        </row>
        <row r="2165">
          <cell r="AH2165" t="str">
            <v>EMPRESA NACIONAL DE RENOVACION Y DESARROLLO URBANO, VIRGILIO BARCO VARGAS S.A.S.</v>
          </cell>
        </row>
        <row r="2166">
          <cell r="AH2166" t="str">
            <v>EMPRESA PARA LA SEGURIDAD URBANA</v>
          </cell>
        </row>
        <row r="2167">
          <cell r="AH2167" t="str">
            <v>EMPRESA PROMOTORA DE PROYECTOS AGROINDUSTRIALES S.A. - EN LIQUIDACION</v>
          </cell>
        </row>
        <row r="2168">
          <cell r="AH2168" t="str">
            <v>EMPRESA PUBLICA DE FLORIDA E.I.C.E. E.S.P</v>
          </cell>
        </row>
        <row r="2169">
          <cell r="AH2169" t="str">
            <v>EMPRESA REGIONAL  AGUAS DEL SINU S.A.</v>
          </cell>
        </row>
        <row r="2170">
          <cell r="AH2170" t="str">
            <v>EMPRESA URRA S.A.  E.S.P.</v>
          </cell>
        </row>
        <row r="2171">
          <cell r="AH2171" t="str">
            <v>EMPRESA VIAL Y DE TRANSPORTE DE MISTRATO</v>
          </cell>
        </row>
        <row r="2172">
          <cell r="AH2172" t="str">
            <v>EMPRESA VIAL Y TRANSPORTE DEL MUNICIPIO DE QUINCHIA</v>
          </cell>
        </row>
        <row r="2173">
          <cell r="AH2173" t="str">
            <v>EMPRESAS  MUNICIPALES DE CALI E.I.C.E E.S.P.</v>
          </cell>
        </row>
        <row r="2174">
          <cell r="AH2174" t="str">
            <v>EMPRESAS DE OBRAS SANITARIAS DE IBAGUE S.A. - EN LIQUIDACION</v>
          </cell>
        </row>
        <row r="2175">
          <cell r="AH2175" t="str">
            <v>EMPRESAS DE SERVICIOS PÚBLICOS DE TORO</v>
          </cell>
        </row>
        <row r="2176">
          <cell r="AH2176" t="str">
            <v>EMPRESAS DE SERVICIOS PUBLICOS MUNICIPALES DE FUSAGASUGA</v>
          </cell>
        </row>
        <row r="2177">
          <cell r="AH2177" t="str">
            <v>EMPRESAS MUNICIPALES DE CARTAGO</v>
          </cell>
        </row>
        <row r="2178">
          <cell r="AH2178" t="str">
            <v>EMPRESAS MUNICIPALES DE EL  ZULIA</v>
          </cell>
        </row>
        <row r="2179">
          <cell r="AH2179" t="str">
            <v>EMPRESAS MUNICIPALES DE MIRANDA</v>
          </cell>
        </row>
        <row r="2180">
          <cell r="AH2180" t="str">
            <v>EMPRESAS MUNICIPALES DE PIENDAMO</v>
          </cell>
        </row>
        <row r="2181">
          <cell r="AH2181" t="str">
            <v>EMPRESAS MUNICIPALES DE PUERTO TEJADA CAUCA</v>
          </cell>
        </row>
        <row r="2182">
          <cell r="AH2182" t="str">
            <v>EMPRESAS PÚBLICAS - EL BAGRE</v>
          </cell>
        </row>
        <row r="2183">
          <cell r="AH2183" t="str">
            <v>EMPRESAS PUBLICAS - SABANA DE TORRES</v>
          </cell>
        </row>
        <row r="2184">
          <cell r="AH2184" t="str">
            <v>EMPRESAS PUBLICAS DE CAUCASIA - EN LIQUIDACIÓN</v>
          </cell>
        </row>
        <row r="2185">
          <cell r="AH2185" t="str">
            <v>EMPRESAS PUBLICAS DE MEDELLÍN</v>
          </cell>
        </row>
        <row r="2186">
          <cell r="AH2186" t="str">
            <v>EMPRESAS PÚBLICAS DE MONTELIBANO - EN LIQUIDACION</v>
          </cell>
        </row>
        <row r="2187">
          <cell r="AH2187" t="str">
            <v>EMPRESAS PÚBLICAS DE PENSILVANIA</v>
          </cell>
        </row>
        <row r="2188">
          <cell r="AH2188" t="str">
            <v>EMPRESAS PÚBLICAS DE PEREIRA MULTISERVICIOS S.A.</v>
          </cell>
        </row>
        <row r="2189">
          <cell r="AH2189" t="str">
            <v>EMPRESAS PÚBLICAS DE PUERTO NARE</v>
          </cell>
        </row>
        <row r="2190">
          <cell r="AH2190" t="str">
            <v>EMPRESAS PUBLICAS DE SANTIAGO DE TOLÚ</v>
          </cell>
        </row>
        <row r="2191">
          <cell r="AH2191" t="str">
            <v>EMPRESAS PUBLICAS MUNICIPALES - AGUACHICA</v>
          </cell>
        </row>
        <row r="2192">
          <cell r="AH2192" t="str">
            <v>EMPRESAS PUBLICAS MUNICIPALES DE ARMENIA</v>
          </cell>
        </row>
        <row r="2193">
          <cell r="AH2193" t="str">
            <v>EMPRESAS PÚBLICAS MUNICIPALES DE AYAPEL</v>
          </cell>
        </row>
        <row r="2194">
          <cell r="AH2194" t="str">
            <v>EMPRESAS PÚBLICAS MUNICIPALES DE CANDELARIA - ENCANDELARIA EN LIQUIDACION</v>
          </cell>
        </row>
        <row r="2195">
          <cell r="AH2195" t="str">
            <v>EMPRESAS PÚBLICAS MUNICIPALES DE GARZON</v>
          </cell>
        </row>
        <row r="2196">
          <cell r="AH2196" t="str">
            <v>EMPRESAS PUBLICAS MUNICIPALES DE MALAGA</v>
          </cell>
        </row>
        <row r="2197">
          <cell r="AH2197" t="str">
            <v>EMPRESAS PÚBLICAS MUNICIPALES DE MISTRATO</v>
          </cell>
        </row>
        <row r="2198">
          <cell r="AH2198" t="str">
            <v>EMPRESAS PÚBLICAS MUNICIPALES DE NEIVA</v>
          </cell>
        </row>
        <row r="2199">
          <cell r="AH2199" t="str">
            <v>EMPRESAS PUBLICAS MUNICIPALES DE SEVILLA - EN LIQUIDACION</v>
          </cell>
        </row>
        <row r="2200">
          <cell r="AH2200" t="str">
            <v>EMPRESAS PUBLICAS MUNICIPALES DE URRAO</v>
          </cell>
        </row>
        <row r="2201">
          <cell r="AH2201" t="str">
            <v>EMPRESAS PÚBLICAS MUNICIPALES LA CELIA</v>
          </cell>
        </row>
        <row r="2202">
          <cell r="AH2202" t="str">
            <v>EMPRESAS VARIAS DE MEDELLÍN</v>
          </cell>
        </row>
        <row r="2203">
          <cell r="AH2203" t="str">
            <v>EMPRESAS VARIAS MUNICIPALES DE SAHAGUN - EN LIQUIDACION</v>
          </cell>
        </row>
        <row r="2204">
          <cell r="AH2204" t="str">
            <v>EMTELCO</v>
          </cell>
        </row>
        <row r="2205">
          <cell r="AH2205" t="str">
            <v>ENCINO</v>
          </cell>
        </row>
        <row r="2206">
          <cell r="AH2206" t="str">
            <v>ENCISO</v>
          </cell>
        </row>
        <row r="2207">
          <cell r="AH2207" t="str">
            <v>ENTE AMIGOS DEL DEPORTE</v>
          </cell>
        </row>
        <row r="2208">
          <cell r="AH2208" t="str">
            <v>ENTE DEPORTIVO MUNICIPAL SANTA ROSA DE VITERBO</v>
          </cell>
        </row>
        <row r="2209">
          <cell r="AH2209" t="str">
            <v>ENTIDAD ADMINISTRADORA DE PENSIONES DE ANTIOQUIA</v>
          </cell>
        </row>
        <row r="2210">
          <cell r="AH2210" t="str">
            <v>ENTRERRIOS</v>
          </cell>
        </row>
        <row r="2211">
          <cell r="AH2211" t="str">
            <v>ENVIGADO</v>
          </cell>
        </row>
        <row r="2212">
          <cell r="AH2212" t="str">
            <v>EPM INVERSIONES S.A.</v>
          </cell>
        </row>
        <row r="2213">
          <cell r="AH2213" t="str">
            <v>ESCOMBROS SOLIDOS ADECUADOS LTDA. - EN LIQUIDACION</v>
          </cell>
        </row>
        <row r="2214">
          <cell r="AH2214" t="str">
            <v>ESCUELA NACIONAL DEL DEPORTE</v>
          </cell>
        </row>
        <row r="2215">
          <cell r="AH2215" t="str">
            <v>ESCUELA SUPERIOR DE ADMINISTRACION PUBLICA</v>
          </cell>
        </row>
        <row r="2216">
          <cell r="AH2216" t="str">
            <v>ESCUELA SUPERIOR TECNOLÓGICA DE ARTES DÉBORA ARANGO</v>
          </cell>
        </row>
        <row r="2217">
          <cell r="AH2217" t="str">
            <v>ESTABLECIMIENTO PÚBLICO AMBIENTAL - CARTAGENA</v>
          </cell>
        </row>
        <row r="2218">
          <cell r="AH2218" t="str">
            <v>FABRICA DE LICORES DEL TOLIMA</v>
          </cell>
        </row>
        <row r="2219">
          <cell r="AH2219" t="str">
            <v>FACATATIVÁ</v>
          </cell>
        </row>
        <row r="2220">
          <cell r="AH2220" t="str">
            <v>FALAN</v>
          </cell>
        </row>
        <row r="2221">
          <cell r="AH2221" t="str">
            <v>FEDERACIÓN COLOMBIANA DE MUNICIPIOS</v>
          </cell>
        </row>
        <row r="2222">
          <cell r="AH2222" t="str">
            <v>FEDERACIÓN NACIONAL DE DEPARTAMENTOS</v>
          </cell>
        </row>
        <row r="2223">
          <cell r="AH2223" t="str">
            <v>FERTILIZANTES COLOMBIANOS S.A.</v>
          </cell>
        </row>
        <row r="2224">
          <cell r="AH2224" t="str">
            <v>FIDEICOMISO DE ADMINISTRACION DEL INSFOPAL</v>
          </cell>
        </row>
        <row r="2225">
          <cell r="AH2225" t="str">
            <v>FIDEICOMISO PROEXPORT</v>
          </cell>
        </row>
        <row r="2226">
          <cell r="AH2226" t="str">
            <v>FIDUCIARIA AGRARIA S. A.</v>
          </cell>
        </row>
        <row r="2227">
          <cell r="AH2227" t="str">
            <v>FIDUCIARIA CENTRAL S.A.</v>
          </cell>
        </row>
        <row r="2228">
          <cell r="AH2228" t="str">
            <v>FIDUCIARIA COLOMBIANA DE COMERCIO EXTERIOR S. A.</v>
          </cell>
        </row>
        <row r="2229">
          <cell r="AH2229" t="str">
            <v>FIDUCIARIA LA PREVISORA S. A.</v>
          </cell>
        </row>
        <row r="2230">
          <cell r="AH2230" t="str">
            <v>FILADELFIA</v>
          </cell>
        </row>
        <row r="2231">
          <cell r="AH2231" t="str">
            <v>FILANDIA</v>
          </cell>
        </row>
        <row r="2232">
          <cell r="AH2232" t="str">
            <v>FINANCIERA DE DESARROLLO NACIONAL S. A.</v>
          </cell>
        </row>
        <row r="2233">
          <cell r="AH2233" t="str">
            <v>FINANCIERA DE DESARROLLO TERRITORIAL S. A.</v>
          </cell>
        </row>
        <row r="2234">
          <cell r="AH2234" t="str">
            <v>FIRAVITOBA</v>
          </cell>
        </row>
        <row r="2235">
          <cell r="AH2235" t="str">
            <v>FISCALIA GENERAL DE LA NACION</v>
          </cell>
        </row>
        <row r="2236">
          <cell r="AH2236" t="str">
            <v>FLANDES</v>
          </cell>
        </row>
        <row r="2237">
          <cell r="AH2237" t="str">
            <v>FLORENCIA - CAQUETÁ</v>
          </cell>
        </row>
        <row r="2238">
          <cell r="AH2238" t="str">
            <v>FLORENCIA - CAUCA</v>
          </cell>
        </row>
        <row r="2239">
          <cell r="AH2239" t="str">
            <v>FLORESTA</v>
          </cell>
        </row>
        <row r="2240">
          <cell r="AH2240" t="str">
            <v>FLORIÁN</v>
          </cell>
        </row>
        <row r="2241">
          <cell r="AH2241" t="str">
            <v>FLORIDA</v>
          </cell>
        </row>
        <row r="2242">
          <cell r="AH2242" t="str">
            <v>FLORIDABLANCA</v>
          </cell>
        </row>
        <row r="2243">
          <cell r="AH2243" t="str">
            <v>FOMENTO Y TURISMO DE MANIZALES</v>
          </cell>
        </row>
        <row r="2244">
          <cell r="AH2244" t="str">
            <v>FÓMEQUE</v>
          </cell>
        </row>
        <row r="2245">
          <cell r="AH2245" t="str">
            <v>FONDO ADAPTACIÓN</v>
          </cell>
        </row>
        <row r="2246">
          <cell r="AH2246" t="str">
            <v>FONDO AGROPECUARIO DE GARANTIAS</v>
          </cell>
        </row>
        <row r="2247">
          <cell r="AH2247" t="str">
            <v>FONDO BONOS Y TITULOS GARANTIZADOS LEY 546 - FOGAFIN</v>
          </cell>
        </row>
        <row r="2248">
          <cell r="AH2248" t="str">
            <v>FONDO CUENTA ESPECIAL DE ENTIDADES DESCENTRALIZADAS EN LIQUIDACION DEL DISTRITO DE SANTA MARTA</v>
          </cell>
        </row>
        <row r="2249">
          <cell r="AH2249" t="str">
            <v>FONDO DE BIENESTAR SOCIAL DE CONTRANAL</v>
          </cell>
        </row>
        <row r="2250">
          <cell r="AH2250" t="str">
            <v>FONDO DE COBERTURA DE TASAS - FOGAFIN</v>
          </cell>
        </row>
        <row r="2251">
          <cell r="AH2251" t="str">
            <v>FONDO DE COFINANCIACION PARA INVERSION URBANA</v>
          </cell>
        </row>
        <row r="2252">
          <cell r="AH2252" t="str">
            <v>FONDO DE COFINANCIACION PARA LA INVERSION SOCIAL</v>
          </cell>
        </row>
        <row r="2253">
          <cell r="AH2253" t="str">
            <v>FONDO DE COFINANCIACION PARA LA INVERSION VIAL</v>
          </cell>
        </row>
        <row r="2254">
          <cell r="AH2254" t="str">
            <v>FONDO DE DESARROLLO DE PROYECTOS DE CUNDINAMARCA</v>
          </cell>
        </row>
        <row r="2255">
          <cell r="AH2255" t="str">
            <v>FONDO DE DESARROLLO PARA LA EDUCACION SUPERIOR</v>
          </cell>
        </row>
        <row r="2256">
          <cell r="AH2256" t="str">
            <v>FONDO DE DESARROLLO SOCIAL DE EL RETIRO</v>
          </cell>
        </row>
        <row r="2257">
          <cell r="AH2257" t="str">
            <v>FONDO DE EMERGENCIA ECONOMICA - FOGAFIN</v>
          </cell>
        </row>
        <row r="2258">
          <cell r="AH2258" t="str">
            <v>FONDO DE EMERGENCIA ECONOMICA-FOGACOOP</v>
          </cell>
        </row>
        <row r="2259">
          <cell r="AH2259" t="str">
            <v>FONDO DE ESTABILIZACION DE PRECIOS DEL ALGODON</v>
          </cell>
        </row>
        <row r="2260">
          <cell r="AH2260" t="str">
            <v>FONDO DE ESTABILIZACION DE PRECIOS PARA EL PALMISTE, ACEITE DE PALMA Y SUS FRACCIONES</v>
          </cell>
        </row>
        <row r="2261">
          <cell r="AH2261" t="str">
            <v>FONDO DE ESTABILIZACIÓN DE PRECIOS PARA LOS AZÚCARES CENTRIFUGADOS, LAS MELAZAS DERIVADAS DE LA EXTRACCIÓN O DEL REFINADO DE AZ...</v>
          </cell>
        </row>
        <row r="2262">
          <cell r="AH2262" t="str">
            <v>FONDO DE FOMENTO A LA MINERIA Y AL MEDIO AMBIENTE - SEGOVIA</v>
          </cell>
        </row>
        <row r="2263">
          <cell r="AH2263" t="str">
            <v>FONDO DE FOMENTO AGROPECUARIO DE TAURAMENA</v>
          </cell>
        </row>
        <row r="2264">
          <cell r="AH2264" t="str">
            <v>FONDO DE FOMENTO AGROPECUARIO Y MICROEMPRESARIAL DE AGUAZUL - FFAMA</v>
          </cell>
        </row>
        <row r="2265">
          <cell r="AH2265" t="str">
            <v>FONDO DE FOMENTO ALGODONERO</v>
          </cell>
        </row>
        <row r="2266">
          <cell r="AH2266" t="str">
            <v>FONDO DE FOMENTO ARROCERO</v>
          </cell>
        </row>
        <row r="2267">
          <cell r="AH2267" t="str">
            <v>FONDO DE FOMENTO CAUCHERO</v>
          </cell>
        </row>
        <row r="2268">
          <cell r="AH2268" t="str">
            <v>FONDO DE FOMENTO DE FRIJOL Y SOYA IMPORTADO</v>
          </cell>
        </row>
        <row r="2269">
          <cell r="AH2269" t="str">
            <v>FONDO DE FOMENTO DE LEGUMINOSAS DE GRANO</v>
          </cell>
        </row>
        <row r="2270">
          <cell r="AH2270" t="str">
            <v>FONDO DE FOMENTO DEL FRIJOL Y LA SOYA NACIONAL</v>
          </cell>
        </row>
        <row r="2271">
          <cell r="AH2271" t="str">
            <v>FONDO DE FOMENTO PALMERO</v>
          </cell>
        </row>
        <row r="2272">
          <cell r="AH2272" t="str">
            <v>FONDO DE GARANTIAS DE ENTIDADES COOPERATIVAS</v>
          </cell>
        </row>
        <row r="2273">
          <cell r="AH2273" t="str">
            <v>FONDO DE GARANTIAS DE INSTITUCIONES FINANCIERAS</v>
          </cell>
        </row>
        <row r="2274">
          <cell r="AH2274" t="str">
            <v>FONDO DE PASIVO SOCIAL DE FERROCARRILES NACIONALES DE COLOMBIA</v>
          </cell>
        </row>
        <row r="2275">
          <cell r="AH2275" t="str">
            <v>FONDO DE PRESTACIONES ECONOMICAS, CESANTIAS Y PENSIONES</v>
          </cell>
        </row>
        <row r="2276">
          <cell r="AH2276" t="str">
            <v>FONDO DE PREVENCION Y ATENCION DE EMERGENCIAS</v>
          </cell>
        </row>
        <row r="2277">
          <cell r="AH2277" t="str">
            <v>FONDO DE PREVISION SOCIAL DEL CONGRESO DE LA REPUBLICA</v>
          </cell>
        </row>
        <row r="2278">
          <cell r="AH2278" t="str">
            <v>FONDO DE RESERVAS PENSIONALES SUPERFINANCIERA</v>
          </cell>
        </row>
        <row r="2279">
          <cell r="AH2279" t="str">
            <v>FONDO DE RESTAURACION, OBRAS E INVERSIONES HIDRICAS DISTRITAL</v>
          </cell>
        </row>
        <row r="2280">
          <cell r="AH2280" t="str">
            <v>FONDO DE TECNOLOGIAS DE LA INFORMACION Y LAS COMUNICACIONES</v>
          </cell>
        </row>
        <row r="2281">
          <cell r="AH2281" t="str">
            <v>FONDO DE TRANSPORTES Y TRANSITO DE BOLÍVAR - EN LIQUIDACION</v>
          </cell>
        </row>
        <row r="2282">
          <cell r="AH2282" t="str">
            <v>FONDO DE VALORIZACION DEL MUNICIPIO DE MEDELLIN</v>
          </cell>
        </row>
        <row r="2283">
          <cell r="AH2283" t="str">
            <v>FONDO DE VIGILANCIA Y SEGURIDAD DE BOGOTÁ D.C.</v>
          </cell>
        </row>
        <row r="2284">
          <cell r="AH2284" t="str">
            <v>FONDO DE VIVIENDA DE INTERES SOCIAL - CISNEROS</v>
          </cell>
        </row>
        <row r="2285">
          <cell r="AH2285" t="str">
            <v>FONDO DE VIVIENDA DE INTERES SOCIAL - EN LIQUIDACION</v>
          </cell>
        </row>
        <row r="2286">
          <cell r="AH2286" t="str">
            <v>FONDO DE VIVIENDA DE INTERÉS SOCIAL - SABANETA</v>
          </cell>
        </row>
        <row r="2287">
          <cell r="AH2287" t="str">
            <v>FONDO DE VIVIENDA DE INTERES SOCIAL - SANTO DOMINGO</v>
          </cell>
        </row>
        <row r="2288">
          <cell r="AH2288" t="str">
            <v>FONDO DE VIVIENDA DE INTERES SOCIAL DE PUERTO BERRIO</v>
          </cell>
        </row>
        <row r="2289">
          <cell r="AH2289" t="str">
            <v>FONDO DE VIVIENDA DE INTERES SOCIAL Y REFORMA URBANA</v>
          </cell>
        </row>
        <row r="2290">
          <cell r="AH2290" t="str">
            <v>FONDO DE VIVIENDA DE INTERÉS SOCIAL Y REFORMA URBANA -  DONMATIAS</v>
          </cell>
        </row>
        <row r="2291">
          <cell r="AH2291" t="str">
            <v>FONDO DE VIVIENDA DE INTERÉS SOCIAL Y REFORMA URBANA - FOVIS - SEGOVIA - EN LIQUIDACION</v>
          </cell>
        </row>
        <row r="2292">
          <cell r="AH2292" t="str">
            <v>FONDO DE VIVIENDA DE INTERES SOCIAL Y REFORMA URBANA DEL MUNICIPIO DE SOGAMOSO -FONVISOG-</v>
          </cell>
        </row>
        <row r="2293">
          <cell r="AH2293" t="str">
            <v>FONDO DE VIVIENDA DE INTERES SOCIAL Y REFORMA URBANA DEL MUNICIPIO EL CARMEN DE ATRATO</v>
          </cell>
        </row>
        <row r="2294">
          <cell r="AH2294" t="str">
            <v>FONDO DE VIVIENDA DE INTERES SOCIAL Y REFORMA URBANA DISTRITAL - CORVIVIENDA</v>
          </cell>
        </row>
        <row r="2295">
          <cell r="AH2295" t="str">
            <v>FONDO DE VIVIENDA DE INTERES SOCIAL Y REFORMA URBANA -FONVICHIQ-</v>
          </cell>
        </row>
        <row r="2296">
          <cell r="AH2296" t="str">
            <v>FONDO DE VIVIENDA DE POPAYÁN</v>
          </cell>
        </row>
        <row r="2297">
          <cell r="AH2297" t="str">
            <v>FONDO DE VIVIENDA OBRERA DE DUITAMA -FONVIDU-</v>
          </cell>
        </row>
        <row r="2298">
          <cell r="AH2298" t="str">
            <v>FONDO DE VIVIENDA OBRERA -TIBASOSA</v>
          </cell>
        </row>
        <row r="2299">
          <cell r="AH2299" t="str">
            <v>FONDO DE VIVIENDAD DE INTERES SOCIAL  - FOVIS - EL BAGRE</v>
          </cell>
        </row>
        <row r="2300">
          <cell r="AH2300" t="str">
            <v>FONDO EDITORIAL DEL DEPARTAMENTO DE RISARALDA</v>
          </cell>
        </row>
        <row r="2301">
          <cell r="AH2301" t="str">
            <v>FONDO ESPECIAL DE VIVIENDA DE SANTIAGO DE CALI</v>
          </cell>
        </row>
        <row r="2302">
          <cell r="AH2302" t="str">
            <v>FONDO ESTABILIZACION PARA LAS EXPORTACIONES DE CARNE Y LECHE</v>
          </cell>
        </row>
        <row r="2303">
          <cell r="AH2303" t="str">
            <v>FONDO FINANCIERO DE PROYECTOS DE DESARROLLO</v>
          </cell>
        </row>
        <row r="2304">
          <cell r="AH2304" t="str">
            <v>FONDO FINANCIERO DEL MUNICIPIO DE PALMIRA - FINANPAL</v>
          </cell>
        </row>
        <row r="2305">
          <cell r="AH2305" t="str">
            <v>FONDO FINANCIERO DISTRITAL DE SALUD</v>
          </cell>
        </row>
        <row r="2306">
          <cell r="AH2306" t="str">
            <v>FONDO GANADERO DEL ARAUCA - EN LIQUIDACION</v>
          </cell>
        </row>
        <row r="2307">
          <cell r="AH2307" t="str">
            <v>FONDO GANADERO DEL OCCIDENTE COLOMBIANO S.A - EN LIQUIDACION</v>
          </cell>
        </row>
        <row r="2308">
          <cell r="AH2308" t="str">
            <v>FONDO MIXTO DE  CULTURA DE BOYACÁ</v>
          </cell>
        </row>
        <row r="2309">
          <cell r="AH2309" t="str">
            <v>FONDO MIXTO DE PROMOCIÓN DE CULTURA DEL CAQUETA</v>
          </cell>
        </row>
        <row r="2310">
          <cell r="AH2310" t="str">
            <v>FONDO MIXTO DE PROMOCION DE LA CULTURA Y LAS ARTES DE CARTAGENA</v>
          </cell>
        </row>
        <row r="2311">
          <cell r="AH2311" t="str">
            <v>FONDO MIXTO DE PROMOCIÓN DE LA CULTURA Y LAS ARTES DE SUCRE</v>
          </cell>
        </row>
        <row r="2312">
          <cell r="AH2312" t="str">
            <v>FONDO MIXTO DE PROMOCION DE LA CULTURA Y LAS ARTES DEL HUILA</v>
          </cell>
        </row>
        <row r="2313">
          <cell r="AH2313" t="str">
            <v>FONDO MIXTO PARA EL FOMENTO DE LA EDUCACIÓN SUPERIOR DEL TOLIMA</v>
          </cell>
        </row>
        <row r="2314">
          <cell r="AH2314" t="str">
            <v>FONDO MIXTO PARA LA PROMOCIÓN DE LA CULTURA Y EL ARTE - SAN ANDRES</v>
          </cell>
        </row>
        <row r="2315">
          <cell r="AH2315" t="str">
            <v>FONDO MIXTO PARA LA PROMOCION DE LA CULTURA Y LAS ARTES - CHOCO</v>
          </cell>
        </row>
        <row r="2316">
          <cell r="AH2316" t="str">
            <v>FONDO MIXTO PARA LA PROMOCIÓN DE LA CULTURA Y LAS ARTES - GUAVIARE</v>
          </cell>
        </row>
        <row r="2317">
          <cell r="AH2317" t="str">
            <v>FONDO MIXTO PARA LA PROMOCIÓN DE LA CULTURA Y LAS ARTES - VAUPES</v>
          </cell>
        </row>
        <row r="2318">
          <cell r="AH2318" t="str">
            <v>FONDO MIXTO PARA LA PROMOCION DE LA CULTURA Y LAS ARTES DE CUNDINAMARCA - EN LIQUIDACION</v>
          </cell>
        </row>
        <row r="2319">
          <cell r="AH2319" t="str">
            <v>FONDO MIXTO PARA LA PROMOCIÓN DE LA CULTURA Y LAS ARTES DE SANTA MARTA -FOMCUARTES</v>
          </cell>
        </row>
        <row r="2320">
          <cell r="AH2320" t="str">
            <v>FONDO MIXTO PARA LA PROMOCIÓN DE LA CULTURA Y LAS ARTES DE SANTANDER</v>
          </cell>
        </row>
        <row r="2321">
          <cell r="AH2321" t="str">
            <v>FONDO MIXTO PARA LA PROMOCIÓN DE LA CULTURA Y LAS ARTES DEL CASANARE</v>
          </cell>
        </row>
        <row r="2322">
          <cell r="AH2322" t="str">
            <v>FONDO MIXTO PARA LA PROMOCIÓN DE LA CULTURA Y LAS ARTES DEL DEPARTAMENTO DEL PUTUMAYO</v>
          </cell>
        </row>
        <row r="2323">
          <cell r="AH2323" t="str">
            <v>FONDO MIXTO PARA LA PROMOCIÓN DE LA CULTURA Y LAS ARTES DEL DEPARTAMENTO DEL TOLIMA</v>
          </cell>
        </row>
        <row r="2324">
          <cell r="AH2324" t="str">
            <v>FONDO MIXTO PARA LA PROMOCIÓN DE LA CULTURA Y LAS ARTES DEL GUAINIA</v>
          </cell>
        </row>
        <row r="2325">
          <cell r="AH2325" t="str">
            <v>FONDO MIXTO PARA LA PROMOCIÓN DE LA CULTURA Y LAS ARTES DEL MAGDALENA</v>
          </cell>
        </row>
        <row r="2326">
          <cell r="AH2326" t="str">
            <v>FONDO MIXTO PARA LA PROMOCION DE LA CULTURA Y LAS ARTES DEL QUINDIO</v>
          </cell>
        </row>
        <row r="2327">
          <cell r="AH2327" t="str">
            <v>FONDO MIXTO PARA LA PROMOCIÓN DE LA CULTURA Y LAS ARTES DEL VALLE DEL CAUCA</v>
          </cell>
        </row>
        <row r="2328">
          <cell r="AH2328" t="str">
            <v>FONDO MIXTO PARA LA PROMOCION DE LA CULTURA Y LAS ARTES.</v>
          </cell>
        </row>
        <row r="2329">
          <cell r="AH2329" t="str">
            <v>FONDO MUNICIPAL DE TRÁNSITO Y TRANSPORTE DE MAGANGUÉ</v>
          </cell>
        </row>
        <row r="2330">
          <cell r="AH2330" t="str">
            <v>FONDO MUNICIPAL DE VIVIENDA DE ARMENIA</v>
          </cell>
        </row>
        <row r="2331">
          <cell r="AH2331" t="str">
            <v>FONDO MUNICIPAL DE VIVIENDA DE INTERES SOCIAL Y REFORMA URBANA DE PUERTO TEJADA</v>
          </cell>
        </row>
        <row r="2332">
          <cell r="AH2332" t="str">
            <v>FONDO MUNICIPAL DE VIVIENDA DE INTERES SOCIAL Y REFORMA URBANA DE SINCELEJO -FOVIS-</v>
          </cell>
        </row>
        <row r="2333">
          <cell r="AH2333" t="str">
            <v>FONDO NACIONAL AMBIENTAL</v>
          </cell>
        </row>
        <row r="2334">
          <cell r="AH2334" t="str">
            <v>FONDO NACIONAL AVICOLA - FONAV</v>
          </cell>
        </row>
        <row r="2335">
          <cell r="AH2335" t="str">
            <v>FONDO NACIONAL CACAOTERO</v>
          </cell>
        </row>
        <row r="2336">
          <cell r="AH2336" t="str">
            <v>FONDO NACIONAL CEREALISTA</v>
          </cell>
        </row>
        <row r="2337">
          <cell r="AH2337" t="str">
            <v>FONDO NACIONAL DE AHORRO</v>
          </cell>
        </row>
        <row r="2338">
          <cell r="AH2338" t="str">
            <v>FONDO NACIONAL DE CALAMIDADES</v>
          </cell>
        </row>
        <row r="2339">
          <cell r="AH2339" t="str">
            <v>FONDO NACIONAL DE CEREALES IMPORTADOS</v>
          </cell>
        </row>
        <row r="2340">
          <cell r="AH2340" t="str">
            <v>FONDO NACIONAL DE ESTUPEFACIENTES</v>
          </cell>
        </row>
        <row r="2341">
          <cell r="AH2341" t="str">
            <v>FONDO NACIONAL DE FOMENTO HORTIFRUTICOLA</v>
          </cell>
        </row>
        <row r="2342">
          <cell r="AH2342" t="str">
            <v>FONDO NACIONAL DE GARANTIAS S. A.</v>
          </cell>
        </row>
        <row r="2343">
          <cell r="AH2343" t="str">
            <v>FONDO NACIONAL DE LA PANELA</v>
          </cell>
        </row>
        <row r="2344">
          <cell r="AH2344" t="str">
            <v>FONDO NACIONAL DE PORCICULTURA</v>
          </cell>
        </row>
        <row r="2345">
          <cell r="AH2345" t="str">
            <v>FONDO NACIONAL DE PRESTACIONES SOCIALES DEL MAGISTERIO</v>
          </cell>
        </row>
        <row r="2346">
          <cell r="AH2346" t="str">
            <v>FONDO NACIONAL DE REGALIAS - EN LIQUIDACION</v>
          </cell>
        </row>
        <row r="2347">
          <cell r="AH2347" t="str">
            <v>FONDO NACIONAL DE VIVIENDA</v>
          </cell>
        </row>
        <row r="2348">
          <cell r="AH2348" t="str">
            <v>FONDO NACIONAL DEL CAFE</v>
          </cell>
        </row>
        <row r="2349">
          <cell r="AH2349" t="str">
            <v>FONDO NACIONAL DEL GANADO</v>
          </cell>
        </row>
        <row r="2350">
          <cell r="AH2350" t="str">
            <v>FONDO NACIONAL DEL TABACO</v>
          </cell>
        </row>
        <row r="2351">
          <cell r="AH2351" t="str">
            <v>FONDO PARA  LA PARTICIPACION Y EL FORTALECIMIENTO DE LA DEMOCRACIA</v>
          </cell>
        </row>
        <row r="2352">
          <cell r="AH2352" t="str">
            <v>FONDO PARA CONSOLIDACION DEL PATRIMONIO AUTONOMO PENSIONAL DE CARTAGO</v>
          </cell>
        </row>
        <row r="2353">
          <cell r="AH2353" t="str">
            <v>FONDO PARA EL DESARROLLO EMPRESARIAL DE ALBANIA</v>
          </cell>
        </row>
        <row r="2354">
          <cell r="AH2354" t="str">
            <v>FONDO PARA EL FINANCIAMIENTO DEL SECTOR AGROPECUARIO</v>
          </cell>
        </row>
        <row r="2355">
          <cell r="AH2355" t="str">
            <v>FONDO ROTARIO DE LA POLICIA NACIONAL</v>
          </cell>
        </row>
        <row r="2356">
          <cell r="AH2356" t="str">
            <v>FONDO ROTATORIO DE LA REGISTRADURIA NACIONAL DEL ESTADO CIVIL</v>
          </cell>
        </row>
        <row r="2357">
          <cell r="AH2357" t="str">
            <v>FONDO ROTATORIO DE LA VIVIENDA - INDUSTRIA LICORERA DE CALDAS</v>
          </cell>
        </row>
        <row r="2358">
          <cell r="AH2358" t="str">
            <v>FONDO ROTATORIO DE VALORIZACIÓN DE SINCELEJO - FONVAS -</v>
          </cell>
        </row>
        <row r="2359">
          <cell r="AH2359" t="str">
            <v>FONDO ROTATORIO DE VALORIZACIÓN MUNICIPAL - AGUACHICA</v>
          </cell>
        </row>
        <row r="2360">
          <cell r="AH2360" t="str">
            <v>FONDO ROTATORIO DE VALORIZACION MUNICIPAL - IPIALES</v>
          </cell>
        </row>
        <row r="2361">
          <cell r="AH2361" t="str">
            <v>FONDO ROTATORIO DEL DEPARTAMENTO ADMINISTRATIVO DE SEGURIDAD</v>
          </cell>
        </row>
        <row r="2362">
          <cell r="AH2362" t="str">
            <v>FONDO ROTATORIO DEL DEPARTAMENTO ADMINISTRATIVO NACIONAL DE ESTADISTICA</v>
          </cell>
        </row>
        <row r="2363">
          <cell r="AH2363" t="str">
            <v>FONDO ROTATORIO DEL MINISTERIO DE RELACIONES EXTERIORES</v>
          </cell>
        </row>
        <row r="2364">
          <cell r="AH2364" t="str">
            <v>FONDO SOCIAL DE VIVIENDA DE LA REGISTRADURÍA NACIONAL DEL ESTADO CIVIL</v>
          </cell>
        </row>
        <row r="2365">
          <cell r="AH2365" t="str">
            <v>FONPRECON - INVALIDEZ</v>
          </cell>
        </row>
        <row r="2366">
          <cell r="AH2366" t="str">
            <v>FONPRECON - SOBREVIVIENTES</v>
          </cell>
        </row>
        <row r="2367">
          <cell r="AH2367" t="str">
            <v>FONSECA</v>
          </cell>
        </row>
        <row r="2368">
          <cell r="AH2368" t="str">
            <v>FORTUL</v>
          </cell>
        </row>
        <row r="2369">
          <cell r="AH2369" t="str">
            <v>FOSCA</v>
          </cell>
        </row>
        <row r="2370">
          <cell r="AH2370" t="str">
            <v>FRANCISCO PIZARRO (SALAHONDA)</v>
          </cell>
        </row>
        <row r="2371">
          <cell r="AH2371" t="str">
            <v>FREDONIA</v>
          </cell>
        </row>
        <row r="2372">
          <cell r="AH2372" t="str">
            <v>FRESNO</v>
          </cell>
        </row>
        <row r="2373">
          <cell r="AH2373" t="str">
            <v>FRIGORIFICO QUILICHAO E.I.C.E.</v>
          </cell>
        </row>
        <row r="2374">
          <cell r="AH2374" t="str">
            <v>FRIGORIFICO URABA DARIEN CARIBE</v>
          </cell>
        </row>
        <row r="2375">
          <cell r="AH2375" t="str">
            <v>FRONTINO</v>
          </cell>
        </row>
        <row r="2376">
          <cell r="AH2376" t="str">
            <v>FUENTE DE ORO</v>
          </cell>
        </row>
        <row r="2377">
          <cell r="AH2377" t="str">
            <v>FUNDACIÓN</v>
          </cell>
        </row>
        <row r="2378">
          <cell r="AH2378" t="str">
            <v>FUNDACION  GILBERTO ALZATE AVENDAÑO</v>
          </cell>
        </row>
        <row r="2379">
          <cell r="AH2379" t="str">
            <v>FUNDACIÓN AMBIENTAL ECO-REGIÓN ASOCIACIÓN DE MUNICIPIOS DE CIUDAD BOLIVAR</v>
          </cell>
        </row>
        <row r="2380">
          <cell r="AH2380" t="str">
            <v>FUNDACIÓN CASA DEL MENOR  MARCO FIDEL SUAREZ</v>
          </cell>
        </row>
        <row r="2381">
          <cell r="AH2381" t="str">
            <v>FUNDACIÓN EMPRESAS PÚBLICAS DE MEDELLÍN</v>
          </cell>
        </row>
        <row r="2382">
          <cell r="AH2382" t="str">
            <v>FUNES</v>
          </cell>
        </row>
        <row r="2383">
          <cell r="AH2383" t="str">
            <v>FUNZA</v>
          </cell>
        </row>
        <row r="2384">
          <cell r="AH2384" t="str">
            <v>FÚQUENE</v>
          </cell>
        </row>
        <row r="2385">
          <cell r="AH2385" t="str">
            <v>FUSAGASUGÁ</v>
          </cell>
        </row>
        <row r="2386">
          <cell r="AH2386" t="str">
            <v>GACHALÁ</v>
          </cell>
        </row>
        <row r="2387">
          <cell r="AH2387" t="str">
            <v>GACHANCIPÁ</v>
          </cell>
        </row>
        <row r="2388">
          <cell r="AH2388" t="str">
            <v>GACHANTIVÁ</v>
          </cell>
        </row>
        <row r="2389">
          <cell r="AH2389" t="str">
            <v>GACHETÁ</v>
          </cell>
        </row>
        <row r="2390">
          <cell r="AH2390" t="str">
            <v>GALÁN</v>
          </cell>
        </row>
        <row r="2391">
          <cell r="AH2391" t="str">
            <v>GALAPA</v>
          </cell>
        </row>
        <row r="2392">
          <cell r="AH2392" t="str">
            <v>GALERAS</v>
          </cell>
        </row>
        <row r="2393">
          <cell r="AH2393" t="str">
            <v>GAMA</v>
          </cell>
        </row>
        <row r="2394">
          <cell r="AH2394" t="str">
            <v>GAMARRA</v>
          </cell>
        </row>
        <row r="2395">
          <cell r="AH2395" t="str">
            <v>GÁMBITA</v>
          </cell>
        </row>
        <row r="2396">
          <cell r="AH2396" t="str">
            <v>GÁMEZA</v>
          </cell>
        </row>
        <row r="2397">
          <cell r="AH2397" t="str">
            <v>GARAGOA</v>
          </cell>
        </row>
        <row r="2398">
          <cell r="AH2398" t="str">
            <v>GARZÓN</v>
          </cell>
        </row>
        <row r="2399">
          <cell r="AH2399" t="str">
            <v>GÉNOVA</v>
          </cell>
        </row>
        <row r="2400">
          <cell r="AH2400" t="str">
            <v>GESTORA URBANA DE IBAGUE</v>
          </cell>
        </row>
        <row r="2401">
          <cell r="AH2401" t="str">
            <v>GIGANTE</v>
          </cell>
        </row>
        <row r="2402">
          <cell r="AH2402" t="str">
            <v>GINEBRA</v>
          </cell>
        </row>
        <row r="2403">
          <cell r="AH2403" t="str">
            <v>GIRALDO</v>
          </cell>
        </row>
        <row r="2404">
          <cell r="AH2404" t="str">
            <v>GIRARDOT</v>
          </cell>
        </row>
        <row r="2405">
          <cell r="AH2405" t="str">
            <v>GIRARDOTA</v>
          </cell>
        </row>
        <row r="2406">
          <cell r="AH2406" t="str">
            <v>GIRÓN</v>
          </cell>
        </row>
        <row r="2407">
          <cell r="AH2407" t="str">
            <v>GÓMEZ PLATA</v>
          </cell>
        </row>
        <row r="2408">
          <cell r="AH2408" t="str">
            <v>GONZÁLEZ</v>
          </cell>
        </row>
        <row r="2409">
          <cell r="AH2409" t="str">
            <v>GRAMALOTE</v>
          </cell>
        </row>
        <row r="2410">
          <cell r="AH2410" t="str">
            <v>GRAN CENTRAL DE ABASTOS DEL CARIBE S. A.</v>
          </cell>
        </row>
        <row r="2411">
          <cell r="AH2411" t="str">
            <v>GRANADA - ANTIOQUIA</v>
          </cell>
        </row>
        <row r="2412">
          <cell r="AH2412" t="str">
            <v>GRANADA - CUNDINAMARCA</v>
          </cell>
        </row>
        <row r="2413">
          <cell r="AH2413" t="str">
            <v>GRANADA - META</v>
          </cell>
        </row>
        <row r="2414">
          <cell r="AH2414" t="str">
            <v>GUACA</v>
          </cell>
        </row>
        <row r="2415">
          <cell r="AH2415" t="str">
            <v>GUACAMAYAS</v>
          </cell>
        </row>
        <row r="2416">
          <cell r="AH2416" t="str">
            <v>GUACHENÉ</v>
          </cell>
        </row>
        <row r="2417">
          <cell r="AH2417" t="str">
            <v>GUACHETÁ</v>
          </cell>
        </row>
        <row r="2418">
          <cell r="AH2418" t="str">
            <v>GUACHUCAL</v>
          </cell>
        </row>
        <row r="2419">
          <cell r="AH2419" t="str">
            <v>GUADALAJARA DE BUGA</v>
          </cell>
        </row>
        <row r="2420">
          <cell r="AH2420" t="str">
            <v>GUADALUPE - ANTIOQUIA</v>
          </cell>
        </row>
        <row r="2421">
          <cell r="AH2421" t="str">
            <v>GUADALUPE - HUILA</v>
          </cell>
        </row>
        <row r="2422">
          <cell r="AH2422" t="str">
            <v>GUADALUPE - SANTANDER</v>
          </cell>
        </row>
        <row r="2423">
          <cell r="AH2423" t="str">
            <v>GUADUAS</v>
          </cell>
        </row>
        <row r="2424">
          <cell r="AH2424" t="str">
            <v>GUAITARILLA</v>
          </cell>
        </row>
        <row r="2425">
          <cell r="AH2425" t="str">
            <v>GUALMATÁN</v>
          </cell>
        </row>
        <row r="2426">
          <cell r="AH2426" t="str">
            <v>GUAMAL - MAGDALENA</v>
          </cell>
        </row>
        <row r="2427">
          <cell r="AH2427" t="str">
            <v>GUAMAL - META</v>
          </cell>
        </row>
        <row r="2428">
          <cell r="AH2428" t="str">
            <v>GUAPI</v>
          </cell>
        </row>
        <row r="2429">
          <cell r="AH2429" t="str">
            <v>GUAPOTÁ</v>
          </cell>
        </row>
        <row r="2430">
          <cell r="AH2430" t="str">
            <v>GUARANDA</v>
          </cell>
        </row>
        <row r="2431">
          <cell r="AH2431" t="str">
            <v>GUARNE</v>
          </cell>
        </row>
        <row r="2432">
          <cell r="AH2432" t="str">
            <v>GUASCA</v>
          </cell>
        </row>
        <row r="2433">
          <cell r="AH2433" t="str">
            <v>GUATAPÉ</v>
          </cell>
        </row>
        <row r="2434">
          <cell r="AH2434" t="str">
            <v>GUATAQUÍ</v>
          </cell>
        </row>
        <row r="2435">
          <cell r="AH2435" t="str">
            <v>GUATAVITA</v>
          </cell>
        </row>
        <row r="2436">
          <cell r="AH2436" t="str">
            <v>GUATEQUE</v>
          </cell>
        </row>
        <row r="2437">
          <cell r="AH2437" t="str">
            <v>GUÁTICA</v>
          </cell>
        </row>
        <row r="2438">
          <cell r="AH2438" t="str">
            <v>GUAVATÁ</v>
          </cell>
        </row>
        <row r="2439">
          <cell r="AH2439" t="str">
            <v>GUAYABAL DE SÍQUIMA</v>
          </cell>
        </row>
        <row r="2440">
          <cell r="AH2440" t="str">
            <v>GUAYABETAL</v>
          </cell>
        </row>
        <row r="2441">
          <cell r="AH2441" t="str">
            <v>GUAYATÁ</v>
          </cell>
        </row>
        <row r="2442">
          <cell r="AH2442" t="str">
            <v>GÜEPSA</v>
          </cell>
        </row>
        <row r="2443">
          <cell r="AH2443" t="str">
            <v>GÜICÁN</v>
          </cell>
        </row>
        <row r="2444">
          <cell r="AH2444" t="str">
            <v>GUTIÉRREZ</v>
          </cell>
        </row>
        <row r="2445">
          <cell r="AH2445" t="str">
            <v>HACARÍ</v>
          </cell>
        </row>
        <row r="2446">
          <cell r="AH2446" t="str">
            <v>HATILLO DE LOBA</v>
          </cell>
        </row>
        <row r="2447">
          <cell r="AH2447" t="str">
            <v>HATO</v>
          </cell>
        </row>
        <row r="2448">
          <cell r="AH2448" t="str">
            <v>HATO COROZAL</v>
          </cell>
        </row>
        <row r="2449">
          <cell r="AH2449" t="str">
            <v>HATO NUEVO</v>
          </cell>
        </row>
        <row r="2450">
          <cell r="AH2450" t="str">
            <v>HELICONIA</v>
          </cell>
        </row>
        <row r="2451">
          <cell r="AH2451" t="str">
            <v>HERRÁN</v>
          </cell>
        </row>
        <row r="2452">
          <cell r="AH2452" t="str">
            <v>HERVEO</v>
          </cell>
        </row>
        <row r="2453">
          <cell r="AH2453" t="str">
            <v>HISPANIA</v>
          </cell>
        </row>
        <row r="2454">
          <cell r="AH2454" t="str">
            <v>HOBO</v>
          </cell>
        </row>
        <row r="2455">
          <cell r="AH2455" t="str">
            <v>HOGAR  SAN JOSÉ  PARA ANCIANOS</v>
          </cell>
        </row>
        <row r="2456">
          <cell r="AH2456" t="str">
            <v>HONDA</v>
          </cell>
        </row>
        <row r="2457">
          <cell r="AH2457" t="str">
            <v>HOSPITAL  ALEJANDRO MAESTRE  -EL DIFICIL (ARIGUANI)</v>
          </cell>
        </row>
        <row r="2458">
          <cell r="AH2458" t="str">
            <v>HOSPITAL  JOSE CAYETANO VASQUEZ  -PUERTO BOYACA</v>
          </cell>
        </row>
        <row r="2459">
          <cell r="AH2459" t="str">
            <v>HOSPITAL  LA MISERICORDIA  -SAN ANTONIO</v>
          </cell>
        </row>
        <row r="2460">
          <cell r="AH2460" t="str">
            <v>HOSPITAL  NAZARETH  -URIBIA</v>
          </cell>
        </row>
        <row r="2461">
          <cell r="AH2461" t="str">
            <v>HOSPITAL  SAGRADO CORAZON DE JESUS  -EL CHARCO</v>
          </cell>
        </row>
        <row r="2462">
          <cell r="AH2462" t="str">
            <v>HOSPITAL  SAN ANTONIO  - RIONEGRO</v>
          </cell>
        </row>
        <row r="2463">
          <cell r="AH2463" t="str">
            <v>HOSPITAL  SAN ANTONIO  -BARBACOAS</v>
          </cell>
        </row>
        <row r="2464">
          <cell r="AH2464" t="str">
            <v>HOSPITAL  SAN ANTONIO  -SOATA</v>
          </cell>
        </row>
        <row r="2465">
          <cell r="AH2465" t="str">
            <v>HOSPITAL  SAN CARLOS  -SALDAÑA</v>
          </cell>
        </row>
        <row r="2466">
          <cell r="AH2466" t="str">
            <v>HOSPITAL  SAN FRANCISCO  -CIENAGA DE ORO</v>
          </cell>
        </row>
        <row r="2467">
          <cell r="AH2467" t="str">
            <v>HOSPITAL  SAN JOSÉ  -SEVILLA - EN LIQUIDACION</v>
          </cell>
        </row>
        <row r="2468">
          <cell r="AH2468" t="str">
            <v>HOSPITAL  SAN JUAN DE DIOS - PUERTO CARREÑO</v>
          </cell>
        </row>
        <row r="2469">
          <cell r="AH2469" t="str">
            <v>HOSPITAL  SAN RAFAEL  -CHINU</v>
          </cell>
        </row>
        <row r="2470">
          <cell r="AH2470" t="str">
            <v>HOSPITAL  SANTA LUCIA  -RONCESVALLES</v>
          </cell>
        </row>
        <row r="2471">
          <cell r="AH2471" t="str">
            <v>HOSPITAL  SUMAPAZ  -ICONONZO</v>
          </cell>
        </row>
        <row r="2472">
          <cell r="AH2472" t="str">
            <v>HOSPITAL ARMANDO PABÓN LÓPEZ - MANAURE</v>
          </cell>
        </row>
        <row r="2473">
          <cell r="AH2473" t="str">
            <v>HOSPITAL INTEGRADO DE SABANA DE TORRES - SANTANDER</v>
          </cell>
        </row>
        <row r="2474">
          <cell r="AH2474" t="str">
            <v>HOSPITAL LASCARIO BARBOSA AVENDAÑO - ACANDÍ</v>
          </cell>
        </row>
        <row r="2475">
          <cell r="AH2475" t="str">
            <v>HOSPITAL LOCAL HABACUC CALDERON - CARMEN DE CARUPA</v>
          </cell>
        </row>
        <row r="2476">
          <cell r="AH2476" t="str">
            <v>HOSPITAL MILITAR CENTRAL</v>
          </cell>
        </row>
        <row r="2477">
          <cell r="AH2477" t="str">
            <v>HOSPITAL NUESTRA SEÑORA SANTA ANA</v>
          </cell>
        </row>
        <row r="2478">
          <cell r="AH2478" t="str">
            <v>HOSPITAL REGIONAL  MARÍA INMACULADA   -FLORENCIA</v>
          </cell>
        </row>
        <row r="2479">
          <cell r="AH2479" t="str">
            <v>HOSPITAL SAN FRANCISCO - SAN LUIS DE GACENO</v>
          </cell>
        </row>
        <row r="2480">
          <cell r="AH2480" t="str">
            <v>HOSPITAL SAN JOSÉ - SAN ANDRÉS</v>
          </cell>
        </row>
        <row r="2481">
          <cell r="AH2481" t="str">
            <v>HOSPITAL SAN ROQUE - CHIMA</v>
          </cell>
        </row>
        <row r="2482">
          <cell r="AH2482" t="str">
            <v>HOSPITAL SAN ROQUE - CORDOBA QUINDIO</v>
          </cell>
        </row>
        <row r="2483">
          <cell r="AH2483" t="str">
            <v>HOSPITAL SANTA ANA - PIJAO</v>
          </cell>
        </row>
        <row r="2484">
          <cell r="AH2484" t="str">
            <v>HOSPITAL UNIVERSITARIO DEL VALLE EVARISTO GARCIA E.S.E</v>
          </cell>
        </row>
        <row r="2485">
          <cell r="AH2485" t="str">
            <v>HOTEL GUADALAJARA DE BUGA</v>
          </cell>
        </row>
        <row r="2486">
          <cell r="AH2486" t="str">
            <v>I.P.S. ASOCIACION DE AUTORIDADES TRADICIONALES WAYUU SUMUYWAJAT</v>
          </cell>
        </row>
        <row r="2487">
          <cell r="AH2487" t="str">
            <v>I.P.S. ASOCIACION DE CABILDOS Y/O AUTORIDADES TRADICIONALES DE LA GUAJIRA</v>
          </cell>
        </row>
        <row r="2488">
          <cell r="AH2488" t="str">
            <v>I.P.S. CASA INDIGENA MAICAO MARCELO RAMIREZ</v>
          </cell>
        </row>
        <row r="2489">
          <cell r="AH2489" t="str">
            <v>I.P.S. CENTRO DE SALUD - CARMEN DE CHUCURI</v>
          </cell>
        </row>
        <row r="2490">
          <cell r="AH2490" t="str">
            <v>I.P.S. CENTRO DE SALUD - MACARAVITA</v>
          </cell>
        </row>
        <row r="2491">
          <cell r="AH2491" t="str">
            <v>I.P.S. CENTRO DE SALUD DE CABRERA</v>
          </cell>
        </row>
        <row r="2492">
          <cell r="AH2492" t="str">
            <v>I.P.S. CENTRO DE SALUD DE COROMORO</v>
          </cell>
        </row>
        <row r="2493">
          <cell r="AH2493" t="str">
            <v>I.P.S. CENTRO DE SALUD DE ENCINO</v>
          </cell>
        </row>
        <row r="2494">
          <cell r="AH2494" t="str">
            <v>I.P.S. CENTRO DE SALUD DE MOLAGAVITA</v>
          </cell>
        </row>
        <row r="2495">
          <cell r="AH2495" t="str">
            <v>I.P.S. CENTRO DE SALUD DE PUERTO PARRA</v>
          </cell>
        </row>
        <row r="2496">
          <cell r="AH2496" t="str">
            <v>I.P.S. CENTRO DE SALUD DE SUCRE SANTANDER</v>
          </cell>
        </row>
        <row r="2497">
          <cell r="AH2497" t="str">
            <v>I.P.S. CENTRO DE SALUD DIVINO NIÑO JESÚS DE CHIPATÁ</v>
          </cell>
        </row>
        <row r="2498">
          <cell r="AH2498" t="str">
            <v>I.P.S. CENTRO DE SALUD -HERMANA GERTRUDIS- DE AGUADAS</v>
          </cell>
        </row>
        <row r="2499">
          <cell r="AH2499" t="str">
            <v>I.P.S. CENTRO DE SALUD JESUS DE NAZARETH - ENCISO</v>
          </cell>
        </row>
        <row r="2500">
          <cell r="AH2500" t="str">
            <v>I.P.S. CENTRO DE SALUD LA PAZ</v>
          </cell>
        </row>
        <row r="2501">
          <cell r="AH2501" t="str">
            <v>I.P.S. CENTRO DE SALUD LOS SANTOS - SANTANDER</v>
          </cell>
        </row>
        <row r="2502">
          <cell r="AH2502" t="str">
            <v>I.P.S. CENTRO DE SALUD NUESTRA SEÑORA DEL CARMEN - VETAS</v>
          </cell>
        </row>
        <row r="2503">
          <cell r="AH2503" t="str">
            <v>I.P.S. CENTRO DE SALUD PIOJÓ</v>
          </cell>
        </row>
        <row r="2504">
          <cell r="AH2504" t="str">
            <v>I.P.S. CENTRO DE SALUD SAN ANTONIO - CERRITO</v>
          </cell>
        </row>
        <row r="2505">
          <cell r="AH2505" t="str">
            <v>I.P.S. CENTRO DE SALUD SAN ANTONIO CALIFORNIA - SANTANDER</v>
          </cell>
        </row>
        <row r="2506">
          <cell r="AH2506" t="str">
            <v>I.P.S. CENTRO DE SALUD SAN BENITO</v>
          </cell>
        </row>
        <row r="2507">
          <cell r="AH2507" t="str">
            <v>I.P.S. CENTRO DE SALUD SAN CAYETANO DEL MUNICIPIO DE CONFINES - SANTANDER</v>
          </cell>
        </row>
        <row r="2508">
          <cell r="AH2508" t="str">
            <v>I.P.S. CENTRO DE SALUD SAN ROQUE DE GUEPSA</v>
          </cell>
        </row>
        <row r="2509">
          <cell r="AH2509" t="str">
            <v>I.P.S. CENTRO DE SALUD SANTA HELENA DE OPÓN</v>
          </cell>
        </row>
        <row r="2510">
          <cell r="AH2510" t="str">
            <v>I.P.S. CENTRO DE SALUD UCATA - CHARTA SANTANDER</v>
          </cell>
        </row>
        <row r="2511">
          <cell r="AH2511" t="str">
            <v>I.P.S. CORPORACION UNIVERSITARIA DE CALDAS</v>
          </cell>
        </row>
        <row r="2512">
          <cell r="AH2512" t="str">
            <v>I.P.S. DUSAKAWUI</v>
          </cell>
        </row>
        <row r="2513">
          <cell r="AH2513" t="str">
            <v>I.P.S. INDIGENA EREJEERIA  WAYUU</v>
          </cell>
        </row>
        <row r="2514">
          <cell r="AH2514" t="str">
            <v>I.P.S. INDIGENA GONAWINDUA ETTE ENNAKA</v>
          </cell>
        </row>
        <row r="2515">
          <cell r="AH2515" t="str">
            <v>I.P.S. INDIGENA OUTAJIAPALA</v>
          </cell>
        </row>
        <row r="2516">
          <cell r="AH2516" t="str">
            <v>I.P.S. INDIGENA PUBLICA THE`WALA</v>
          </cell>
        </row>
        <row r="2517">
          <cell r="AH2517" t="str">
            <v>I.P.S. INDIGENA UNUMA ACIM</v>
          </cell>
        </row>
        <row r="2518">
          <cell r="AH2518" t="str">
            <v>I.P.S. INDIGENA WAYUU ANASHII</v>
          </cell>
        </row>
        <row r="2519">
          <cell r="AH2519" t="str">
            <v>I.P.S. SAN JOSE DE FLORIAN - SANTANDER</v>
          </cell>
        </row>
        <row r="2520">
          <cell r="AH2520" t="str">
            <v>I.P.S. SAN SEBASTIÁN DE SURATÁ</v>
          </cell>
        </row>
        <row r="2521">
          <cell r="AH2521" t="str">
            <v>I.P.S.I. ANASHANTA SUPUSHUAYA</v>
          </cell>
        </row>
        <row r="2522">
          <cell r="AH2522" t="str">
            <v>I.P.S.I. ANASHIWAYA</v>
          </cell>
        </row>
        <row r="2523">
          <cell r="AH2523" t="str">
            <v>I.P.S.I. AYUULEEPALA WAYUU</v>
          </cell>
        </row>
        <row r="2524">
          <cell r="AH2524" t="str">
            <v>I.P.S.I. KARAQUITA</v>
          </cell>
        </row>
        <row r="2525">
          <cell r="AH2525" t="str">
            <v>I.P.S.I. MANEXKA</v>
          </cell>
        </row>
        <row r="2526">
          <cell r="AH2526" t="str">
            <v>I.P.S.I. SUPULA WAYUU</v>
          </cell>
        </row>
        <row r="2527">
          <cell r="AH2527" t="str">
            <v>I.P.S.I. UNIDAD MEDICA WAYUU ANOUTA WAKUAIPA</v>
          </cell>
        </row>
        <row r="2528">
          <cell r="AH2528" t="str">
            <v>IBAGUE</v>
          </cell>
        </row>
        <row r="2529">
          <cell r="AH2529" t="str">
            <v>ICONONZO</v>
          </cell>
        </row>
        <row r="2530">
          <cell r="AH2530" t="str">
            <v>ILES</v>
          </cell>
        </row>
        <row r="2531">
          <cell r="AH2531" t="str">
            <v>IMDERPRADERA -INSTITUTO PARA EL DEPORTE, EL APROVECHAMIENTO DEL TIEMPO LIBRE Y LA EDUCACION EXTRAESCOLAR</v>
          </cell>
        </row>
        <row r="2532">
          <cell r="AH2532" t="str">
            <v>IMPRENTA DEPARTAMENTAL DEL CAUCA</v>
          </cell>
        </row>
        <row r="2533">
          <cell r="AH2533" t="str">
            <v>IMPRENTA DEPARTAMENTAL DEL VALLE DEL CAUCA</v>
          </cell>
        </row>
        <row r="2534">
          <cell r="AH2534" t="str">
            <v>IMPRENTA NACIONAL DE COLOMBIA</v>
          </cell>
        </row>
        <row r="2535">
          <cell r="AH2535" t="str">
            <v>IMUÉS</v>
          </cell>
        </row>
        <row r="2536">
          <cell r="AH2536" t="str">
            <v>INDUSTRIA LICORERA DE CALDAS</v>
          </cell>
        </row>
        <row r="2537">
          <cell r="AH2537" t="str">
            <v>INDUSTRIA LICORERA DEL CAUCA</v>
          </cell>
        </row>
        <row r="2538">
          <cell r="AH2538" t="str">
            <v>INDUSTRIA LICORERA DEL VALLE DEL CAUCA</v>
          </cell>
        </row>
        <row r="2539">
          <cell r="AH2539" t="str">
            <v>INDUSTRIA MILITAR</v>
          </cell>
        </row>
        <row r="2540">
          <cell r="AH2540" t="str">
            <v>INFOTIC S.A.</v>
          </cell>
        </row>
        <row r="2541">
          <cell r="AH2541" t="str">
            <v>INSPECCION DE TRANSITO Y TRANSPORTE DE BARRANCABERMEJA</v>
          </cell>
        </row>
        <row r="2542">
          <cell r="AH2542" t="str">
            <v>INSTITUCIÓN PRESTADORA DE SERVICIOS DE SALUD ARISTIDES FERNANDEZ ISABELLA DEL MUNICIPIO DE CEPITA</v>
          </cell>
        </row>
        <row r="2543">
          <cell r="AH2543" t="str">
            <v>INSTITUCION UNIVERSITARIA BELLAS ARTES Y CIENCIAS DE BOLIVAR</v>
          </cell>
        </row>
        <row r="2544">
          <cell r="AH2544" t="str">
            <v>INSTITUCIÓN UNIVERSITARIA DE ENVIGADO</v>
          </cell>
        </row>
        <row r="2545">
          <cell r="AH2545" t="str">
            <v>INSTITUTO AMAZÓNICO DE INVESTIGACIONES CIENTIFICAS</v>
          </cell>
        </row>
        <row r="2546">
          <cell r="AH2546" t="str">
            <v>INSTITUTO BANCO DEL TRABAJO PROFESOR JULIO VERGARA</v>
          </cell>
        </row>
        <row r="2547">
          <cell r="AH2547" t="str">
            <v>INSTITUTO CARO Y CUERVO</v>
          </cell>
        </row>
        <row r="2548">
          <cell r="AH2548" t="str">
            <v>INSTITUTO CARTAGUEÑO DE VIVIENDA  INCAVI</v>
          </cell>
        </row>
        <row r="2549">
          <cell r="AH2549" t="str">
            <v>INSTITUTO CEJEÑO DE LA RECREACIÓN Y EL DEPORTE - LA CEJA DEL TAMBO</v>
          </cell>
        </row>
        <row r="2550">
          <cell r="AH2550" t="str">
            <v>INSTITUTO COLOMBIANO AGROPECUARIO</v>
          </cell>
        </row>
        <row r="2551">
          <cell r="AH2551" t="str">
            <v>INSTITUTO COLOMBIANO DE ANTROPOLOGIA E HISTORIA</v>
          </cell>
        </row>
        <row r="2552">
          <cell r="AH2552" t="str">
            <v>INSTITUTO COLOMBIANO DE BALLET CLASICO - INCOLBALLET</v>
          </cell>
        </row>
        <row r="2553">
          <cell r="AH2553" t="str">
            <v>INSTITUTO COLOMBIANO DE BIENESTAR FAMILIAR</v>
          </cell>
        </row>
        <row r="2554">
          <cell r="AH2554" t="str">
            <v>INSTITUTO COLOMBIANO DE CREDITO EDUCATIVO Y ESTUDIOS TECNICOS EN EL EXTERIOR</v>
          </cell>
        </row>
        <row r="2555">
          <cell r="AH2555" t="str">
            <v>INSTITUTO COLOMBIANO DE DESARROLLO RURAL</v>
          </cell>
        </row>
        <row r="2556">
          <cell r="AH2556" t="str">
            <v>INSTITUTO COLOMBIANO PARA LA EVALUACION DE LA EDUCACION</v>
          </cell>
        </row>
        <row r="2557">
          <cell r="AH2557" t="str">
            <v>INSTITUTO DE CASAS FISCALES DEL EJERCITO</v>
          </cell>
        </row>
        <row r="2558">
          <cell r="AH2558" t="str">
            <v>INSTITUTO DE CULTURA  - EL CARMEN DE VIBORAL</v>
          </cell>
        </row>
        <row r="2559">
          <cell r="AH2559" t="str">
            <v>INSTITUTO DE CULTURA DE MALAMBO</v>
          </cell>
        </row>
        <row r="2560">
          <cell r="AH2560" t="str">
            <v>INSTITUTO DE CULTURA DE PEREIRA</v>
          </cell>
        </row>
        <row r="2561">
          <cell r="AH2561" t="str">
            <v>INSTITUTO DE CULTURA Y PATRIMONIO DE ANTIOQUIA</v>
          </cell>
        </row>
        <row r="2562">
          <cell r="AH2562" t="str">
            <v>INSTITUTO DE CULTURA Y TURISMO DE ACACIAS</v>
          </cell>
        </row>
        <row r="2563">
          <cell r="AH2563" t="str">
            <v>INSTITUTO DE CULTURA Y TURISMO DE DUITAMA -CULTURAMA-</v>
          </cell>
        </row>
        <row r="2564">
          <cell r="AH2564" t="str">
            <v>INSTITUTO DE CULTURA Y TURISMO DE PAMPLONA</v>
          </cell>
        </row>
        <row r="2565">
          <cell r="AH2565" t="str">
            <v>INSTITUTO DE CULTURA Y TURISMO DE SAN GIL</v>
          </cell>
        </row>
        <row r="2566">
          <cell r="AH2566" t="str">
            <v>INSTITUTO DE CULTURA Y TURISMO DE VENTAQUEMADA</v>
          </cell>
        </row>
        <row r="2567">
          <cell r="AH2567" t="str">
            <v>INSTITUTO DE CULTURA Y TURISMO, DEPORTE, RECREACION Y APROVECHAMIENTO DEL TIEMPO LIBRE</v>
          </cell>
        </row>
        <row r="2568">
          <cell r="AH2568" t="str">
            <v>INSTITUTO DE CULTURA, TURISMO Y RECREACIÓN  - SOCORRO</v>
          </cell>
        </row>
        <row r="2569">
          <cell r="AH2569" t="str">
            <v>INSTITUTO DE CULTURA, TURISMO, RECREACION Y DEPORTE DE APULO</v>
          </cell>
        </row>
        <row r="2570">
          <cell r="AH2570" t="str">
            <v>INSTITUTO DE DEPORTE Y RECREACIÓN - SAN JUAN NEPOMUCENO</v>
          </cell>
        </row>
        <row r="2571">
          <cell r="AH2571" t="str">
            <v>INSTITUTO DE DEPORTE Y RECREACION DE FACATATIVÁ</v>
          </cell>
        </row>
        <row r="2572">
          <cell r="AH2572" t="str">
            <v>INSTITUTO DE DEPORTE Y RECREACIÓN DEL META - INDERMETA</v>
          </cell>
        </row>
        <row r="2573">
          <cell r="AH2573" t="str">
            <v>INSTITUTO DE DEPORTES DE MARINILLA  INDERMA</v>
          </cell>
        </row>
        <row r="2574">
          <cell r="AH2574" t="str">
            <v>INSTITUTO DE DEPORTES DEL DEPARTAMENTO NORTE DE SANTANDER</v>
          </cell>
        </row>
        <row r="2575">
          <cell r="AH2575" t="str">
            <v>INSTITUTO DE DEPORTES Y RECREACIÓN  DE CALDAS</v>
          </cell>
        </row>
        <row r="2576">
          <cell r="AH2576" t="str">
            <v>INSTITUTO DE DEPORTES Y RECREACIÓN - INDER BARBOSA</v>
          </cell>
        </row>
        <row r="2577">
          <cell r="AH2577" t="str">
            <v>INSTITUTO DE DEPORTES Y RECREACION DE SAN GIL</v>
          </cell>
        </row>
        <row r="2578">
          <cell r="AH2578" t="str">
            <v>INSTITUTO DE DEPORTES Y RECREACION DE YARUMAL - INDERYAL - YARUMAL</v>
          </cell>
        </row>
        <row r="2579">
          <cell r="AH2579" t="str">
            <v>INSTITUTO DE DEPORTES Y RECREACIÓN DEL MUNICIPIO EL ZULIA - INDERZUL -  EN LIQUIDACION</v>
          </cell>
        </row>
        <row r="2580">
          <cell r="AH2580" t="str">
            <v>INSTITUTO DE DEPORTES Y RECREACIÓN -INDER-</v>
          </cell>
        </row>
        <row r="2581">
          <cell r="AH2581" t="str">
            <v>INSTITUTO DE DEPORTES,  RECREACIÓN Y EDUCACIÓN FÍSICA  - YOLOMBÓ</v>
          </cell>
        </row>
        <row r="2582">
          <cell r="AH2582" t="str">
            <v>INSTITUTO DE DEPORTES, RECREACION Y APROVECHAMIENTO DEL TIEMPO LIBRE - DABEIBA</v>
          </cell>
        </row>
        <row r="2583">
          <cell r="AH2583" t="str">
            <v>INSTITUTO DE DEPORTES, RECREACIÓN Y APROVECHAMIENTO DEL TIEMPO LIBRE ENVIGADO - INDER</v>
          </cell>
        </row>
        <row r="2584">
          <cell r="AH2584" t="str">
            <v>INSTITUTO DE DESARROLLO DE ARAUCA - IDEAR</v>
          </cell>
        </row>
        <row r="2585">
          <cell r="AH2585" t="str">
            <v>INSTITUTO DE DESARROLLO DEL META</v>
          </cell>
        </row>
        <row r="2586">
          <cell r="AH2586" t="str">
            <v>INSTITUTO DE DESARROLLO MUNICIPAL DE DOSQUEBRADAS - DOSQUEBRADAS</v>
          </cell>
        </row>
        <row r="2587">
          <cell r="AH2587" t="str">
            <v>INSTITUTO DE DESARROLLO URBANO</v>
          </cell>
        </row>
        <row r="2588">
          <cell r="AH2588" t="str">
            <v>INSTITUTO DE DESARROLLO URBANO Y RURAL DE YOPAL - IDURY</v>
          </cell>
        </row>
        <row r="2589">
          <cell r="AH2589" t="str">
            <v>INSTITUTO DE DESARROLLO URBANO Y VALORIZACION -INDUVAL-</v>
          </cell>
        </row>
        <row r="2590">
          <cell r="AH2590" t="str">
            <v>INSTITUTO DE EDUCACION TECNICA PROFESIONAL DE ROLDANILLO</v>
          </cell>
        </row>
        <row r="2591">
          <cell r="AH2591" t="str">
            <v>INSTITUTO DE FINANCIAMIENTO,  PROMOCIÓN Y DESARROLLO DE CALDAS - INFI CALDAS</v>
          </cell>
        </row>
        <row r="2592">
          <cell r="AH2592" t="str">
            <v>INSTITUTO DE FINANCIAMIENTO, PROMOCIÓN Y DESARROLLO DE IBAGUE -INFIBAGUE</v>
          </cell>
        </row>
        <row r="2593">
          <cell r="AH2593" t="str">
            <v>INSTITUTO DE FINANCIAMIENTO, PROMOCIÓN Y DESARROLLO DE MANIZALES - INFIMANIZALES</v>
          </cell>
        </row>
        <row r="2594">
          <cell r="AH2594" t="str">
            <v>INSTITUTO DE FINANCIAMIENTO, PROMOCION Y DESARROLLO DE MARIQUITA</v>
          </cell>
        </row>
        <row r="2595">
          <cell r="AH2595" t="str">
            <v>INSTITUTO DE FINANCIAMIENTO, PROMOCION Y DESARROLLO DE TULUA</v>
          </cell>
        </row>
        <row r="2596">
          <cell r="AH2596" t="str">
            <v>INSTITUTO DE FOMENTO Y DESARROLLO DE PEREIRA</v>
          </cell>
        </row>
        <row r="2597">
          <cell r="AH2597" t="str">
            <v>INSTITUTO DE FOMENTO Y DESARROLLO ECONÓMICO DEL GUAVIARE - IFEG</v>
          </cell>
        </row>
        <row r="2598">
          <cell r="AH2598" t="str">
            <v>INSTITUTO DE HIDROLOGIA, METEOROLOGIA Y ESTUDIOS AMBIENTALES</v>
          </cell>
        </row>
        <row r="2599">
          <cell r="AH2599" t="str">
            <v>INSTITUTO DE INFRAESTRUCTURA Y CONCESIONES DE CUNDINAMARCA</v>
          </cell>
        </row>
        <row r="2600">
          <cell r="AH2600" t="str">
            <v>INSTITUTO DE INVESTIGACIONES AMBIENTALES DEL PACIFICO JHON VON NEWMAN</v>
          </cell>
        </row>
        <row r="2601">
          <cell r="AH2601" t="str">
            <v>INSTITUTO DE INVESTIGACIONES COSTERAS Y MARINAS JOSE BENITO VIVES DE ANDREIS</v>
          </cell>
        </row>
        <row r="2602">
          <cell r="AH2602" t="str">
            <v>INSTITUTO DE INVESTIGACIONES EN RECURSOS BIOLOGICOS ALEXANDER VON HUMBOLDT</v>
          </cell>
        </row>
        <row r="2603">
          <cell r="AH2603" t="str">
            <v>INSTITUTO DE LA JUVENTUD EL DEPORTE Y LA RECREACION DE BUCARAMANGA - INDERBU</v>
          </cell>
        </row>
        <row r="2604">
          <cell r="AH2604" t="str">
            <v>INSTITUTO DE LA JUVENTUD, EL DEPORTE Y LA RECREACION DE CHIQUINQUIRA</v>
          </cell>
        </row>
        <row r="2605">
          <cell r="AH2605" t="str">
            <v>INSTITUTO DE LAS ARTES Y LA CULTURA - OROCUE</v>
          </cell>
        </row>
        <row r="2606">
          <cell r="AH2606" t="str">
            <v>INSTITUTO DE MOVILIDAD Y TRANSPORTE DE TAME -ARAUCA</v>
          </cell>
        </row>
        <row r="2607">
          <cell r="AH2607" t="str">
            <v>INSTITUTO DE PATRIMONIO Y CULTURA - CARTAGENA DE INDIAS</v>
          </cell>
        </row>
        <row r="2608">
          <cell r="AH2608" t="str">
            <v>INSTITUTO DE PLANIFICACION Y PROMOCION DE SOLUCIONES ENERGETICAS</v>
          </cell>
        </row>
        <row r="2609">
          <cell r="AH2609" t="str">
            <v>INSTITUTO DE RECREACION, DEPORTE, CULTURA Y TURISMO - SAN ANTONIO DEL TEQUENDAMA</v>
          </cell>
        </row>
        <row r="2610">
          <cell r="AH2610" t="str">
            <v>INSTITUTO DE SALUD DE BUCARAMANGA  - ISABU</v>
          </cell>
        </row>
        <row r="2611">
          <cell r="AH2611" t="str">
            <v>INSTITUTO DE SEGUROS SOCIALES</v>
          </cell>
        </row>
        <row r="2612">
          <cell r="AH2612" t="str">
            <v>INSTITUTO DE TRANSITO DE BOYACÁ -ITBOY-</v>
          </cell>
        </row>
        <row r="2613">
          <cell r="AH2613" t="str">
            <v>INSTITUTO DE TRANSITO DEL ATLANTICO</v>
          </cell>
        </row>
        <row r="2614">
          <cell r="AH2614" t="str">
            <v>INSTITUTO DE TRANSITO Y TRANSPORTE DE ACACIAS - META</v>
          </cell>
        </row>
        <row r="2615">
          <cell r="AH2615" t="str">
            <v>INSTITUTO DE TRANSITO Y TRANSPORTE DE ALBANIA - GUAJIRA</v>
          </cell>
        </row>
        <row r="2616">
          <cell r="AH2616" t="str">
            <v>INSTITUTO DE TRÁNSITO Y TRANSPORTE DE CARTAGO</v>
          </cell>
        </row>
        <row r="2617">
          <cell r="AH2617" t="str">
            <v>INSTITUTO DE TRANSITO Y TRANSPORTE DE CHARALÁ</v>
          </cell>
        </row>
        <row r="2618">
          <cell r="AH2618" t="str">
            <v>INSTITUTO DE TRÁNSITO Y TRANSPORTE DE PITALITO</v>
          </cell>
        </row>
        <row r="2619">
          <cell r="AH2619" t="str">
            <v>INSTITUTO DE TRÁNSITO Y TRANSPORTE DEL GUAVIARE - EN LIQUIDACION</v>
          </cell>
        </row>
        <row r="2620">
          <cell r="AH2620" t="str">
            <v>INSTITUTO DE TRANSITO Y TRANSPORTE DEL HUILA</v>
          </cell>
        </row>
        <row r="2621">
          <cell r="AH2621" t="str">
            <v>INSTITUTO DE TRANSITO Y TRANSPORTE MUNICIPAL DE CIENAGA</v>
          </cell>
        </row>
        <row r="2622">
          <cell r="AH2622" t="str">
            <v>INSTITUTO DE TRANSITO Y TRANSPORTE MUNICIPAL DE RIOHACHA</v>
          </cell>
        </row>
        <row r="2623">
          <cell r="AH2623" t="str">
            <v>INSTITUTO DE TRANSITO Y TRANSPORTE SE SOGAMOSO</v>
          </cell>
        </row>
        <row r="2624">
          <cell r="AH2624" t="str">
            <v>INSTITUTO DE TRANSITO Y TRANSPORTES DE ARAUCA</v>
          </cell>
        </row>
        <row r="2625">
          <cell r="AH2625" t="str">
            <v>INSTITUTO DE TRANSITO Y TRANSPORTES DEL CAQUETA - EN LIQUIDACION</v>
          </cell>
        </row>
        <row r="2626">
          <cell r="AH2626" t="str">
            <v>INSTITUTO DE TURISMO DE VILLAVICENCIO</v>
          </cell>
        </row>
        <row r="2627">
          <cell r="AH2627" t="str">
            <v>INSTITUTO DE TURISMO DEL META</v>
          </cell>
        </row>
        <row r="2628">
          <cell r="AH2628" t="str">
            <v>INSTITUTO DE TURISMO Y RECREACIÓN  DE PAIPA</v>
          </cell>
        </row>
        <row r="2629">
          <cell r="AH2629" t="str">
            <v>INSTITUTO DE VALORIZACIÓN DE MANIZALES -INVAMA-</v>
          </cell>
        </row>
        <row r="2630">
          <cell r="AH2630" t="str">
            <v>INSTITUTO DE VALORIZACIÓN MUNICIPAL DE PASTO -INVAP-</v>
          </cell>
        </row>
        <row r="2631">
          <cell r="AH2631" t="str">
            <v>INSTITUTO DE VIVIENDA DE INTERES SOCIAL Y REFORMA URBANA  INVIUNION  - LA UNION</v>
          </cell>
        </row>
        <row r="2632">
          <cell r="AH2632" t="str">
            <v>INSTITUTO DE VIVIENDA DE INTERES SOCIAL Y REFORMA URBANA - PAIPA</v>
          </cell>
        </row>
        <row r="2633">
          <cell r="AH2633" t="str">
            <v>INSTITUTO DE VIVIENDA DE INTERES SOCIAL Y REFORMA URBANA DEL MUNICIPIO DE CHIA</v>
          </cell>
        </row>
        <row r="2634">
          <cell r="AH2634" t="str">
            <v>INSTITUTO DE VIVIENDA MUNICIPAL DE AGUAZUL</v>
          </cell>
        </row>
        <row r="2635">
          <cell r="AH2635" t="str">
            <v>INSTITUTO DE VIVIENDA MUNICIPAL DE BUCARAMANGA - INVISBU -</v>
          </cell>
        </row>
        <row r="2636">
          <cell r="AH2636" t="str">
            <v>INSTITUTO DEL DEPORTE Y LA RECREACIÓN DE GRANADA</v>
          </cell>
        </row>
        <row r="2637">
          <cell r="AH2637" t="str">
            <v>INSTITUTO DEL DEPORTE, LA EDUCACIÓN FÍSICA Y LA RECREACIÓN DEL VALLE DEL CAUCA - INDERVALLE</v>
          </cell>
        </row>
        <row r="2638">
          <cell r="AH2638" t="str">
            <v>INSTITUTO DEL DEPORTE, LA RECREACIÓN Y APROVECHAMIENTO DEL TIEMPO LIBRE - INDER GUARNE</v>
          </cell>
        </row>
        <row r="2639">
          <cell r="AH2639" t="str">
            <v>INSTITUTO DEL DEPORTE, LA RECREACIÓN Y EL APROVECHAMIENTO DEL TIEMPO LIBRE - JUNDEPORTES SANTO DOMINGO</v>
          </cell>
        </row>
        <row r="2640">
          <cell r="AH2640" t="str">
            <v>INSTITUTO DEPARTAMENTAL  DE RECREACIÓN Y DEPORTES DEL ATLÁNTICO - INDEPORTES ATLÁNTICO</v>
          </cell>
        </row>
        <row r="2641">
          <cell r="AH2641" t="str">
            <v>INSTITUTO DEPARTAMENTAL DE ACCION COMUNAL Y PARTICIPACION CIUDADANA DE CUNDINAMARCA</v>
          </cell>
        </row>
        <row r="2642">
          <cell r="AH2642" t="str">
            <v>INSTITUTO DEPARTAMENTAL DE BELLAS ARTES</v>
          </cell>
        </row>
        <row r="2643">
          <cell r="AH2643" t="str">
            <v>INSTITUTO DEPARTAMENTAL DE CULTURA DEL META</v>
          </cell>
        </row>
        <row r="2644">
          <cell r="AH2644" t="str">
            <v>INSTITUTO DEPARTAMENTAL DE CULTURA Y TURISMO DE CUNDINAMARCA</v>
          </cell>
        </row>
        <row r="2645">
          <cell r="AH2645" t="str">
            <v>INSTITUTO DEPARTAMENTAL DE CULTURA, DEPORTE Y TURISMO DEL CAQUETA</v>
          </cell>
        </row>
        <row r="2646">
          <cell r="AH2646" t="str">
            <v>INSTITUTO DEPARTAMENTAL DE DEPORTE Y RECREACION DEL QUINDIO IDERQUI</v>
          </cell>
        </row>
        <row r="2647">
          <cell r="AH2647" t="str">
            <v>INSTITUTO DEPARTAMENTAL DE DEPORTES DE ANTIOQUIA</v>
          </cell>
        </row>
        <row r="2648">
          <cell r="AH2648" t="str">
            <v>INSTITUTO DEPARTAMENTAL DE DEPORTES DE CORDOBA - INDEPORTES CORDOBA</v>
          </cell>
        </row>
        <row r="2649">
          <cell r="AH2649" t="str">
            <v>INSTITUTO DEPARTAMENTAL DE DEPORTES DE LA GUAJIRA</v>
          </cell>
        </row>
        <row r="2650">
          <cell r="AH2650" t="str">
            <v>INSTITUTO DEPARTAMENTAL DE DEPORTES DEL CAUCA</v>
          </cell>
        </row>
        <row r="2651">
          <cell r="AH2651" t="str">
            <v>INSTITUTO DEPARTAMENTAL DE DEPORTES DEL GUAVIARE - INDERG</v>
          </cell>
        </row>
        <row r="2652">
          <cell r="AH2652" t="str">
            <v>INSTITUTO DEPARTAMENTAL DE DEPORTES DEL TOLIMA - INDEPORTES TOLIMA</v>
          </cell>
        </row>
        <row r="2653">
          <cell r="AH2653" t="str">
            <v>INSTITUTO DEPARTAMENTAL DE DEPORTES Y RECREACIÓN DE BOLIVAR</v>
          </cell>
        </row>
        <row r="2654">
          <cell r="AH2654" t="str">
            <v>INSTITUTO DEPARTAMENTAL DE DEPORTES Y RECREACIÓN DE SUCRE - INDERSUCRE</v>
          </cell>
        </row>
        <row r="2655">
          <cell r="AH2655" t="str">
            <v>INSTITUTO DEPARTAMENTAL DE JUVENTUD Y DEPORTE DE BOYACÁ</v>
          </cell>
        </row>
        <row r="2656">
          <cell r="AH2656" t="str">
            <v>INSTITUTO DEPARTAMENTAL DE RECREACION Y DEPORTES - INDERSANTANDER</v>
          </cell>
        </row>
        <row r="2657">
          <cell r="AH2657" t="str">
            <v>INSTITUTO DEPARTAMENTAL DE SALUD DE NARIÑO</v>
          </cell>
        </row>
        <row r="2658">
          <cell r="AH2658" t="str">
            <v>INSTITUTO DEPARTAMENTAL DE SALUD DE NORTE DE SANTANDER</v>
          </cell>
        </row>
        <row r="2659">
          <cell r="AH2659" t="str">
            <v>INSTITUTO DEPARTAMENTAL DE SALUD DEL CAQUETA - EN LIQUIDACION</v>
          </cell>
        </row>
        <row r="2660">
          <cell r="AH2660" t="str">
            <v>INSTITUTO DEPARTAMENTAL DE TRANSITO DEL QUINDIO</v>
          </cell>
        </row>
        <row r="2661">
          <cell r="AH2661" t="str">
            <v>INSTITUTO DEPARTAMENTAL DE TRANSITO Y TRANSPORTE</v>
          </cell>
        </row>
        <row r="2662">
          <cell r="AH2662" t="str">
            <v>INSTITUTO DEPARTAMENTAL DEL DEPORTE Y LA RECREACIÓN  IDDER</v>
          </cell>
        </row>
        <row r="2663">
          <cell r="AH2663" t="str">
            <v>INSTITUTO DEPARTAMENTAL DEL DEPORTE Y LA RECREACIÓN - INDERHUILA</v>
          </cell>
        </row>
        <row r="2664">
          <cell r="AH2664" t="str">
            <v>INSTITUTO DEPARTAMENTAL DEL DEPORTE Y LA RECREACIÓN DE ARAUCA - INDADER</v>
          </cell>
        </row>
        <row r="2665">
          <cell r="AH2665" t="str">
            <v>INSTITUTO DEPARTAMENTAL DEL DEPORTE Y RECREACIÓN - INDEPORTES AMAZONAS</v>
          </cell>
        </row>
        <row r="2666">
          <cell r="AH2666" t="str">
            <v>INSTITUTO DEPARTAMENTAL PARA LA RECREACIÓN Y EL DEPORTE</v>
          </cell>
        </row>
        <row r="2667">
          <cell r="AH2667" t="str">
            <v>INSTITUTO DEPARTAMENTAL PARA LA RECREACIÓN Y EL DEPORTE DE CUNDINAMARCA</v>
          </cell>
        </row>
        <row r="2668">
          <cell r="AH2668" t="str">
            <v>INSTITUTO DEPORTIVO Y RECREATIVO DE FUSAGASUGA -IDERF-</v>
          </cell>
        </row>
        <row r="2669">
          <cell r="AH2669" t="str">
            <v>INSTITUTO DISTRITAL DE DEPORTES Y RECREACION DE CARTAGENA</v>
          </cell>
        </row>
        <row r="2670">
          <cell r="AH2670" t="str">
            <v>INSTITUTO DISTRITAL DE LA PARTICIPACION Y ACCION COMUNAL</v>
          </cell>
        </row>
        <row r="2671">
          <cell r="AH2671" t="str">
            <v>INSTITUTO DISTRITAL DE LAS ARTES</v>
          </cell>
        </row>
        <row r="2672">
          <cell r="AH2672" t="str">
            <v>INSTITUTO DISTRITAL DE PATRIMONIO CULTURAL</v>
          </cell>
        </row>
        <row r="2673">
          <cell r="AH2673" t="str">
            <v>INSTITUTO DISTRITAL DE TRANSITO Y TRANSPORTES INDISTRAN SANTA MARTA - EN LIQUIDACION</v>
          </cell>
        </row>
        <row r="2674">
          <cell r="AH2674" t="str">
            <v>INSTITUTO DISTRITAL DE TURISMO</v>
          </cell>
        </row>
        <row r="2675">
          <cell r="AH2675" t="str">
            <v>INSTITUTO DISTRITAL DE VIVIENDA DE INTERES SOCIAL Y REFORMA URBNA  INVISAN</v>
          </cell>
        </row>
        <row r="2676">
          <cell r="AH2676" t="str">
            <v>INSTITUTO DISTRITAL PARA LA PROTECCION DE LA NIÑEZ Y DE LA JUVENTUD -IDIPRON-</v>
          </cell>
        </row>
        <row r="2677">
          <cell r="AH2677" t="str">
            <v>INSTITUTO DISTRITAL PARA LA RECREACIÓN Y EL DEPORTE -IDRD-</v>
          </cell>
        </row>
        <row r="2678">
          <cell r="AH2678" t="str">
            <v>INSTITUTO FINANCIERO DE BOYACÁ  -INFIBOY -</v>
          </cell>
        </row>
        <row r="2679">
          <cell r="AH2679" t="str">
            <v>INSTITUTO FINANCIERO DE CASANARE  I.F.C.</v>
          </cell>
        </row>
        <row r="2680">
          <cell r="AH2680" t="str">
            <v>INSTITUTO FINANCIERO DEL HUILA -  INFIHUILA</v>
          </cell>
        </row>
        <row r="2681">
          <cell r="AH2681" t="str">
            <v>INSTITUTO FINANCIERO DEL NORTE DE SANTANDER -IFINORTE-</v>
          </cell>
        </row>
        <row r="2682">
          <cell r="AH2682" t="str">
            <v>INSTITUTO FINANCIERO DEL VALLE -INFIVALLE-</v>
          </cell>
        </row>
        <row r="2683">
          <cell r="AH2683" t="str">
            <v>INSTITUTO FINANCIERO PARA EL DESARROLLO DE RISARALDA -INFIDER-</v>
          </cell>
        </row>
        <row r="2684">
          <cell r="AH2684" t="str">
            <v>INSTITUTO GEOGRAFICO AGUSTIN CODAZZI</v>
          </cell>
        </row>
        <row r="2685">
          <cell r="AH2685" t="str">
            <v>INSTITUTO GIRARDOTANO DEL DEPORTE, LA RECREACIÓN Y EL APROVECHAMIENTO DEL TIEMPO LIBRE - IGDER</v>
          </cell>
        </row>
        <row r="2686">
          <cell r="AH2686" t="str">
            <v>INSTITUTO LIBANENSE PARA EL DEPORTE Y LA RECREACIÓN - ILIDER</v>
          </cell>
        </row>
        <row r="2687">
          <cell r="AH2687" t="str">
            <v>INSTITUTO MUNCIPAL DE DEPORTE Y RECREACION DE MITU</v>
          </cell>
        </row>
        <row r="2688">
          <cell r="AH2688" t="str">
            <v>INSTITUTO MUNICIPAL DE CULTURA DE YUMBO</v>
          </cell>
        </row>
        <row r="2689">
          <cell r="AH2689" t="str">
            <v>INSTITUTO MUNICIPAL DE CULTURA JOAQUÍN PIÑEROS CORPAS</v>
          </cell>
        </row>
        <row r="2690">
          <cell r="AH2690" t="str">
            <v>INSTITUTO MUNICIPAL DE CULTURA Y TURISMO DE BUCARAMANGA</v>
          </cell>
        </row>
        <row r="2691">
          <cell r="AH2691" t="str">
            <v>INSTITUTO MUNICIPAL DE CULTURA Y TURISMO DE CAJICA</v>
          </cell>
        </row>
        <row r="2692">
          <cell r="AH2692" t="str">
            <v>INSTITUTO MUNICIPAL DE CULTURA Y TURISMO DE PRADERA</v>
          </cell>
        </row>
        <row r="2693">
          <cell r="AH2693" t="str">
            <v>INSTITUTO MUNICIPAL DE CULTURA Y TURISMO DE PUERTO TEJADA</v>
          </cell>
        </row>
        <row r="2694">
          <cell r="AH2694" t="str">
            <v>INSTITUTO MUNICIPAL DE CULTURA Y TURISMO DE VILLETA</v>
          </cell>
        </row>
        <row r="2695">
          <cell r="AH2695" t="str">
            <v>INSTITUTO MUNICIPAL DE CULTURA,  RECREACIÓN Y  DEPORTE DE ZIPAQUIRÁ</v>
          </cell>
        </row>
        <row r="2696">
          <cell r="AH2696" t="str">
            <v>INSTITUTO MUNICIPAL DE CULTURA, TURISMO, RECREACIÓN Y DEPORTE DE NILO</v>
          </cell>
        </row>
        <row r="2697">
          <cell r="AH2697" t="str">
            <v>INSTITUTO MUNICIPAL DE DEPORTE DE BUCARASICA</v>
          </cell>
        </row>
        <row r="2698">
          <cell r="AH2698" t="str">
            <v>INSTITUTO MUNICIPAL DE DEPORTE DE FLORENCIA - INDERFLO</v>
          </cell>
        </row>
        <row r="2699">
          <cell r="AH2699" t="str">
            <v>INSTITUTO MUNICIPAL DE DEPORTE Y LA RECREACION DE LA UNION - VALLE</v>
          </cell>
        </row>
        <row r="2700">
          <cell r="AH2700" t="str">
            <v>INSTITUTO MUNICIPAL DE DEPORTE Y RECREACIÓN - CAICEDONIA</v>
          </cell>
        </row>
        <row r="2701">
          <cell r="AH2701" t="str">
            <v>INSTITUTO MUNICIPAL DE DEPORTE Y RECREACIÓN - CANDELARIA</v>
          </cell>
        </row>
        <row r="2702">
          <cell r="AH2702" t="str">
            <v>INSTITUTO MUNICIPAL DE DEPORTE Y RECREACION - INDERPASCA</v>
          </cell>
        </row>
        <row r="2703">
          <cell r="AH2703" t="str">
            <v>INSTITUTO MUNICIPAL DE DEPORTE Y RECREACIÓN - RESTREPO VALLE</v>
          </cell>
        </row>
        <row r="2704">
          <cell r="AH2704" t="str">
            <v>INSTITUTO MUNICIPAL DE DEPORTE Y RECREACION DE CUMARIBO</v>
          </cell>
        </row>
        <row r="2705">
          <cell r="AH2705" t="str">
            <v>INSTITUTO MUNICIPAL DE DEPORTE Y RECREACIÓN DE GINEBRA</v>
          </cell>
        </row>
        <row r="2706">
          <cell r="AH2706" t="str">
            <v>INSTITUTO MUNICIPAL DE DEPORTE Y RECREACION DE SOCORRO</v>
          </cell>
        </row>
        <row r="2707">
          <cell r="AH2707" t="str">
            <v>INSTITUTO MUNICIPAL DE DEPORTE Y RECREACION DE VENTAQUEMADA</v>
          </cell>
        </row>
        <row r="2708">
          <cell r="AH2708" t="str">
            <v>INSTITUTO MUNICIPAL DE DEPORTE Y RECREACIÓN IMDER - CHIGORODÓ</v>
          </cell>
        </row>
        <row r="2709">
          <cell r="AH2709" t="str">
            <v>INSTITUTO MUNICIPAL DE DEPORTE Y RECREACION IMDER - EL RETIRO</v>
          </cell>
        </row>
        <row r="2710">
          <cell r="AH2710" t="str">
            <v>INSTITUTO MUNICIPAL DE DEPORTE Y RECREACIÓN IMDER - ULLOA</v>
          </cell>
        </row>
        <row r="2711">
          <cell r="AH2711" t="str">
            <v>INSTITUTO MUNICIPAL DE DEPORTE Y RECREACIÓN IMDER- YOTOCO</v>
          </cell>
        </row>
        <row r="2712">
          <cell r="AH2712" t="str">
            <v>INSTITUTO MUNICIPAL DE DEPORTE, EDUFISICA Y RECREACIÓN  - SAN JUAN BAUTISTA DE GUACARÍ</v>
          </cell>
        </row>
        <row r="2713">
          <cell r="AH2713" t="str">
            <v>INSTITUTO MUNICIPAL DE DEPORTE, LA RECREACION Y EL APROVECHAMIENTO DEL TIEMPO LIBRE - YUMBO</v>
          </cell>
        </row>
        <row r="2714">
          <cell r="AH2714" t="str">
            <v>INSTITUTO MUNICIPAL DE DEPORTE, RECREACIÓN Y EDUCACIÓN FÍSICA IMDEREF - TRUJILLO</v>
          </cell>
        </row>
        <row r="2715">
          <cell r="AH2715" t="str">
            <v>INSTITUTO MUNICIPAL DE DEPORTE, RECREACION, CULTURA Y TURISMO DE PUERTO LOPEZ</v>
          </cell>
        </row>
        <row r="2716">
          <cell r="AH2716" t="str">
            <v>INSTITUTO MUNICIPAL DE DEPORTES - EL DONCELLO</v>
          </cell>
        </row>
        <row r="2717">
          <cell r="AH2717" t="str">
            <v>INSTITUTO MUNICIPAL DE DEPORTES DE ARBOLETES</v>
          </cell>
        </row>
        <row r="2718">
          <cell r="AH2718" t="str">
            <v>INSTITUTO MUNICIPAL DE DEPORTES DE CAREPA</v>
          </cell>
        </row>
        <row r="2719">
          <cell r="AH2719" t="str">
            <v>INSTITUTO MUNICIPAL DE DEPORTES DE MALAMBO</v>
          </cell>
        </row>
        <row r="2720">
          <cell r="AH2720" t="str">
            <v>INSTITUTO MUNICIPAL DE DEPORTES DE VILLAVICENCIO</v>
          </cell>
        </row>
        <row r="2721">
          <cell r="AH2721" t="str">
            <v>INSTITUTO MUNICIPAL DE DEPORTES IMDEPORTES - TURBO</v>
          </cell>
        </row>
        <row r="2722">
          <cell r="AH2722" t="str">
            <v>INSTITUTO MUNICIPAL DE DEPORTES Y RECREACION - FUNES</v>
          </cell>
        </row>
        <row r="2723">
          <cell r="AH2723" t="str">
            <v>INSTITUTO MUNICIPAL DE DEPORTES Y RECREACION  IMDERO  - EL ROSAL</v>
          </cell>
        </row>
        <row r="2724">
          <cell r="AH2724" t="str">
            <v>INSTITUTO MUNICIPAL DE DEPORTES Y RECREACION  INDER  - QUINCHIA</v>
          </cell>
        </row>
        <row r="2725">
          <cell r="AH2725" t="str">
            <v>INSTITUTO MUNICIPAL DE DEPORTES Y RECREACIÓN - PUERTO BOYACÁ</v>
          </cell>
        </row>
        <row r="2726">
          <cell r="AH2726" t="str">
            <v>INSTITUTO MUNICIPAL DE DEPORTES Y RECREACION DE APARTADO</v>
          </cell>
        </row>
        <row r="2727">
          <cell r="AH2727" t="str">
            <v>INSTITUTO MUNICIPAL DE DEPORTES Y RECREACION DE VALLEDUPAR - INDUPAL</v>
          </cell>
        </row>
        <row r="2728">
          <cell r="AH2728" t="str">
            <v>INSTITUTO MUNICIPAL DE EDUCACIÓN FÍSICA, DEPORTE Y RECREACIÓN - IMER RIONEGRO ANTIOQUIA</v>
          </cell>
        </row>
        <row r="2729">
          <cell r="AH2729" t="str">
            <v>INSTITUTO MUNICIPAL DE EMPLEO Y FOMENTO EMPRESARIAL BUCARAMANGA - IMEBU</v>
          </cell>
        </row>
        <row r="2730">
          <cell r="AH2730" t="str">
            <v>INSTITUTO MUNICIPAL DE LA CULTURA DE SOLEDAD</v>
          </cell>
        </row>
        <row r="2731">
          <cell r="AH2731" t="str">
            <v>INSTITUTO MUNICIPAL DE LA VIVIENDA Y REFORMA URBANA DE PASTO -INVIPASTO-</v>
          </cell>
        </row>
        <row r="2732">
          <cell r="AH2732" t="str">
            <v>INSTITUTO MUNICIPAL DE OBRAS CIVILES IMOC DE FLORENCIA</v>
          </cell>
        </row>
        <row r="2733">
          <cell r="AH2733" t="str">
            <v>INSTITUTO MUNICIPAL DE RECREACIÓN Y DEPORTE DE CHIA</v>
          </cell>
        </row>
        <row r="2734">
          <cell r="AH2734" t="str">
            <v>INSTITUTO MUNICIPAL DE RECREACION Y DEPORTE DE TABIO</v>
          </cell>
        </row>
        <row r="2735">
          <cell r="AH2735" t="str">
            <v>INSTITUTO MUNICIPAL DE RECREACIÓN Y DEPORTES - ANAPOIMA</v>
          </cell>
        </row>
        <row r="2736">
          <cell r="AH2736" t="str">
            <v>INSTITUTO MUNICIPAL DE RECREACIÓN Y DEPORTES DE VILLA DEL ROSARIO</v>
          </cell>
        </row>
        <row r="2737">
          <cell r="AH2737" t="str">
            <v>INSTITUTO MUNICIPAL DE RECREACIÓN Y DEPORTES SEVILLA</v>
          </cell>
        </row>
        <row r="2738">
          <cell r="AH2738" t="str">
            <v>INSTITUTO MUNICIPAL DE RECREACIÓN YDEPORTES - TOCANCIPA</v>
          </cell>
        </row>
        <row r="2739">
          <cell r="AH2739" t="str">
            <v>INSTITUTO MUNICIPAL DE RECREACION, DEPORTE Y CULTURA - TINJACA</v>
          </cell>
        </row>
        <row r="2740">
          <cell r="AH2740" t="str">
            <v>INSTITUTO MUNICIPAL DE REFORMA URBANA Y VIVIENDA DE INTERES SOCIAL DE GUADALAJARA DE BUGA -IMVIBUGA</v>
          </cell>
        </row>
        <row r="2741">
          <cell r="AH2741" t="str">
            <v>INSTITUTO MUNICIPAL DE SALUD - LA PLATA HUILA</v>
          </cell>
        </row>
        <row r="2742">
          <cell r="AH2742" t="str">
            <v>INSTITUTO MUNICIPAL DE TRANSITO Y TRANSPORTE</v>
          </cell>
        </row>
        <row r="2743">
          <cell r="AH2743" t="str">
            <v>INSTITUTO MUNICIPAL DE TRANSITO Y TRANSPORTE DE CAMPOALEGRE - HUILA</v>
          </cell>
        </row>
        <row r="2744">
          <cell r="AH2744" t="str">
            <v>INSTITUTO MUNICIPAL DE TRANSITO Y TRANSPORTE DE PEREIRA</v>
          </cell>
        </row>
        <row r="2745">
          <cell r="AH2745" t="str">
            <v>INSTITUTO MUNICIPAL DE TRANSITO Y TRANSPORTE DE SOLEDAD</v>
          </cell>
        </row>
        <row r="2746">
          <cell r="AH2746" t="str">
            <v>INSTITUTO MUNICIPAL DE TRANSPORTE Y TRANSITO DE CERETE</v>
          </cell>
        </row>
        <row r="2747">
          <cell r="AH2747" t="str">
            <v>INSTITUTO MUNICIPAL DE TRANSPORTES Y TRANSITO DE MAICAO</v>
          </cell>
        </row>
        <row r="2748">
          <cell r="AH2748" t="str">
            <v>INSTITUTO MUNICIPAL DE VIVIENDA DE INTERES SOCIAL DE CAJICA</v>
          </cell>
        </row>
        <row r="2749">
          <cell r="AH2749" t="str">
            <v>INSTITUTO MUNICIPAL DE VIVIENDA DE INTERES SOCIAL Y REFORMA URBANA DE COPACABANA</v>
          </cell>
        </row>
        <row r="2750">
          <cell r="AH2750" t="str">
            <v>INSTITUTO MUNICIPAL DE VIVIENDA DE YUMBO</v>
          </cell>
        </row>
        <row r="2751">
          <cell r="AH2751" t="str">
            <v>INSTITUTO MUNICIPAL DE VIVIENDA URBANA Y RURAL  IMVIUR  -LA CALERA</v>
          </cell>
        </row>
        <row r="2752">
          <cell r="AH2752" t="str">
            <v>INSTITUTO MUNICIPAL DE VIVIENDA Y REFORMA URBANA DE ZARZAL</v>
          </cell>
        </row>
        <row r="2753">
          <cell r="AH2753" t="str">
            <v>INSTITUTO MUNICIPAL DEL DEPORTE - DEPORMESA</v>
          </cell>
        </row>
        <row r="2754">
          <cell r="AH2754" t="str">
            <v>INSTITUTO MUNICIPAL DEL DEPORTE INDEPORTES - UNGUÍA</v>
          </cell>
        </row>
        <row r="2755">
          <cell r="AH2755" t="str">
            <v>INSTITUTO MUNICIPAL DEL DEPORTE Y LA RECREACIÓN  - ZARZALEÑO</v>
          </cell>
        </row>
        <row r="2756">
          <cell r="AH2756" t="str">
            <v>INSTITUTO MUNICIPAL DEL DEPORTE Y LA RECREACIÓN - CHOCONTÁ</v>
          </cell>
        </row>
        <row r="2757">
          <cell r="AH2757" t="str">
            <v>INSTITUTO MUNICIPAL DEL DEPORTE Y LA RECREACION - ESPINAL</v>
          </cell>
        </row>
        <row r="2758">
          <cell r="AH2758" t="str">
            <v>INSTITUTO MUNICIPAL DEL DEPORTE Y LA RECREACIÓN - GUADALAJARA DE BUGA</v>
          </cell>
        </row>
        <row r="2759">
          <cell r="AH2759" t="str">
            <v>INSTITUTO MUNICIPAL DEL DEPORTE Y LA RECREACIÓN - IMDRES SILVANIA</v>
          </cell>
        </row>
        <row r="2760">
          <cell r="AH2760" t="str">
            <v>INSTITUTO MUNICIPAL DEL DEPORTE Y LA RECREACIÓN - JAMUNDÍ</v>
          </cell>
        </row>
        <row r="2761">
          <cell r="AH2761" t="str">
            <v>INSTITUTO MUNICIPAL DEL DEPORTE Y LA RECREACIÓN DE PALMIRA</v>
          </cell>
        </row>
        <row r="2762">
          <cell r="AH2762" t="str">
            <v>INSTITUTO MUNICIPAL DEL DEPORTE Y LA RECREACION DE TULUA</v>
          </cell>
        </row>
        <row r="2763">
          <cell r="AH2763" t="str">
            <v>INSTITUTO MUNICIPAL DEL DEPORTE Y LA RECREACIÓN -PUERTO TEJADA</v>
          </cell>
        </row>
        <row r="2764">
          <cell r="AH2764" t="str">
            <v>INSTITUTO MUNICIPAL DEL DEPORTE Y RECREACION DE ARMENIA  - QUINDIO</v>
          </cell>
        </row>
        <row r="2765">
          <cell r="AH2765" t="str">
            <v>INSTITUTO MUNICIPAL DEL DEPORTE Y RECREACIÓN DE LA ESTRELLA - INDERE</v>
          </cell>
        </row>
        <row r="2766">
          <cell r="AH2766" t="str">
            <v>INSTITUTO MUNICIPAL DEL DEPORTE Y RECREACIÓN -SOLEDAD</v>
          </cell>
        </row>
        <row r="2767">
          <cell r="AH2767" t="str">
            <v>INSTITUTO MUNICIPAL DEL DEPORTE, LA RECREACIÓN Y EL TURISMO DE CAJICA</v>
          </cell>
        </row>
        <row r="2768">
          <cell r="AH2768" t="str">
            <v>INSTITUTO MUNICIPAL DEL DEPORTE, LA RECREACIÓN Y LA CULTURA - SANTA ROSA DEL SUR - EN LIQUIDACIÓN</v>
          </cell>
        </row>
        <row r="2769">
          <cell r="AH2769" t="str">
            <v>INSTITUTO MUNICIPAL DEL DEPORTE, LA RECREACIÓN, EL APROVECHAMIENTO DEL TIEMPO LIBRE, LA EDUCACIÓN EXTRAESC. Y EDUC. FÍS. DE SIBATÉ</v>
          </cell>
        </row>
        <row r="2770">
          <cell r="AH2770" t="str">
            <v>INSTITUTO MUNICIPAL PARA EL DEPORTE - SANTANDER DE QUILICHAO</v>
          </cell>
        </row>
        <row r="2771">
          <cell r="AH2771" t="str">
            <v>INSTITUTO MUNICIPAL PARA EL DEPORTE Y LA RECREACION</v>
          </cell>
        </row>
        <row r="2772">
          <cell r="AH2772" t="str">
            <v>INSTITUTO MUNICIPAL PARA EL DEPORTE Y LA RECREACIÓN - FLORIDA VALLE</v>
          </cell>
        </row>
        <row r="2773">
          <cell r="AH2773" t="str">
            <v>INSTITUTO MUNICIPAL PARA EL DEPORTE Y LA RECREACIÓN  INDER - PIENDAMÓ</v>
          </cell>
        </row>
        <row r="2774">
          <cell r="AH2774" t="str">
            <v>INSTITUTO MUNICIPAL PARA EL DEPORTE Y LA RECREACION DE AMALFI</v>
          </cell>
        </row>
        <row r="2775">
          <cell r="AH2775" t="str">
            <v>INSTITUTO MUNICIPAL PARA EL DEPORTE Y LA RECREACION DE IBAGUE</v>
          </cell>
        </row>
        <row r="2776">
          <cell r="AH2776" t="str">
            <v>INSTITUTO MUNICIPAL PARA EL DEPORTE Y LA RECREACION DE MADRID</v>
          </cell>
        </row>
        <row r="2777">
          <cell r="AH2777" t="str">
            <v>INSTITUTO MUNICIPAL PARA EL DEPORTE, LA RECREACIÓN, LA EDUCACION FISICA Y LA EDUCACION FISICA EXTRAESCOLAR - VILLAPINZON</v>
          </cell>
        </row>
        <row r="2778">
          <cell r="AH2778" t="str">
            <v>INSTITUTO MUNICIPAL PARA EL DESARROLLO DE HATO COROZAL</v>
          </cell>
        </row>
        <row r="2779">
          <cell r="AH2779" t="str">
            <v>INSTITUTO MUNICIPAL PARA LA CULTURA Y EL TURISMO -MONIQUIRÁ</v>
          </cell>
        </row>
        <row r="2780">
          <cell r="AH2780" t="str">
            <v>INSTITUTO MUNICIPAL PARA LA RECREACIÓN Y EL DEPORTE - COLDEPORTES FUNZA</v>
          </cell>
        </row>
        <row r="2781">
          <cell r="AH2781" t="str">
            <v>INSTITUTO MUNICIPAL PARA LA RECREACIÓN Y EL DEPORTE  DE SOACHA</v>
          </cell>
        </row>
        <row r="2782">
          <cell r="AH2782" t="str">
            <v>INSTITUTO MUNICIPAL PARA LA RECREACIÓN Y EL DEPORTE - I.M.R.D. CÚCUTA</v>
          </cell>
        </row>
        <row r="2783">
          <cell r="AH2783" t="str">
            <v>INSTITUTO MUNICIPAL PARA LA RECREACIÓN Y EL DEPORTE - SAN JUAN DE PASTO</v>
          </cell>
        </row>
        <row r="2784">
          <cell r="AH2784" t="str">
            <v>INSTITUTO MUNICIPAL PARA LA RECREACION Y EL DEPORTE - SAN LUIS DE PALENQUE</v>
          </cell>
        </row>
        <row r="2785">
          <cell r="AH2785" t="str">
            <v>INSTITUTO MUNICIPAL PARA LA RECREACIÓN Y EL DEPORTE DE COTA</v>
          </cell>
        </row>
        <row r="2786">
          <cell r="AH2786" t="str">
            <v>INSTITUTO MUNICIPAL PARA LA RECREACION Y EL DEPORTE DE LOS PATIOS</v>
          </cell>
        </row>
        <row r="2787">
          <cell r="AH2787" t="str">
            <v>INSTITUTO MUNICIPAL PARA LA RECREACIÓN Y EL DEPORTE DE PACHO</v>
          </cell>
        </row>
        <row r="2788">
          <cell r="AH2788" t="str">
            <v>INSTITUTO MUNICIPAL PARA LA RECREACION Y EL DEPORTE DE ROLDANILLO</v>
          </cell>
        </row>
        <row r="2789">
          <cell r="AH2789" t="str">
            <v>INSTITUTO MUNICIPAL PARA LA RECREACIÓN Y EL DEPORTE -NEMOCON</v>
          </cell>
        </row>
        <row r="2790">
          <cell r="AH2790" t="str">
            <v>INSTITUTO MUNICIPAL PARA LA RECREACION Y EL DEPORTE- PALMAR DE VARELA</v>
          </cell>
        </row>
        <row r="2791">
          <cell r="AH2791" t="str">
            <v>INSTITUTO MUNICIPAL PARA LA RECREACIÓN Y EL DEPORTES DE TENJO</v>
          </cell>
        </row>
        <row r="2792">
          <cell r="AH2792" t="str">
            <v>INSTITUTO NACIONAL DE FORMACION TECNICA PROFESIONAL DE SAN ANDRES Y PROVIDENCIA</v>
          </cell>
        </row>
        <row r="2793">
          <cell r="AH2793" t="str">
            <v>INSTITUTO NACIONAL DE FORMACION TECNICA PROFESIONAL DE SAN JUAN DEL CESAR</v>
          </cell>
        </row>
        <row r="2794">
          <cell r="AH2794" t="str">
            <v>INSTITUTO NACIONAL DE FORMACION TECNICA PROFESIONAL HUMBERTO VELASQUEZ GARCIA</v>
          </cell>
        </row>
        <row r="2795">
          <cell r="AH2795" t="str">
            <v>INSTITUTO NACIONAL DE MEDICINA LEGAL Y CIENCIAS FORENSES</v>
          </cell>
        </row>
        <row r="2796">
          <cell r="AH2796" t="str">
            <v>INSTITUTO NACIONAL DE SALUD</v>
          </cell>
        </row>
        <row r="2797">
          <cell r="AH2797" t="str">
            <v>INSTITUTO NACIONAL DE VIAS</v>
          </cell>
        </row>
        <row r="2798">
          <cell r="AH2798" t="str">
            <v>INSTITUTO NACIONAL DE VIGILANCIA DE MEDICAMENTOS Y ALIMENTOS</v>
          </cell>
        </row>
        <row r="2799">
          <cell r="AH2799" t="str">
            <v>INSTITUTO NACIONAL PARA CIEGOS</v>
          </cell>
        </row>
        <row r="2800">
          <cell r="AH2800" t="str">
            <v>INSTITUTO NACIONAL PARA SORDOS</v>
          </cell>
        </row>
        <row r="2801">
          <cell r="AH2801" t="str">
            <v>INSTITUTO NACIONAL PENITENCIARIO Y CARCELARIO</v>
          </cell>
        </row>
        <row r="2802">
          <cell r="AH2802" t="str">
            <v>INSTITUTO PARA EL DEPORTE Y LA RECREACIÓN - TAURAMENA</v>
          </cell>
        </row>
        <row r="2803">
          <cell r="AH2803" t="str">
            <v>INSTITUTO PARA EL DEPORTE Y LA RECREACION - YOPAL</v>
          </cell>
        </row>
        <row r="2804">
          <cell r="AH2804" t="str">
            <v>INSTITUTO PARA EL DEPORTE Y LA RECREACIÓN DE AGUAZUL</v>
          </cell>
        </row>
        <row r="2805">
          <cell r="AH2805" t="str">
            <v>INSTITUTO PARA EL DEPORTE Y LA RECREACION DE OROCUE</v>
          </cell>
        </row>
        <row r="2806">
          <cell r="AH2806" t="str">
            <v>INSTITUTO PARA EL DEPORTE Y LA RECREACIÓN DE PAZ DE ARIPORO - INDERPAZ</v>
          </cell>
        </row>
        <row r="2807">
          <cell r="AH2807" t="str">
            <v>INSTITUTO PARA EL DEPORTE Y LA RECREACIÓN INDESA - SABANETA</v>
          </cell>
        </row>
        <row r="2808">
          <cell r="AH2808" t="str">
            <v>INSTITUTO PARA EL DEPORTE, LA EDUCACIÓN FÍSICA Y LA RECREACIÓN DE EL PEÑOL INDERPE</v>
          </cell>
        </row>
        <row r="2809">
          <cell r="AH2809" t="str">
            <v>INSTITUTO PARA EL DESARROLLO DE ANTIOQUIA -IDEA-</v>
          </cell>
        </row>
        <row r="2810">
          <cell r="AH2810" t="str">
            <v>INSTITUTO PARA EL DESARROLLO MUNICIPAL DE SANTANDER - IDESAN</v>
          </cell>
        </row>
        <row r="2811">
          <cell r="AH2811" t="str">
            <v>INSTITUTO PARA EL FOMENTO DE LA RECREACION Y EL DEPORTE DE EL SANTUARIO</v>
          </cell>
        </row>
        <row r="2812">
          <cell r="AH2812" t="str">
            <v>INSTITUTO PARA EL FOMENTO DE LA RECREACIÓN Y EL DEPORTE DE SOGAMOSO</v>
          </cell>
        </row>
        <row r="2813">
          <cell r="AH2813" t="str">
            <v>INSTITUTO PARA EL FOMENTO DEL DEPORTE DE BARRANCABERMAJA -INDERBA-</v>
          </cell>
        </row>
        <row r="2814">
          <cell r="AH2814" t="str">
            <v>INSTITUTO PARA LA ECONOMIA SOCIAL</v>
          </cell>
        </row>
        <row r="2815">
          <cell r="AH2815" t="str">
            <v>INSTITUTO PARA LA EDUCACIÓN FÍSICA LA RECREACIÓN Y EL DEPORTE - PAIPA</v>
          </cell>
        </row>
        <row r="2816">
          <cell r="AH2816" t="str">
            <v>INSTITUTO PARA LA EDUCACION FISICA, LA RECREACIÓN Y EL DEPORTE DE DUITAMA</v>
          </cell>
        </row>
        <row r="2817">
          <cell r="AH2817" t="str">
            <v>INSTITUTO PARA LA INVESTIGACIÓN EDUCATIVA Y EL DESARROLLO PEDAGOGICO</v>
          </cell>
        </row>
        <row r="2818">
          <cell r="AH2818" t="str">
            <v>INSTITUTO PARA LA INVESTIGACIÓN Y LA PRESERVACIÓN DEL PATRIMONIO CULTURAL Y NATURAL DEL VALLE DEL CAUCA  INCIVA</v>
          </cell>
        </row>
        <row r="2819">
          <cell r="AH2819" t="str">
            <v>INSTITUTO PARA LA RECREACION Y DEPORTE DE SUBACHOQUE</v>
          </cell>
        </row>
        <row r="2820">
          <cell r="AH2820" t="str">
            <v>INSTITUTO PARA LA RECREACION Y EL DEPORTE DE TUNJA - IRDET-</v>
          </cell>
        </row>
        <row r="2821">
          <cell r="AH2821" t="str">
            <v>INSTITUTO PARA LA RECREACIÓN Y EL DEPORTE DE VICHADA</v>
          </cell>
        </row>
        <row r="2822">
          <cell r="AH2822" t="str">
            <v>INSTITUTO PARA LA RECREACIÓN, EL DEPORTE, LA EDUCACIÓN EXTRAESCOLAR Y EL APROVECHAMIENTO DEL TIEMPO LIBRE EN EL DEPARTAMENTO DE CA</v>
          </cell>
        </row>
        <row r="2823">
          <cell r="AH2823" t="str">
            <v>INSTITUTO PURIFICENSE PARA LA RECREACION Y EL DEPORTE</v>
          </cell>
        </row>
        <row r="2824">
          <cell r="AH2824" t="str">
            <v>INSTITUTO SECCIONAL DE SALUD DEL QUINDIO - EN LIQUIDACION</v>
          </cell>
        </row>
        <row r="2825">
          <cell r="AH2825" t="str">
            <v>INSTITUTO SILVIANO PARA LA RECREACION Y EL DEPORTE</v>
          </cell>
        </row>
        <row r="2826">
          <cell r="AH2826" t="str">
            <v>INSTITUTO SOCIAL DE VIVIENDA Y HABITAT DE MEDELLIN</v>
          </cell>
        </row>
        <row r="2827">
          <cell r="AH2827" t="str">
            <v>INSTITUTO SUPERIOR DE EDUCACION RURAL DE PAMPLONA</v>
          </cell>
        </row>
        <row r="2828">
          <cell r="AH2828" t="str">
            <v>INSTITUTO TECNICO AGRICOLA -ITA-</v>
          </cell>
        </row>
        <row r="2829">
          <cell r="AH2829" t="str">
            <v>INSTITUTO TECNICO CENTRAL DE CARRERAS INTERMEDIAS</v>
          </cell>
        </row>
        <row r="2830">
          <cell r="AH2830" t="str">
            <v>INSTITUTO TECNICO NACIONAL DE COMERCIO SIMON RODRIGUEZ</v>
          </cell>
        </row>
        <row r="2831">
          <cell r="AH2831" t="str">
            <v>INSTITUTO TECNOLOGICO DE SOLEDAD ATLANTICO</v>
          </cell>
        </row>
        <row r="2832">
          <cell r="AH2832" t="str">
            <v>INSTITUTO TECNOLOGICO DEL PUTUMAYO</v>
          </cell>
        </row>
        <row r="2833">
          <cell r="AH2833" t="str">
            <v>INSTITUTO TECNOLOGICO METROPOLITANO</v>
          </cell>
        </row>
        <row r="2834">
          <cell r="AH2834" t="str">
            <v>INSTITUTO TECNOLOGICO MUNICIPAL  ANTONIO JOSÉ CAMACHO</v>
          </cell>
        </row>
        <row r="2835">
          <cell r="AH2835" t="str">
            <v>INSTITUTO TECNOLOGICO PASCUAL BRAVO</v>
          </cell>
        </row>
        <row r="2836">
          <cell r="AH2836" t="str">
            <v>INSTITUTO TOLIMENSE DE FORMACION TECNICA PROFESIONAL</v>
          </cell>
        </row>
        <row r="2837">
          <cell r="AH2837" t="str">
            <v>INSTITUTO UNIVERSITARIO DE LA PAZ - INUPAZ -</v>
          </cell>
        </row>
        <row r="2838">
          <cell r="AH2838" t="str">
            <v>INTERCONEXION ELECTRICA S.A.</v>
          </cell>
        </row>
        <row r="2839">
          <cell r="AH2839" t="str">
            <v>INTERNEXA S.A.</v>
          </cell>
        </row>
        <row r="2840">
          <cell r="AH2840" t="str">
            <v>INZÁ</v>
          </cell>
        </row>
        <row r="2841">
          <cell r="AH2841" t="str">
            <v>IPIALES</v>
          </cell>
        </row>
        <row r="2842">
          <cell r="AH2842" t="str">
            <v>IQUIRA</v>
          </cell>
        </row>
        <row r="2843">
          <cell r="AH2843" t="str">
            <v>ISAGEN S.A.</v>
          </cell>
        </row>
        <row r="2844">
          <cell r="AH2844" t="str">
            <v>ISNOS</v>
          </cell>
        </row>
        <row r="2845">
          <cell r="AH2845" t="str">
            <v>ISTMINA</v>
          </cell>
        </row>
        <row r="2846">
          <cell r="AH2846" t="str">
            <v>ITAGÜÍ</v>
          </cell>
        </row>
        <row r="2847">
          <cell r="AH2847" t="str">
            <v>ITUANGO</v>
          </cell>
        </row>
        <row r="2848">
          <cell r="AH2848" t="str">
            <v>IZA</v>
          </cell>
        </row>
        <row r="2849">
          <cell r="AH2849" t="str">
            <v>JAMBALÓ</v>
          </cell>
        </row>
        <row r="2850">
          <cell r="AH2850" t="str">
            <v>JAMUNDÍ</v>
          </cell>
        </row>
        <row r="2851">
          <cell r="AH2851" t="str">
            <v>JARDÍN</v>
          </cell>
        </row>
        <row r="2852">
          <cell r="AH2852" t="str">
            <v>JARDIN BOTÁNICO DE BOGOTÁ  JOSÉ CELESTINO MUTIS</v>
          </cell>
        </row>
        <row r="2853">
          <cell r="AH2853" t="str">
            <v>JENESANO</v>
          </cell>
        </row>
        <row r="2854">
          <cell r="AH2854" t="str">
            <v>JERICÓ - ANTIOQUIA</v>
          </cell>
        </row>
        <row r="2855">
          <cell r="AH2855" t="str">
            <v>JERICÓ - BOYACA</v>
          </cell>
        </row>
        <row r="2856">
          <cell r="AH2856" t="str">
            <v>JERUSALÉN</v>
          </cell>
        </row>
        <row r="2857">
          <cell r="AH2857" t="str">
            <v>JESÚS MARÍA</v>
          </cell>
        </row>
        <row r="2858">
          <cell r="AH2858" t="str">
            <v>JORDÁN</v>
          </cell>
        </row>
        <row r="2859">
          <cell r="AH2859" t="str">
            <v>JUAN DE ACOSTA</v>
          </cell>
        </row>
        <row r="2860">
          <cell r="AH2860" t="str">
            <v>JUNDEPORTES FÓMEQUE</v>
          </cell>
        </row>
        <row r="2861">
          <cell r="AH2861" t="str">
            <v>JUNÍN</v>
          </cell>
        </row>
        <row r="2862">
          <cell r="AH2862" t="str">
            <v>JUNTA DE DEPORTES COPACABANA</v>
          </cell>
        </row>
        <row r="2863">
          <cell r="AH2863" t="str">
            <v>JUNTA MUNICIPAL DE DEPORTE, RECREACIÓN Y APROVECHAMIENTO DEL TIEMPO LIBRE - LA CAPILLA</v>
          </cell>
        </row>
        <row r="2864">
          <cell r="AH2864" t="str">
            <v>JUNTA MUNICIPAL DE DEPORTES - SAN FRANCISCO</v>
          </cell>
        </row>
        <row r="2865">
          <cell r="AH2865" t="str">
            <v>JUNTA MUNICIPAL DE DEPORTES - UBALÁ</v>
          </cell>
        </row>
        <row r="2866">
          <cell r="AH2866" t="str">
            <v>JUNTA MUNICIPAL DE DEPORTES DE FRONTINO</v>
          </cell>
        </row>
        <row r="2867">
          <cell r="AH2867" t="str">
            <v>JUNTA MUNICIPAL DE DEPORTES DE PAMPLONA</v>
          </cell>
        </row>
        <row r="2868">
          <cell r="AH2868" t="str">
            <v>JUNTA MUNICIPAL DE DEPORTES DE RICAURTE - CUNDEPORTES</v>
          </cell>
        </row>
        <row r="2869">
          <cell r="AH2869" t="str">
            <v>JUNTA MUNICIPAL DE DEPORTES DEL MUNICIPIO DE SESQUILE - SESQUILÉ</v>
          </cell>
        </row>
        <row r="2870">
          <cell r="AH2870" t="str">
            <v>JUNTA MUNICIPAL DE DEPORTES Y RECREACIÓN - ARBOLEDAS</v>
          </cell>
        </row>
        <row r="2871">
          <cell r="AH2871" t="str">
            <v>JUNTA MUNICIPAL DE DEPORTES Y RECREACIÓN - GUATAQUÍ</v>
          </cell>
        </row>
        <row r="2872">
          <cell r="AH2872" t="str">
            <v>JUNTA MUNICIPAL DE DEPORTES Y RECREACION DE RIVERA - HUILA</v>
          </cell>
        </row>
        <row r="2873">
          <cell r="AH2873" t="str">
            <v>JUNTA MUNICIPAL DE FERIAS Y EXPOSICIONES AGROPECUARIAS DE GIRARDOT</v>
          </cell>
        </row>
        <row r="2874">
          <cell r="AH2874" t="str">
            <v>JURADÓ</v>
          </cell>
        </row>
        <row r="2875">
          <cell r="AH2875" t="str">
            <v>LA APARTADA</v>
          </cell>
        </row>
        <row r="2876">
          <cell r="AH2876" t="str">
            <v>LA ARGENTINA</v>
          </cell>
        </row>
        <row r="2877">
          <cell r="AH2877" t="str">
            <v>LA BELLEZA</v>
          </cell>
        </row>
        <row r="2878">
          <cell r="AH2878" t="str">
            <v>LA CALERA</v>
          </cell>
        </row>
        <row r="2879">
          <cell r="AH2879" t="str">
            <v>LA CAPILLA</v>
          </cell>
        </row>
        <row r="2880">
          <cell r="AH2880" t="str">
            <v>LA CEJA DEL TAMBO</v>
          </cell>
        </row>
        <row r="2881">
          <cell r="AH2881" t="str">
            <v>LA CELIA</v>
          </cell>
        </row>
        <row r="2882">
          <cell r="AH2882" t="str">
            <v>LA CRUZ</v>
          </cell>
        </row>
        <row r="2883">
          <cell r="AH2883" t="str">
            <v>LA CUMBRE</v>
          </cell>
        </row>
        <row r="2884">
          <cell r="AH2884" t="str">
            <v>LA DORADA</v>
          </cell>
        </row>
        <row r="2885">
          <cell r="AH2885" t="str">
            <v>LA ESPERANZA</v>
          </cell>
        </row>
        <row r="2886">
          <cell r="AH2886" t="str">
            <v>LA ESTRELLA</v>
          </cell>
        </row>
        <row r="2887">
          <cell r="AH2887" t="str">
            <v>LA FLORIDA</v>
          </cell>
        </row>
        <row r="2888">
          <cell r="AH2888" t="str">
            <v>LA GLORIA</v>
          </cell>
        </row>
        <row r="2889">
          <cell r="AH2889" t="str">
            <v>LA JAGUA DE IBIRICO</v>
          </cell>
        </row>
        <row r="2890">
          <cell r="AH2890" t="str">
            <v>LA JAGUA DEL PILAR</v>
          </cell>
        </row>
        <row r="2891">
          <cell r="AH2891" t="str">
            <v>LA LLANADA</v>
          </cell>
        </row>
        <row r="2892">
          <cell r="AH2892" t="str">
            <v>LA MACARENA</v>
          </cell>
        </row>
        <row r="2893">
          <cell r="AH2893" t="str">
            <v>LA MERCED</v>
          </cell>
        </row>
        <row r="2894">
          <cell r="AH2894" t="str">
            <v>LA MESA</v>
          </cell>
        </row>
        <row r="2895">
          <cell r="AH2895" t="str">
            <v>LA MONTAÑITA</v>
          </cell>
        </row>
        <row r="2896">
          <cell r="AH2896" t="str">
            <v>LA PALMA</v>
          </cell>
        </row>
        <row r="2897">
          <cell r="AH2897" t="str">
            <v>LA PAZ - SANTANDER</v>
          </cell>
        </row>
        <row r="2898">
          <cell r="AH2898" t="str">
            <v>LA PAZ (ROBLES) - CESAR</v>
          </cell>
        </row>
        <row r="2899">
          <cell r="AH2899" t="str">
            <v>LA PEÑA</v>
          </cell>
        </row>
        <row r="2900">
          <cell r="AH2900" t="str">
            <v>LA PINTADA</v>
          </cell>
        </row>
        <row r="2901">
          <cell r="AH2901" t="str">
            <v>LA PLATA</v>
          </cell>
        </row>
        <row r="2902">
          <cell r="AH2902" t="str">
            <v>LA PLAYA DE BELEN</v>
          </cell>
        </row>
        <row r="2903">
          <cell r="AH2903" t="str">
            <v>LA PREVISORA S. A. (COMPA-IA DE SEGUROS GENERALES)</v>
          </cell>
        </row>
        <row r="2904">
          <cell r="AH2904" t="str">
            <v>LA PRIMAVERA</v>
          </cell>
        </row>
        <row r="2905">
          <cell r="AH2905" t="str">
            <v>LA SALINA</v>
          </cell>
        </row>
        <row r="2906">
          <cell r="AH2906" t="str">
            <v>LA SIERRA</v>
          </cell>
        </row>
        <row r="2907">
          <cell r="AH2907" t="str">
            <v>LA TEBAIDA</v>
          </cell>
        </row>
        <row r="2908">
          <cell r="AH2908" t="str">
            <v>LA TOLA</v>
          </cell>
        </row>
        <row r="2909">
          <cell r="AH2909" t="str">
            <v>LA UNIÓN - ANTIOQUIA</v>
          </cell>
        </row>
        <row r="2910">
          <cell r="AH2910" t="str">
            <v>LA UNIÓN - NARIÑO</v>
          </cell>
        </row>
        <row r="2911">
          <cell r="AH2911" t="str">
            <v>LA UNIÓN - VALLE DEL CAUCA</v>
          </cell>
        </row>
        <row r="2912">
          <cell r="AH2912" t="str">
            <v>LA UNIÓN DE SUCRE</v>
          </cell>
        </row>
        <row r="2913">
          <cell r="AH2913" t="str">
            <v>LA URIBE</v>
          </cell>
        </row>
        <row r="2914">
          <cell r="AH2914" t="str">
            <v>LA UVITA</v>
          </cell>
        </row>
        <row r="2915">
          <cell r="AH2915" t="str">
            <v>LA VEGA - CAUCA</v>
          </cell>
        </row>
        <row r="2916">
          <cell r="AH2916" t="str">
            <v>LA VEGA - CUNDINAMARCA</v>
          </cell>
        </row>
        <row r="2917">
          <cell r="AH2917" t="str">
            <v>LA VICTORIA - VALLE DEL CAUCA</v>
          </cell>
        </row>
        <row r="2918">
          <cell r="AH2918" t="str">
            <v>LA VICTORIA -BOYACA</v>
          </cell>
        </row>
        <row r="2919">
          <cell r="AH2919" t="str">
            <v>LA VIRGINIA</v>
          </cell>
        </row>
        <row r="2920">
          <cell r="AH2920" t="str">
            <v>LABATECA</v>
          </cell>
        </row>
        <row r="2921">
          <cell r="AH2921" t="str">
            <v>LABRANZAGRANDE</v>
          </cell>
        </row>
        <row r="2922">
          <cell r="AH2922" t="str">
            <v>LANDÁZURI</v>
          </cell>
        </row>
        <row r="2923">
          <cell r="AH2923" t="str">
            <v>LEASING BANCOLDEX S.A. COMPAÑIA DE FINANCIAMIENTO COMERCIAL</v>
          </cell>
        </row>
        <row r="2924">
          <cell r="AH2924" t="str">
            <v>LEBRIJA</v>
          </cell>
        </row>
        <row r="2925">
          <cell r="AH2925" t="str">
            <v>LEIVA</v>
          </cell>
        </row>
        <row r="2926">
          <cell r="AH2926" t="str">
            <v>LEJANÍAS</v>
          </cell>
        </row>
        <row r="2927">
          <cell r="AH2927" t="str">
            <v>LENGUAZAQUE</v>
          </cell>
        </row>
        <row r="2928">
          <cell r="AH2928" t="str">
            <v>LÉRIDA</v>
          </cell>
        </row>
        <row r="2929">
          <cell r="AH2929" t="str">
            <v>LETICIA</v>
          </cell>
        </row>
        <row r="2930">
          <cell r="AH2930" t="str">
            <v>LIBANO</v>
          </cell>
        </row>
        <row r="2931">
          <cell r="AH2931" t="str">
            <v>LIBORINA</v>
          </cell>
        </row>
        <row r="2932">
          <cell r="AH2932" t="str">
            <v>LINARES</v>
          </cell>
        </row>
        <row r="2933">
          <cell r="AH2933" t="str">
            <v>LITORAL DEL SAN JUAN  (SANTA GENOVEVA DE D.)</v>
          </cell>
        </row>
        <row r="2934">
          <cell r="AH2934" t="str">
            <v>LLORÓ</v>
          </cell>
        </row>
        <row r="2935">
          <cell r="AH2935" t="str">
            <v>LÓPEZ DE MICAY</v>
          </cell>
        </row>
        <row r="2936">
          <cell r="AH2936" t="str">
            <v>LOS ANDES (SOTOMAYOR)</v>
          </cell>
        </row>
        <row r="2937">
          <cell r="AH2937" t="str">
            <v>LOS CÓRDOBAS</v>
          </cell>
        </row>
        <row r="2938">
          <cell r="AH2938" t="str">
            <v>LOS PALMITOS</v>
          </cell>
        </row>
        <row r="2939">
          <cell r="AH2939" t="str">
            <v>LOS PATIOS</v>
          </cell>
        </row>
        <row r="2940">
          <cell r="AH2940" t="str">
            <v>LOS SANTOS</v>
          </cell>
        </row>
        <row r="2941">
          <cell r="AH2941" t="str">
            <v>LOTERIA  DE BOLÍVAR - EN LIQUIDACION</v>
          </cell>
        </row>
        <row r="2942">
          <cell r="AH2942" t="str">
            <v>LOTERIA  DEL CHOCO - EN LIQUIDACION</v>
          </cell>
        </row>
        <row r="2943">
          <cell r="AH2943" t="str">
            <v>LOTERIA  DEL META</v>
          </cell>
        </row>
        <row r="2944">
          <cell r="AH2944" t="str">
            <v>LOTERIA  LA CARTAGENERA</v>
          </cell>
        </row>
        <row r="2945">
          <cell r="AH2945" t="str">
            <v>LOTERIA DE BOGOTÁ</v>
          </cell>
        </row>
        <row r="2946">
          <cell r="AH2946" t="str">
            <v>LOTERIA DE BOLIVAR LA MILLONARIA DEL CARIBE</v>
          </cell>
        </row>
        <row r="2947">
          <cell r="AH2947" t="str">
            <v>LOTERIA DE BOYACÁ</v>
          </cell>
        </row>
        <row r="2948">
          <cell r="AH2948" t="str">
            <v>LOTERIA DE CÚCUTA</v>
          </cell>
        </row>
        <row r="2949">
          <cell r="AH2949" t="str">
            <v>LOTERIA DE CUNDINAMARCA</v>
          </cell>
        </row>
        <row r="2950">
          <cell r="AH2950" t="str">
            <v>LOTERIA DE NARIÑO</v>
          </cell>
        </row>
        <row r="2951">
          <cell r="AH2951" t="str">
            <v>LOTERIA DEL CAQUETÁ - EN LIQUIDACION</v>
          </cell>
        </row>
        <row r="2952">
          <cell r="AH2952" t="str">
            <v>LOTERIA DEL CAUCA</v>
          </cell>
        </row>
        <row r="2953">
          <cell r="AH2953" t="str">
            <v>LOTERIA DEL QUINDIO - E.I.C.E.</v>
          </cell>
        </row>
        <row r="2954">
          <cell r="AH2954" t="str">
            <v>LOTERIA DEL RISARALDA</v>
          </cell>
        </row>
        <row r="2955">
          <cell r="AH2955" t="str">
            <v>LOTERIA DEL TOLIMA</v>
          </cell>
        </row>
        <row r="2956">
          <cell r="AH2956" t="str">
            <v>LOURDES</v>
          </cell>
        </row>
        <row r="2957">
          <cell r="AH2957" t="str">
            <v>LURUACO</v>
          </cell>
        </row>
        <row r="2958">
          <cell r="AH2958" t="str">
            <v>MACANAL</v>
          </cell>
        </row>
        <row r="2959">
          <cell r="AH2959" t="str">
            <v>MACARAVITA</v>
          </cell>
        </row>
        <row r="2960">
          <cell r="AH2960" t="str">
            <v>MACEO</v>
          </cell>
        </row>
        <row r="2961">
          <cell r="AH2961" t="str">
            <v>MACHETÁ</v>
          </cell>
        </row>
        <row r="2962">
          <cell r="AH2962" t="str">
            <v>MADRID - CUNDINAMARCA</v>
          </cell>
        </row>
        <row r="2963">
          <cell r="AH2963" t="str">
            <v>MAGANGUÉ</v>
          </cell>
        </row>
        <row r="2964">
          <cell r="AH2964" t="str">
            <v>MAGÜÍ (PAYÁN)</v>
          </cell>
        </row>
        <row r="2965">
          <cell r="AH2965" t="str">
            <v>MAHATES</v>
          </cell>
        </row>
        <row r="2966">
          <cell r="AH2966" t="str">
            <v>MAICAO</v>
          </cell>
        </row>
        <row r="2967">
          <cell r="AH2967" t="str">
            <v>MAJAGUAL</v>
          </cell>
        </row>
        <row r="2968">
          <cell r="AH2968" t="str">
            <v>MÁLAGA</v>
          </cell>
        </row>
        <row r="2969">
          <cell r="AH2969" t="str">
            <v>MALAMBO</v>
          </cell>
        </row>
        <row r="2970">
          <cell r="AH2970" t="str">
            <v>MALLAMA (PIEDRANCHA)</v>
          </cell>
        </row>
        <row r="2971">
          <cell r="AH2971" t="str">
            <v>MANATÍ</v>
          </cell>
        </row>
        <row r="2972">
          <cell r="AH2972" t="str">
            <v>MANAURE</v>
          </cell>
        </row>
        <row r="2973">
          <cell r="AH2973" t="str">
            <v>MANAURE (BALCÓN DEL CESAR)</v>
          </cell>
        </row>
        <row r="2974">
          <cell r="AH2974" t="str">
            <v>MANÍ</v>
          </cell>
        </row>
        <row r="2975">
          <cell r="AH2975" t="str">
            <v>MANIZALES</v>
          </cell>
        </row>
        <row r="2976">
          <cell r="AH2976" t="str">
            <v>MANIZALES SEGURA S.A</v>
          </cell>
        </row>
        <row r="2977">
          <cell r="AH2977" t="str">
            <v>MANTA</v>
          </cell>
        </row>
        <row r="2978">
          <cell r="AH2978" t="str">
            <v>MANZANARES</v>
          </cell>
        </row>
        <row r="2979">
          <cell r="AH2979" t="str">
            <v>MAPIRIPÁN</v>
          </cell>
        </row>
        <row r="2980">
          <cell r="AH2980" t="str">
            <v>MARGARITA</v>
          </cell>
        </row>
        <row r="2981">
          <cell r="AH2981" t="str">
            <v>MARIA LA BAJA</v>
          </cell>
        </row>
        <row r="2982">
          <cell r="AH2982" t="str">
            <v>MARINILLA</v>
          </cell>
        </row>
        <row r="2983">
          <cell r="AH2983" t="str">
            <v>MARIPÍ</v>
          </cell>
        </row>
        <row r="2984">
          <cell r="AH2984" t="str">
            <v>MARMATO</v>
          </cell>
        </row>
        <row r="2985">
          <cell r="AH2985" t="str">
            <v>MARQUETALIA</v>
          </cell>
        </row>
        <row r="2986">
          <cell r="AH2986" t="str">
            <v>MARSELLA</v>
          </cell>
        </row>
        <row r="2987">
          <cell r="AH2987" t="str">
            <v>MARULANDA</v>
          </cell>
        </row>
        <row r="2988">
          <cell r="AH2988" t="str">
            <v>MATADERO DE LA VIRGINIA LTDA.</v>
          </cell>
        </row>
        <row r="2989">
          <cell r="AH2989" t="str">
            <v>MATANZA</v>
          </cell>
        </row>
        <row r="2990">
          <cell r="AH2990" t="str">
            <v>MEDELLÍN</v>
          </cell>
        </row>
        <row r="2991">
          <cell r="AH2991" t="str">
            <v>MEDINA</v>
          </cell>
        </row>
        <row r="2992">
          <cell r="AH2992" t="str">
            <v>MEDIO ATRATO</v>
          </cell>
        </row>
        <row r="2993">
          <cell r="AH2993" t="str">
            <v>MEDIO BAUDÓ</v>
          </cell>
        </row>
        <row r="2994">
          <cell r="AH2994" t="str">
            <v>MEDIO SAN JUAN</v>
          </cell>
        </row>
        <row r="2995">
          <cell r="AH2995" t="str">
            <v>MEGABUS S.A.</v>
          </cell>
        </row>
        <row r="2996">
          <cell r="AH2996" t="str">
            <v>MELGAR</v>
          </cell>
        </row>
        <row r="2997">
          <cell r="AH2997" t="str">
            <v>MERCADERES</v>
          </cell>
        </row>
        <row r="2998">
          <cell r="AH2998" t="str">
            <v>MERCADOS DE ARMENIA S.A. - EN LIQUIDACION</v>
          </cell>
        </row>
        <row r="2999">
          <cell r="AH2999" t="str">
            <v>MESETAS</v>
          </cell>
        </row>
        <row r="3000">
          <cell r="AH3000" t="str">
            <v>MESITAS DEL COLEGIO</v>
          </cell>
        </row>
        <row r="3001">
          <cell r="AH3001" t="str">
            <v>METRO SABANAS S.A.S.</v>
          </cell>
        </row>
        <row r="3002">
          <cell r="AH3002" t="str">
            <v>METROPARQUES EICE</v>
          </cell>
        </row>
        <row r="3003">
          <cell r="AH3003" t="str">
            <v>METROPLUS S.A.</v>
          </cell>
        </row>
        <row r="3004">
          <cell r="AH3004" t="str">
            <v>METROTEL REDES S.A.</v>
          </cell>
        </row>
        <row r="3005">
          <cell r="AH3005" t="str">
            <v>METROVIVIENDA</v>
          </cell>
        </row>
        <row r="3006">
          <cell r="AH3006" t="str">
            <v>METROVIVIENDA CUCUTA</v>
          </cell>
        </row>
        <row r="3007">
          <cell r="AH3007" t="str">
            <v>MILÁN</v>
          </cell>
        </row>
        <row r="3008">
          <cell r="AH3008" t="str">
            <v>MINISTERIO DE AGRICULTURA Y DESARROLLO RURAL</v>
          </cell>
        </row>
        <row r="3009">
          <cell r="AH3009" t="str">
            <v>MINISTERIO DE AMBIENTE Y DESARROLLO SOSTENIBLE</v>
          </cell>
        </row>
        <row r="3010">
          <cell r="AH3010" t="str">
            <v>MINISTERIO DE COMERCIO, INDUSTRIA Y TURISMO</v>
          </cell>
        </row>
        <row r="3011">
          <cell r="AH3011" t="str">
            <v>MINISTERIO DE DEFENSA NACIONAL</v>
          </cell>
        </row>
        <row r="3012">
          <cell r="AH3012" t="str">
            <v>MINISTERIO DE EDUCACION NACIONAL</v>
          </cell>
        </row>
        <row r="3013">
          <cell r="AH3013" t="str">
            <v>MINISTERIO DE HACIENDA Y CREDITO PUBLICO</v>
          </cell>
        </row>
        <row r="3014">
          <cell r="AH3014" t="str">
            <v>MINISTERIO DE JUSTICIA Y DEL DERECHO</v>
          </cell>
        </row>
        <row r="3015">
          <cell r="AH3015" t="str">
            <v>MINISTERIO DE LA CULTURA</v>
          </cell>
        </row>
        <row r="3016">
          <cell r="AH3016" t="str">
            <v>MINISTERIO DE MINAS Y ENERGIA</v>
          </cell>
        </row>
        <row r="3017">
          <cell r="AH3017" t="str">
            <v>MINISTERIO DE RELACIONES EXTERIORES</v>
          </cell>
        </row>
        <row r="3018">
          <cell r="AH3018" t="str">
            <v>MINISTERIO DE SALUD Y PROTECCIÓN SOCIAL</v>
          </cell>
        </row>
        <row r="3019">
          <cell r="AH3019" t="str">
            <v>MINISTERIO DE TECNOLOGIAS DE LA INFORMACION Y LAS COMUNICACIONES</v>
          </cell>
        </row>
        <row r="3020">
          <cell r="AH3020" t="str">
            <v>MINISTERIO DE TRANSPORTE</v>
          </cell>
        </row>
        <row r="3021">
          <cell r="AH3021" t="str">
            <v>MINISTERIO DE VIVIENDA, CIUDAD Y TERRITORIO</v>
          </cell>
        </row>
        <row r="3022">
          <cell r="AH3022" t="str">
            <v>MINISTERIO DEL INTERIOR.</v>
          </cell>
        </row>
        <row r="3023">
          <cell r="AH3023" t="str">
            <v>MINISTERIO DEL TRABAJO</v>
          </cell>
        </row>
        <row r="3024">
          <cell r="AH3024" t="str">
            <v>MIRAFLORES - BOYACÁ</v>
          </cell>
        </row>
        <row r="3025">
          <cell r="AH3025" t="str">
            <v>MIRAFLORES - GUAVIARE</v>
          </cell>
        </row>
        <row r="3026">
          <cell r="AH3026" t="str">
            <v>MIRANDA</v>
          </cell>
        </row>
        <row r="3027">
          <cell r="AH3027" t="str">
            <v>MISTRATÓ</v>
          </cell>
        </row>
        <row r="3028">
          <cell r="AH3028" t="str">
            <v>MITU</v>
          </cell>
        </row>
        <row r="3029">
          <cell r="AH3029" t="str">
            <v>MOGOTES</v>
          </cell>
        </row>
        <row r="3030">
          <cell r="AH3030" t="str">
            <v>MOLAGAVITA</v>
          </cell>
        </row>
        <row r="3031">
          <cell r="AH3031" t="str">
            <v>MOMÍL</v>
          </cell>
        </row>
        <row r="3032">
          <cell r="AH3032" t="str">
            <v>MONGUA</v>
          </cell>
        </row>
        <row r="3033">
          <cell r="AH3033" t="str">
            <v>MONGUÍ</v>
          </cell>
        </row>
        <row r="3034">
          <cell r="AH3034" t="str">
            <v>MONIQUIRÁ</v>
          </cell>
        </row>
        <row r="3035">
          <cell r="AH3035" t="str">
            <v>MONTEBELLO</v>
          </cell>
        </row>
        <row r="3036">
          <cell r="AH3036" t="str">
            <v>MONTECRISTO</v>
          </cell>
        </row>
        <row r="3037">
          <cell r="AH3037" t="str">
            <v>MONTELÍBANO</v>
          </cell>
        </row>
        <row r="3038">
          <cell r="AH3038" t="str">
            <v>MONTENEGRO</v>
          </cell>
        </row>
        <row r="3039">
          <cell r="AH3039" t="str">
            <v>MONTERÍA</v>
          </cell>
        </row>
        <row r="3040">
          <cell r="AH3040" t="str">
            <v>MONTERÍA CIUDAD AMABLE S.A.S.</v>
          </cell>
        </row>
        <row r="3041">
          <cell r="AH3041" t="str">
            <v>MONTERREY</v>
          </cell>
        </row>
        <row r="3042">
          <cell r="AH3042" t="str">
            <v>MOÑITOS</v>
          </cell>
        </row>
        <row r="3043">
          <cell r="AH3043" t="str">
            <v>MORALES - BOLIVAR</v>
          </cell>
        </row>
        <row r="3044">
          <cell r="AH3044" t="str">
            <v>MORALES - CAUCA</v>
          </cell>
        </row>
        <row r="3045">
          <cell r="AH3045" t="str">
            <v>MORELIA</v>
          </cell>
        </row>
        <row r="3046">
          <cell r="AH3046" t="str">
            <v>MORROA</v>
          </cell>
        </row>
        <row r="3047">
          <cell r="AH3047" t="str">
            <v>MOSQUERA - CUNDINAMARCA</v>
          </cell>
        </row>
        <row r="3048">
          <cell r="AH3048" t="str">
            <v>MOSQUERA - NARIÑO</v>
          </cell>
        </row>
        <row r="3049">
          <cell r="AH3049" t="str">
            <v>MOTAVITA</v>
          </cell>
        </row>
        <row r="3050">
          <cell r="AH3050" t="str">
            <v>MUNICIPIOS ASOCIADOS DE LA SUBREGIÓN DE EMBALSES DE LOS RIOS NEGRO Y NARE -MASER-</v>
          </cell>
        </row>
        <row r="3051">
          <cell r="AH3051" t="str">
            <v>MUNICIPIOS ASOCIADOS DE LA TRONCAL DEL NORDESTE ANTIOQUEÑO</v>
          </cell>
        </row>
        <row r="3052">
          <cell r="AH3052" t="str">
            <v>MUNICIPIOS ASOCIADOS DE URABA -MADU-</v>
          </cell>
        </row>
        <row r="3053">
          <cell r="AH3053" t="str">
            <v>MUNICIPIOS ASOCIADOS DEL ALTIPLANO Y ORIENTE ANTIOQUEÑO -MASORA-</v>
          </cell>
        </row>
        <row r="3054">
          <cell r="AH3054" t="str">
            <v>MUNICIPIOS ASOCIADOS DEL BAJO PUTUMAYO</v>
          </cell>
        </row>
        <row r="3055">
          <cell r="AH3055" t="str">
            <v>MUNICIPIOS ASOCIADOS DEL VALLE DE ABURRA -MASA-</v>
          </cell>
        </row>
        <row r="3056">
          <cell r="AH3056" t="str">
            <v>MUNICIPIOS UNIDOS DEL SURORIENTE ANTIOQUEÑO -MUSA-</v>
          </cell>
        </row>
        <row r="3057">
          <cell r="AH3057" t="str">
            <v>MURILLO</v>
          </cell>
        </row>
        <row r="3058">
          <cell r="AH3058" t="str">
            <v>MURINDÓ</v>
          </cell>
        </row>
        <row r="3059">
          <cell r="AH3059" t="str">
            <v>MUTATÁ</v>
          </cell>
        </row>
        <row r="3060">
          <cell r="AH3060" t="str">
            <v>MUTISCUA</v>
          </cell>
        </row>
        <row r="3061">
          <cell r="AH3061" t="str">
            <v>MUZO</v>
          </cell>
        </row>
        <row r="3062">
          <cell r="AH3062" t="str">
            <v>NARIÑO - ANTIOQUIA</v>
          </cell>
        </row>
        <row r="3063">
          <cell r="AH3063" t="str">
            <v>NARIÑO - CUNDINAMARCA</v>
          </cell>
        </row>
        <row r="3064">
          <cell r="AH3064" t="str">
            <v>NARIÑO - NARIÑO</v>
          </cell>
        </row>
        <row r="3065">
          <cell r="AH3065" t="str">
            <v>NÁTAGA</v>
          </cell>
        </row>
        <row r="3066">
          <cell r="AH3066" t="str">
            <v>NATAGAIMA</v>
          </cell>
        </row>
        <row r="3067">
          <cell r="AH3067" t="str">
            <v>NECHÍ</v>
          </cell>
        </row>
        <row r="3068">
          <cell r="AH3068" t="str">
            <v>NECOCLÍ</v>
          </cell>
        </row>
        <row r="3069">
          <cell r="AH3069" t="str">
            <v>NEIRA</v>
          </cell>
        </row>
        <row r="3070">
          <cell r="AH3070" t="str">
            <v>NEIVA</v>
          </cell>
        </row>
        <row r="3071">
          <cell r="AH3071" t="str">
            <v>NEMOCÓN</v>
          </cell>
        </row>
        <row r="3072">
          <cell r="AH3072" t="str">
            <v>NILO</v>
          </cell>
        </row>
        <row r="3073">
          <cell r="AH3073" t="str">
            <v>NIMAIMA</v>
          </cell>
        </row>
        <row r="3074">
          <cell r="AH3074" t="str">
            <v>NOBSA</v>
          </cell>
        </row>
        <row r="3075">
          <cell r="AH3075" t="str">
            <v>NOCAIMA</v>
          </cell>
        </row>
        <row r="3076">
          <cell r="AH3076" t="str">
            <v>NORCASIA</v>
          </cell>
        </row>
        <row r="3077">
          <cell r="AH3077" t="str">
            <v>NOROSI</v>
          </cell>
        </row>
        <row r="3078">
          <cell r="AH3078" t="str">
            <v>NÓVITA</v>
          </cell>
        </row>
        <row r="3079">
          <cell r="AH3079" t="str">
            <v>NUEVA GRANADA</v>
          </cell>
        </row>
        <row r="3080">
          <cell r="AH3080" t="str">
            <v>NUEVO COLÓN</v>
          </cell>
        </row>
        <row r="3081">
          <cell r="AH3081" t="str">
            <v>NUNCHÍA</v>
          </cell>
        </row>
        <row r="3082">
          <cell r="AH3082" t="str">
            <v>NUQUÍ</v>
          </cell>
        </row>
        <row r="3083">
          <cell r="AH3083" t="str">
            <v>OBANDO</v>
          </cell>
        </row>
        <row r="3084">
          <cell r="AH3084" t="str">
            <v>OCAMONTE</v>
          </cell>
        </row>
        <row r="3085">
          <cell r="AH3085" t="str">
            <v>OCAÑA</v>
          </cell>
        </row>
        <row r="3086">
          <cell r="AH3086" t="str">
            <v>OIBA</v>
          </cell>
        </row>
        <row r="3087">
          <cell r="AH3087" t="str">
            <v>OIBANA DE SERVICIOS PUBLICOS</v>
          </cell>
        </row>
        <row r="3088">
          <cell r="AH3088" t="str">
            <v>OICATÁ</v>
          </cell>
        </row>
        <row r="3089">
          <cell r="AH3089" t="str">
            <v>OLAYA</v>
          </cell>
        </row>
        <row r="3090">
          <cell r="AH3090" t="str">
            <v>OLAYA HERRERA (BOCAS DE SATINGA)</v>
          </cell>
        </row>
        <row r="3091">
          <cell r="AH3091" t="str">
            <v>OLEODUCTO BICENTENARIO DE COLOMBIA S.A.S.</v>
          </cell>
        </row>
        <row r="3092">
          <cell r="AH3092" t="str">
            <v>OLEODUCTO CENTRAL S.A.</v>
          </cell>
        </row>
        <row r="3093">
          <cell r="AH3093" t="str">
            <v>OLEODUCTO DE COLOMBIA S.A.</v>
          </cell>
        </row>
        <row r="3094">
          <cell r="AH3094" t="str">
            <v>ONZAGA</v>
          </cell>
        </row>
        <row r="3095">
          <cell r="AH3095" t="str">
            <v>OPORAPA</v>
          </cell>
        </row>
        <row r="3096">
          <cell r="AH3096" t="str">
            <v>ORBITEL SERVICIOS INTERNACIONALES S.A.</v>
          </cell>
        </row>
        <row r="3097">
          <cell r="AH3097" t="str">
            <v>ORGANIZACION REGIONAL DE TELEVISION DEL EJE CAFETERO</v>
          </cell>
        </row>
        <row r="3098">
          <cell r="AH3098" t="str">
            <v>ORITO</v>
          </cell>
        </row>
        <row r="3099">
          <cell r="AH3099" t="str">
            <v>OROCUÉ</v>
          </cell>
        </row>
        <row r="3100">
          <cell r="AH3100" t="str">
            <v>ORQUESTA FILARMONICA DE BOGOTÁ</v>
          </cell>
        </row>
        <row r="3101">
          <cell r="AH3101" t="str">
            <v>ORTEGA</v>
          </cell>
        </row>
        <row r="3102">
          <cell r="AH3102" t="str">
            <v>OSPINA</v>
          </cell>
        </row>
        <row r="3103">
          <cell r="AH3103" t="str">
            <v>OTANCHE</v>
          </cell>
        </row>
        <row r="3104">
          <cell r="AH3104" t="str">
            <v>OVEJAS</v>
          </cell>
        </row>
        <row r="3105">
          <cell r="AH3105" t="str">
            <v>PA  ESE RITA ARANGO ALVAREZ DEL PINO EN LIQUIDACION - ARCHIVO</v>
          </cell>
        </row>
        <row r="3106">
          <cell r="AH3106" t="str">
            <v>PA. E.S.E. HOSPITAL UNIVERSITARIO DE BARRANQUILLA EN LIQUIDACION</v>
          </cell>
        </row>
        <row r="3107">
          <cell r="AH3107" t="str">
            <v>PACHAVITA</v>
          </cell>
        </row>
        <row r="3108">
          <cell r="AH3108" t="str">
            <v>PACHO</v>
          </cell>
        </row>
        <row r="3109">
          <cell r="AH3109" t="str">
            <v>PÁCORA</v>
          </cell>
        </row>
        <row r="3110">
          <cell r="AH3110" t="str">
            <v>PADILLA</v>
          </cell>
        </row>
        <row r="3111">
          <cell r="AH3111" t="str">
            <v>PÁEZ - BOYACA</v>
          </cell>
        </row>
        <row r="3112">
          <cell r="AH3112" t="str">
            <v>PÁEZ (BELALCÁZAR) - CAUCA</v>
          </cell>
        </row>
        <row r="3113">
          <cell r="AH3113" t="str">
            <v>PAICOL</v>
          </cell>
        </row>
        <row r="3114">
          <cell r="AH3114" t="str">
            <v>PAILITAS</v>
          </cell>
        </row>
        <row r="3115">
          <cell r="AH3115" t="str">
            <v>PAIME</v>
          </cell>
        </row>
        <row r="3116">
          <cell r="AH3116" t="str">
            <v>PAIPA</v>
          </cell>
        </row>
        <row r="3117">
          <cell r="AH3117" t="str">
            <v>PAJARITO</v>
          </cell>
        </row>
        <row r="3118">
          <cell r="AH3118" t="str">
            <v>PALERMO</v>
          </cell>
        </row>
        <row r="3119">
          <cell r="AH3119" t="str">
            <v>PALESTINA - CALDAS</v>
          </cell>
        </row>
        <row r="3120">
          <cell r="AH3120" t="str">
            <v>PALESTINA - HUILA</v>
          </cell>
        </row>
        <row r="3121">
          <cell r="AH3121" t="str">
            <v>PALMAR</v>
          </cell>
        </row>
        <row r="3122">
          <cell r="AH3122" t="str">
            <v>PALMAR DE VARELA</v>
          </cell>
        </row>
        <row r="3123">
          <cell r="AH3123" t="str">
            <v>PALMAS DEL SOCORRO</v>
          </cell>
        </row>
        <row r="3124">
          <cell r="AH3124" t="str">
            <v>PALMIRA</v>
          </cell>
        </row>
        <row r="3125">
          <cell r="AH3125" t="str">
            <v>PALOCABILDO</v>
          </cell>
        </row>
        <row r="3126">
          <cell r="AH3126" t="str">
            <v>PAMPLONA</v>
          </cell>
        </row>
        <row r="3127">
          <cell r="AH3127" t="str">
            <v>PAMPLONITA</v>
          </cell>
        </row>
        <row r="3128">
          <cell r="AH3128" t="str">
            <v>PANDI</v>
          </cell>
        </row>
        <row r="3129">
          <cell r="AH3129" t="str">
            <v>PANQUEBA</v>
          </cell>
        </row>
        <row r="3130">
          <cell r="AH3130" t="str">
            <v>PAP  BANCO CENTRAL HIPOTECARIO EN LIQUIDACION / ARCHIVO BOGOTA</v>
          </cell>
        </row>
        <row r="3131">
          <cell r="AH3131" t="str">
            <v>PAP - PAR ESE JOSE PRUDENCIO PADILLA EN LIQUIDACION</v>
          </cell>
        </row>
        <row r="3132">
          <cell r="AH3132" t="str">
            <v>PAP - PAR ESE POLICARPA SALAVARRIETA EN LIQUIDACION</v>
          </cell>
        </row>
        <row r="3133">
          <cell r="AH3133" t="str">
            <v>PAP BANCO CAFETERO EN LIQ - PAR</v>
          </cell>
        </row>
        <row r="3134">
          <cell r="AH3134" t="str">
            <v>PAP CAJA AGRARIA PENSIONES</v>
          </cell>
        </row>
        <row r="3135">
          <cell r="AH3135" t="str">
            <v>PAP EMPRESA COLOMBIANA DE GAS  PAR</v>
          </cell>
        </row>
        <row r="3136">
          <cell r="AH3136" t="str">
            <v>PAP ESE JOSE PRUDENCIO PADILLA - ARCHIVO</v>
          </cell>
        </row>
        <row r="3137">
          <cell r="AH3137" t="str">
            <v>PAP FIDUESTADO - PAR</v>
          </cell>
        </row>
        <row r="3138">
          <cell r="AH3138" t="str">
            <v>PAP METROTRANSITO EN LIQ. - PAR</v>
          </cell>
        </row>
        <row r="3139">
          <cell r="AH3139" t="str">
            <v>PAP PAR ESE RITA ARANGO ALVAREZ DEL PINO - EN LIQUIDACION</v>
          </cell>
        </row>
        <row r="3140">
          <cell r="AH3140" t="str">
            <v>PAP PAR INSTITUTO NACIONAL DE VIVIENDA DE INTERES SOCIAL Y REFORMA URBANA EN LIQUIDACION.</v>
          </cell>
        </row>
        <row r="3141">
          <cell r="AH3141" t="str">
            <v>PAR - PATRIMONIO AUTONOMO DE REMANENTES DE TELECOMUNICACIONES</v>
          </cell>
        </row>
        <row r="3142">
          <cell r="AH3142" t="str">
            <v>PAR BANCO CENTRAL HIPOTECARIO -EN LIQUIDACION</v>
          </cell>
        </row>
        <row r="3143">
          <cell r="AH3143" t="str">
            <v>PAR BANCO DEL ESTADO - EN LIQUIDACION</v>
          </cell>
        </row>
        <row r="3144">
          <cell r="AH3144" t="str">
            <v>PAR CAJANAL  S.A. EPS EN LIQUIDACION</v>
          </cell>
        </row>
        <row r="3145">
          <cell r="AH3145" t="str">
            <v>PAR E.S.E. ANTONIO NARIÑO</v>
          </cell>
        </row>
        <row r="3146">
          <cell r="AH3146" t="str">
            <v>PAR ELECTRIFICADORA DE BOLIVAR S.A. ESP -EN LIQUIDACION</v>
          </cell>
        </row>
        <row r="3147">
          <cell r="AH3147" t="str">
            <v>PAR ELECTRIFICADORA DE CORDOBA S.A. ESP - EN LIQUIDACION</v>
          </cell>
        </row>
        <row r="3148">
          <cell r="AH3148" t="str">
            <v>PAR ELECTRIFICADORA DE LA GUAJIRA S.A. ESP - EN LIQUIDACION</v>
          </cell>
        </row>
        <row r="3149">
          <cell r="AH3149" t="str">
            <v>PAR ELECTRIFICADORA DE SUCRE S.A. ESP - EN LIQUIDACION</v>
          </cell>
        </row>
        <row r="3150">
          <cell r="AH3150" t="str">
            <v>PAR ELECTRIFICADORA DEL ATLANTICO S.A. ESP -EN LIQUIDACION</v>
          </cell>
        </row>
        <row r="3151">
          <cell r="AH3151" t="str">
            <v>PAR ELECTRIFICADORA DEL CHOCO S.A. ESP - EN LIQUIDACION</v>
          </cell>
        </row>
        <row r="3152">
          <cell r="AH3152" t="str">
            <v>PAR ELECTRIFICADORA DEL MAGDALENA S.A. ESP EN LIQUIDACION</v>
          </cell>
        </row>
        <row r="3153">
          <cell r="AH3153" t="str">
            <v>PAR EMPRESA DE ENERGIA ELECTRICA DE MAGANGUE</v>
          </cell>
        </row>
        <row r="3154">
          <cell r="AH3154" t="str">
            <v>PAR ESE LUIS CARLOS GALAN SARMIENTO - EN LIQUIDACION</v>
          </cell>
        </row>
        <row r="3155">
          <cell r="AH3155" t="str">
            <v>PAR ESE LUIS CARLOS GALAN SARMIENTO EN LIQUIDACION - ARCHIVO</v>
          </cell>
        </row>
        <row r="3156">
          <cell r="AH3156" t="str">
            <v>PAR ESE POLICARPA SALAVARRIETA EN LIQUIDACION - ARCHIVO</v>
          </cell>
        </row>
        <row r="3157">
          <cell r="AH3157" t="str">
            <v>PARADOR DE TRANSPORTES DE LA PLATA S.A.</v>
          </cell>
        </row>
        <row r="3158">
          <cell r="AH3158" t="str">
            <v>PÁRAMO</v>
          </cell>
        </row>
        <row r="3159">
          <cell r="AH3159" t="str">
            <v>PARAPAT - PATRIMONIO AUTONOMO DE REMANENTES DE TELECOMUNICACIONES</v>
          </cell>
        </row>
        <row r="3160">
          <cell r="AH3160" t="str">
            <v>PARATEBUENO</v>
          </cell>
        </row>
        <row r="3161">
          <cell r="AH3161" t="str">
            <v>PARQUE TECNOLOGICO DE ANTIOQUIA S.A.</v>
          </cell>
        </row>
        <row r="3162">
          <cell r="AH3162" t="str">
            <v>PARQUES NACIONALES NATURALES DE COLOMBIA</v>
          </cell>
        </row>
        <row r="3163">
          <cell r="AH3163" t="str">
            <v>PASCA</v>
          </cell>
        </row>
        <row r="3164">
          <cell r="AH3164" t="str">
            <v>PATÍA (EL BORDO)</v>
          </cell>
        </row>
        <row r="3165">
          <cell r="AH3165" t="str">
            <v>PATRIMONIO AUTONOMO CAJANAL ARCHIVO</v>
          </cell>
        </row>
        <row r="3166">
          <cell r="AH3166" t="str">
            <v>PATRIMONIO AUTONOMO DE ADMINISTRACION Y PAGO E.S.E. RAFAEL URIBE URIBE CONT 019</v>
          </cell>
        </row>
        <row r="3167">
          <cell r="AH3167" t="str">
            <v>PATRIMONIO AUTONOMO DE PENSIONES DE CAJANAL</v>
          </cell>
        </row>
        <row r="3168">
          <cell r="AH3168" t="str">
            <v>PATRIMONIO AUTONOMO DE PENSIONES DE CAPRECOM - RIESGO INVALIDEZ</v>
          </cell>
        </row>
        <row r="3169">
          <cell r="AH3169" t="str">
            <v>PATRIMONIO AUTONOMO DE PENSIONES DE CAPRECOM - RIESGO SOBREVIVENCIA</v>
          </cell>
        </row>
        <row r="3170">
          <cell r="AH3170" t="str">
            <v>PATRIMONIO AUTONOMO DE PENSIONES DE CAPRECOM - RIESGO VEJEZ</v>
          </cell>
        </row>
        <row r="3171">
          <cell r="AH3171" t="str">
            <v>PATRIMONIO AUTONOMO DE PENSIONES DE INVALIDEZ DEL ISS</v>
          </cell>
        </row>
        <row r="3172">
          <cell r="AH3172" t="str">
            <v>PATRIMONIO AUTONOMO DE PENSIONES DE SOBREVIVIENTES DEL ISS</v>
          </cell>
        </row>
        <row r="3173">
          <cell r="AH3173" t="str">
            <v>PATRIMONIO AUTONOMO DE PENSIONES DE VEJEZ DEL ISS</v>
          </cell>
        </row>
        <row r="3174">
          <cell r="AH3174" t="str">
            <v>PATRIMONIO AUTONOMO DE PENSIONES DEL FONDO DE PREVISION SOCIAL DEL CONGRESO DE LA REPUBLICA</v>
          </cell>
        </row>
        <row r="3175">
          <cell r="AH3175" t="str">
            <v>PATRIMONIO AUTONOMO DE REMANENTES CAJA AGRARIA</v>
          </cell>
        </row>
        <row r="3176">
          <cell r="AH3176" t="str">
            <v>PATRIMONIO AUTONOMO DE REMANENTES DE ADPOSTAL</v>
          </cell>
        </row>
        <row r="3177">
          <cell r="AH3177" t="str">
            <v>PATRIMONIO AUTONOMO E.S.E. RAFAEL URIBE URIBE</v>
          </cell>
        </row>
        <row r="3178">
          <cell r="AH3178" t="str">
            <v>PAUNA</v>
          </cell>
        </row>
        <row r="3179">
          <cell r="AH3179" t="str">
            <v>PAYA</v>
          </cell>
        </row>
        <row r="3180">
          <cell r="AH3180" t="str">
            <v>PAZ DE ARIPORO</v>
          </cell>
        </row>
        <row r="3181">
          <cell r="AH3181" t="str">
            <v>PAZ DEL RIO</v>
          </cell>
        </row>
        <row r="3182">
          <cell r="AH3182" t="str">
            <v>PEDRAZA</v>
          </cell>
        </row>
        <row r="3183">
          <cell r="AH3183" t="str">
            <v>PELAYA</v>
          </cell>
        </row>
        <row r="3184">
          <cell r="AH3184" t="str">
            <v>PENSILVANIA</v>
          </cell>
        </row>
        <row r="3185">
          <cell r="AH3185" t="str">
            <v>PEOPLE CONTACT S.A</v>
          </cell>
        </row>
        <row r="3186">
          <cell r="AH3186" t="str">
            <v>PEQUE</v>
          </cell>
        </row>
        <row r="3187">
          <cell r="AH3187" t="str">
            <v>PEREIRA</v>
          </cell>
        </row>
        <row r="3188">
          <cell r="AH3188" t="str">
            <v>PESCA</v>
          </cell>
        </row>
        <row r="3189">
          <cell r="AH3189" t="str">
            <v>PIAMONTE</v>
          </cell>
        </row>
        <row r="3190">
          <cell r="AH3190" t="str">
            <v>PIEDECUESTA</v>
          </cell>
        </row>
        <row r="3191">
          <cell r="AH3191" t="str">
            <v>PIEDRAS</v>
          </cell>
        </row>
        <row r="3192">
          <cell r="AH3192" t="str">
            <v>PIENDAMÓ</v>
          </cell>
        </row>
        <row r="3193">
          <cell r="AH3193" t="str">
            <v>PIJAO</v>
          </cell>
        </row>
        <row r="3194">
          <cell r="AH3194" t="str">
            <v>PIJIÑO DEL CARMEN</v>
          </cell>
        </row>
        <row r="3195">
          <cell r="AH3195" t="str">
            <v>PINCHOTE</v>
          </cell>
        </row>
        <row r="3196">
          <cell r="AH3196" t="str">
            <v>PINILLOS</v>
          </cell>
        </row>
        <row r="3197">
          <cell r="AH3197" t="str">
            <v>PIOJÓ</v>
          </cell>
        </row>
        <row r="3198">
          <cell r="AH3198" t="str">
            <v>PISBA</v>
          </cell>
        </row>
        <row r="3199">
          <cell r="AH3199" t="str">
            <v>PISCICOLA SAN SILVESTRE</v>
          </cell>
        </row>
        <row r="3200">
          <cell r="AH3200" t="str">
            <v>PITALITO</v>
          </cell>
        </row>
        <row r="3201">
          <cell r="AH3201" t="str">
            <v>PIVIJAY</v>
          </cell>
        </row>
        <row r="3202">
          <cell r="AH3202" t="str">
            <v>PLANADAS</v>
          </cell>
        </row>
        <row r="3203">
          <cell r="AH3203" t="str">
            <v>PLANETA RICA</v>
          </cell>
        </row>
        <row r="3204">
          <cell r="AH3204" t="str">
            <v>PLATO</v>
          </cell>
        </row>
        <row r="3205">
          <cell r="AH3205" t="str">
            <v>PLAZA DE MERCADO DE APARTADO</v>
          </cell>
        </row>
        <row r="3206">
          <cell r="AH3206" t="str">
            <v>PLAZA DE MERCADO DE MOCOA</v>
          </cell>
        </row>
        <row r="3207">
          <cell r="AH3207" t="str">
            <v>PLAZA MAYOR MEDELLIN CONVENCIONES Y EXPOSICIONES  S.A.</v>
          </cell>
        </row>
        <row r="3208">
          <cell r="AH3208" t="str">
            <v>POLICARPA</v>
          </cell>
        </row>
        <row r="3209">
          <cell r="AH3209" t="str">
            <v>POLICIA NACIONAL</v>
          </cell>
        </row>
        <row r="3210">
          <cell r="AH3210" t="str">
            <v>POLIPROPILENO DEL CARIBE S.A.</v>
          </cell>
        </row>
        <row r="3211">
          <cell r="AH3211" t="str">
            <v>POLITECNICO COLOMBIANO  JAIME ISAZA CADAVID</v>
          </cell>
        </row>
        <row r="3212">
          <cell r="AH3212" t="str">
            <v>POLONUEVO</v>
          </cell>
        </row>
        <row r="3213">
          <cell r="AH3213" t="str">
            <v>PONEDERA</v>
          </cell>
        </row>
        <row r="3214">
          <cell r="AH3214" t="str">
            <v>POPAYÁN</v>
          </cell>
        </row>
        <row r="3215">
          <cell r="AH3215" t="str">
            <v>PORE</v>
          </cell>
        </row>
        <row r="3216">
          <cell r="AH3216" t="str">
            <v>POSITIVA COMPAÑIA DE SEGUROS S.A.</v>
          </cell>
        </row>
        <row r="3217">
          <cell r="AH3217" t="str">
            <v>POTOSÍ</v>
          </cell>
        </row>
        <row r="3218">
          <cell r="AH3218" t="str">
            <v>PRADERA</v>
          </cell>
        </row>
        <row r="3219">
          <cell r="AH3219" t="str">
            <v>PRADO</v>
          </cell>
        </row>
        <row r="3220">
          <cell r="AH3220" t="str">
            <v>PROCURADURIA GENERAL DE LA NACION</v>
          </cell>
        </row>
        <row r="3221">
          <cell r="AH3221" t="str">
            <v>PROMOTORA DE PROYECTOS SABANETA</v>
          </cell>
        </row>
        <row r="3222">
          <cell r="AH3222" t="str">
            <v>PROMOTORA DE VIVIENDA DE RISARALDA</v>
          </cell>
        </row>
        <row r="3223">
          <cell r="AH3223" t="str">
            <v>PROMOTORA DE VIVIENDA DEL QUINDÍO</v>
          </cell>
        </row>
        <row r="3224">
          <cell r="AH3224" t="str">
            <v>PROMOTORA DEL COMPLEJO AGROINDUSTRIAL DEL VALLE DEL ABURRA LTDA</v>
          </cell>
        </row>
        <row r="3225">
          <cell r="AH3225" t="str">
            <v>PROMOTORA DEL DESARROLLO DEL DISTRITO CENTRAL DE BARRANQUILLA</v>
          </cell>
        </row>
        <row r="3226">
          <cell r="AH3226" t="str">
            <v>PROMOTORA EMPRESARIAL DE BOLIVAR - PROBOLIVAR</v>
          </cell>
        </row>
        <row r="3227">
          <cell r="AH3227" t="str">
            <v>PROVIDENCIA</v>
          </cell>
        </row>
        <row r="3228">
          <cell r="AH3228" t="str">
            <v>PROVIDENCIA - NARIÑO</v>
          </cell>
        </row>
        <row r="3229">
          <cell r="AH3229" t="str">
            <v>PUEBLO BELLO</v>
          </cell>
        </row>
        <row r="3230">
          <cell r="AH3230" t="str">
            <v>PUEBLO NUEVO</v>
          </cell>
        </row>
        <row r="3231">
          <cell r="AH3231" t="str">
            <v>PUEBLO RICO - RISARALDA</v>
          </cell>
        </row>
        <row r="3232">
          <cell r="AH3232" t="str">
            <v>PUEBLORRICO - ANTIOQUIA</v>
          </cell>
        </row>
        <row r="3233">
          <cell r="AH3233" t="str">
            <v>PUEBLOVIEJO</v>
          </cell>
        </row>
        <row r="3234">
          <cell r="AH3234" t="str">
            <v>PUENTE NACIONAL</v>
          </cell>
        </row>
        <row r="3235">
          <cell r="AH3235" t="str">
            <v>PUERRES</v>
          </cell>
        </row>
        <row r="3236">
          <cell r="AH3236" t="str">
            <v>PUERTO ASÍS</v>
          </cell>
        </row>
        <row r="3237">
          <cell r="AH3237" t="str">
            <v>PUERTO BERRÍO</v>
          </cell>
        </row>
        <row r="3238">
          <cell r="AH3238" t="str">
            <v>PUERTO BOYACÁ</v>
          </cell>
        </row>
        <row r="3239">
          <cell r="AH3239" t="str">
            <v>PUERTO CAICEDO</v>
          </cell>
        </row>
        <row r="3240">
          <cell r="AH3240" t="str">
            <v>PUERTO CARREÑO</v>
          </cell>
        </row>
        <row r="3241">
          <cell r="AH3241" t="str">
            <v>PUERTO COLOMBIA</v>
          </cell>
        </row>
        <row r="3242">
          <cell r="AH3242" t="str">
            <v>PUERTO CONCORDIA</v>
          </cell>
        </row>
        <row r="3243">
          <cell r="AH3243" t="str">
            <v>PUERTO ESCONDIDO</v>
          </cell>
        </row>
        <row r="3244">
          <cell r="AH3244" t="str">
            <v>PUERTO GAITÁN</v>
          </cell>
        </row>
        <row r="3245">
          <cell r="AH3245" t="str">
            <v>PUERTO GUZMÁN</v>
          </cell>
        </row>
        <row r="3246">
          <cell r="AH3246" t="str">
            <v>PUERTO INÍRIDA</v>
          </cell>
        </row>
        <row r="3247">
          <cell r="AH3247" t="str">
            <v>PUERTO LEGUÍZAMO</v>
          </cell>
        </row>
        <row r="3248">
          <cell r="AH3248" t="str">
            <v>PUERTO LIBERTADOR</v>
          </cell>
        </row>
        <row r="3249">
          <cell r="AH3249" t="str">
            <v>PUERTO LLERAS</v>
          </cell>
        </row>
        <row r="3250">
          <cell r="AH3250" t="str">
            <v>PUERTO LÓPEZ</v>
          </cell>
        </row>
        <row r="3251">
          <cell r="AH3251" t="str">
            <v>PUERTO NARE (LA MAGDALENA)</v>
          </cell>
        </row>
        <row r="3252">
          <cell r="AH3252" t="str">
            <v>PUERTO NARIÑO</v>
          </cell>
        </row>
        <row r="3253">
          <cell r="AH3253" t="str">
            <v>PUERTO PARRA</v>
          </cell>
        </row>
        <row r="3254">
          <cell r="AH3254" t="str">
            <v>PUERTO RICO - CAQUETA</v>
          </cell>
        </row>
        <row r="3255">
          <cell r="AH3255" t="str">
            <v>PUERTO RICO - META</v>
          </cell>
        </row>
        <row r="3256">
          <cell r="AH3256" t="str">
            <v>PUERTO RONDÓN</v>
          </cell>
        </row>
        <row r="3257">
          <cell r="AH3257" t="str">
            <v>PUERTO SALGAR</v>
          </cell>
        </row>
        <row r="3258">
          <cell r="AH3258" t="str">
            <v>PUERTO SANTANDER</v>
          </cell>
        </row>
        <row r="3259">
          <cell r="AH3259" t="str">
            <v>PUERTO TEJADA</v>
          </cell>
        </row>
        <row r="3260">
          <cell r="AH3260" t="str">
            <v>PUERTO TRIUNFO</v>
          </cell>
        </row>
        <row r="3261">
          <cell r="AH3261" t="str">
            <v>PUERTO WILCHES</v>
          </cell>
        </row>
        <row r="3262">
          <cell r="AH3262" t="str">
            <v>PULÍ</v>
          </cell>
        </row>
        <row r="3263">
          <cell r="AH3263" t="str">
            <v>PUPIALES</v>
          </cell>
        </row>
        <row r="3264">
          <cell r="AH3264" t="str">
            <v>PURACÉ (COCONUCO)</v>
          </cell>
        </row>
        <row r="3265">
          <cell r="AH3265" t="str">
            <v>PURIFICACIÓN</v>
          </cell>
        </row>
        <row r="3266">
          <cell r="AH3266" t="str">
            <v>PURÍSIMA</v>
          </cell>
        </row>
        <row r="3267">
          <cell r="AH3267" t="str">
            <v>QUEBRADANEGRA</v>
          </cell>
        </row>
        <row r="3268">
          <cell r="AH3268" t="str">
            <v>QUETAME</v>
          </cell>
        </row>
        <row r="3269">
          <cell r="AH3269" t="str">
            <v>QUIBDÓ</v>
          </cell>
        </row>
        <row r="3270">
          <cell r="AH3270" t="str">
            <v>QUIMBAYA</v>
          </cell>
        </row>
        <row r="3271">
          <cell r="AH3271" t="str">
            <v>QUIMICA INTEGRADA S.A. -QUINSA-</v>
          </cell>
        </row>
        <row r="3272">
          <cell r="AH3272" t="str">
            <v>QUINCHÍA</v>
          </cell>
        </row>
        <row r="3273">
          <cell r="AH3273" t="str">
            <v>QUÍPAMA</v>
          </cell>
        </row>
        <row r="3274">
          <cell r="AH3274" t="str">
            <v>QUIPILE</v>
          </cell>
        </row>
        <row r="3275">
          <cell r="AH3275" t="str">
            <v>RADIO TELEVISION NACIONAL DE COLOMBIA RTVC</v>
          </cell>
        </row>
        <row r="3276">
          <cell r="AH3276" t="str">
            <v>RAGONVALIA</v>
          </cell>
        </row>
        <row r="3277">
          <cell r="AH3277" t="str">
            <v>RAMIRIQUÍ</v>
          </cell>
        </row>
        <row r="3278">
          <cell r="AH3278" t="str">
            <v>RÁQUIRA</v>
          </cell>
        </row>
        <row r="3279">
          <cell r="AH3279" t="str">
            <v>RECETOR</v>
          </cell>
        </row>
        <row r="3280">
          <cell r="AH3280" t="str">
            <v>REFINERIA DE CARTAGENA S.A.</v>
          </cell>
        </row>
        <row r="3281">
          <cell r="AH3281" t="str">
            <v>REFORESTADORA INDUSTRIAL DE ANTIOQUIA S.A</v>
          </cell>
        </row>
        <row r="3282">
          <cell r="AH3282" t="str">
            <v>REGIDOR</v>
          </cell>
        </row>
        <row r="3283">
          <cell r="AH3283" t="str">
            <v>REGISTRADURIA NACIONAL DEL ESTADO CIVIL</v>
          </cell>
        </row>
        <row r="3284">
          <cell r="AH3284" t="str">
            <v>REMEDIOS</v>
          </cell>
        </row>
        <row r="3285">
          <cell r="AH3285" t="str">
            <v>REMOLINO</v>
          </cell>
        </row>
        <row r="3286">
          <cell r="AH3286" t="str">
            <v>RENTING DE ANTIOQUIA S.A.S.</v>
          </cell>
        </row>
        <row r="3287">
          <cell r="AH3287" t="str">
            <v>REPELÓN</v>
          </cell>
        </row>
        <row r="3288">
          <cell r="AH3288" t="str">
            <v>RESTREPO - META</v>
          </cell>
        </row>
        <row r="3289">
          <cell r="AH3289" t="str">
            <v>RESTREPO - VALLE DEL CAUCA</v>
          </cell>
        </row>
        <row r="3290">
          <cell r="AH3290" t="str">
            <v>RICAURTE - CUNDINAMARCA</v>
          </cell>
        </row>
        <row r="3291">
          <cell r="AH3291" t="str">
            <v>RICAURTE - NARIÑO</v>
          </cell>
        </row>
        <row r="3292">
          <cell r="AH3292" t="str">
            <v>RIFAS Y JUEGOS DEL VALLE LTDA.</v>
          </cell>
        </row>
        <row r="3293">
          <cell r="AH3293" t="str">
            <v>RIFAS Y JUEGOS PROMOCIONALES DEL TOLIMA</v>
          </cell>
        </row>
        <row r="3294">
          <cell r="AH3294" t="str">
            <v>RÍO DE ORO</v>
          </cell>
        </row>
        <row r="3295">
          <cell r="AH3295" t="str">
            <v>RIO IRÓ</v>
          </cell>
        </row>
        <row r="3296">
          <cell r="AH3296" t="str">
            <v>RIO QUITO</v>
          </cell>
        </row>
        <row r="3297">
          <cell r="AH3297" t="str">
            <v>RIOBLANCO</v>
          </cell>
        </row>
        <row r="3298">
          <cell r="AH3298" t="str">
            <v>RIOFRÍO</v>
          </cell>
        </row>
        <row r="3299">
          <cell r="AH3299" t="str">
            <v>RIOHACHA</v>
          </cell>
        </row>
        <row r="3300">
          <cell r="AH3300" t="str">
            <v>RIONEGRO - ANTIOQUIA</v>
          </cell>
        </row>
        <row r="3301">
          <cell r="AH3301" t="str">
            <v>RIONEGRO - SANTANDER</v>
          </cell>
        </row>
        <row r="3302">
          <cell r="AH3302" t="str">
            <v>RIOSUCIO - CALDAS</v>
          </cell>
        </row>
        <row r="3303">
          <cell r="AH3303" t="str">
            <v>RIOSUCIO - CHOCÓ</v>
          </cell>
        </row>
        <row r="3304">
          <cell r="AH3304" t="str">
            <v>RIOVIEJO</v>
          </cell>
        </row>
        <row r="3305">
          <cell r="AH3305" t="str">
            <v>RISARALDA</v>
          </cell>
        </row>
        <row r="3306">
          <cell r="AH3306" t="str">
            <v>RIVERA</v>
          </cell>
        </row>
        <row r="3307">
          <cell r="AH3307" t="str">
            <v>ROBERTO PAYÁN (SAN JOSÉ)</v>
          </cell>
        </row>
        <row r="3308">
          <cell r="AH3308" t="str">
            <v>ROLDANILLO</v>
          </cell>
        </row>
        <row r="3309">
          <cell r="AH3309" t="str">
            <v>RONCESVALLES</v>
          </cell>
        </row>
        <row r="3310">
          <cell r="AH3310" t="str">
            <v>RONDÓN</v>
          </cell>
        </row>
        <row r="3311">
          <cell r="AH3311" t="str">
            <v>ROSAS</v>
          </cell>
        </row>
        <row r="3312">
          <cell r="AH3312" t="str">
            <v>ROVIRA</v>
          </cell>
        </row>
        <row r="3313">
          <cell r="AH3313" t="str">
            <v>SABANA DE TORRES</v>
          </cell>
        </row>
        <row r="3314">
          <cell r="AH3314" t="str">
            <v>SABANAGRANDE</v>
          </cell>
        </row>
        <row r="3315">
          <cell r="AH3315" t="str">
            <v>SABANALARGA - ANTIOQUIA</v>
          </cell>
        </row>
        <row r="3316">
          <cell r="AH3316" t="str">
            <v>SABANALARGA - ATLANTICO</v>
          </cell>
        </row>
        <row r="3317">
          <cell r="AH3317" t="str">
            <v>SABANALARGA - CASANARE</v>
          </cell>
        </row>
        <row r="3318">
          <cell r="AH3318" t="str">
            <v>SABANAS DE SAN ANGEL</v>
          </cell>
        </row>
        <row r="3319">
          <cell r="AH3319" t="str">
            <v>SABANETA</v>
          </cell>
        </row>
        <row r="3320">
          <cell r="AH3320" t="str">
            <v>SABOYÁ</v>
          </cell>
        </row>
        <row r="3321">
          <cell r="AH3321" t="str">
            <v>SÁCAMA</v>
          </cell>
        </row>
        <row r="3322">
          <cell r="AH3322" t="str">
            <v>SÁCHICA</v>
          </cell>
        </row>
        <row r="3323">
          <cell r="AH3323" t="str">
            <v>SAHAGÚN</v>
          </cell>
        </row>
        <row r="3324">
          <cell r="AH3324" t="str">
            <v>SALADOBLANCO</v>
          </cell>
        </row>
        <row r="3325">
          <cell r="AH3325" t="str">
            <v>SALAMINA - CALDAS</v>
          </cell>
        </row>
        <row r="3326">
          <cell r="AH3326" t="str">
            <v>SALAMINA - MAGDALENA</v>
          </cell>
        </row>
        <row r="3327">
          <cell r="AH3327" t="str">
            <v>SALAZAR DE LAS PALMAS</v>
          </cell>
        </row>
        <row r="3328">
          <cell r="AH3328" t="str">
            <v>SALDAÑA</v>
          </cell>
        </row>
        <row r="3329">
          <cell r="AH3329" t="str">
            <v>SALENTO</v>
          </cell>
        </row>
        <row r="3330">
          <cell r="AH3330" t="str">
            <v>SALGAR</v>
          </cell>
        </row>
        <row r="3331">
          <cell r="AH3331" t="str">
            <v>SAMACÁ</v>
          </cell>
        </row>
        <row r="3332">
          <cell r="AH3332" t="str">
            <v>SAMANÁ</v>
          </cell>
        </row>
        <row r="3333">
          <cell r="AH3333" t="str">
            <v>SAMANIEGO</v>
          </cell>
        </row>
        <row r="3334">
          <cell r="AH3334" t="str">
            <v>SAMPUÉS</v>
          </cell>
        </row>
        <row r="3335">
          <cell r="AH3335" t="str">
            <v>SAN AGUSTÍN</v>
          </cell>
        </row>
        <row r="3336">
          <cell r="AH3336" t="str">
            <v>SAN ALBERTO</v>
          </cell>
        </row>
        <row r="3337">
          <cell r="AH3337" t="str">
            <v>SAN ANDRÉS - SANTANDER</v>
          </cell>
        </row>
        <row r="3338">
          <cell r="AH3338" t="str">
            <v>SAN ANDRÉS DE CUERQUIA</v>
          </cell>
        </row>
        <row r="3339">
          <cell r="AH3339" t="str">
            <v>SAN ANDRÉS DE SOTAVENTO</v>
          </cell>
        </row>
        <row r="3340">
          <cell r="AH3340" t="str">
            <v>SAN ANTERO</v>
          </cell>
        </row>
        <row r="3341">
          <cell r="AH3341" t="str">
            <v>SAN ANTONIO</v>
          </cell>
        </row>
        <row r="3342">
          <cell r="AH3342" t="str">
            <v>SAN ANTONIO DE PALMITO</v>
          </cell>
        </row>
        <row r="3343">
          <cell r="AH3343" t="str">
            <v>SAN ANTONIO DEL TEQUENDAMA</v>
          </cell>
        </row>
        <row r="3344">
          <cell r="AH3344" t="str">
            <v>SAN BENITO</v>
          </cell>
        </row>
        <row r="3345">
          <cell r="AH3345" t="str">
            <v>SAN BENITO ABAD</v>
          </cell>
        </row>
        <row r="3346">
          <cell r="AH3346" t="str">
            <v>SAN BERNARDO - CUNDINAMARCA</v>
          </cell>
        </row>
        <row r="3347">
          <cell r="AH3347" t="str">
            <v>SAN BERNARDO - NARIÑO</v>
          </cell>
        </row>
        <row r="3348">
          <cell r="AH3348" t="str">
            <v>SAN BERNARDO DEL VIENTO</v>
          </cell>
        </row>
        <row r="3349">
          <cell r="AH3349" t="str">
            <v>SAN CALIXTO</v>
          </cell>
        </row>
        <row r="3350">
          <cell r="AH3350" t="str">
            <v>SAN CARLOS - ANTIOQUIA</v>
          </cell>
        </row>
        <row r="3351">
          <cell r="AH3351" t="str">
            <v>SAN CARLOS - CORDOBA</v>
          </cell>
        </row>
        <row r="3352">
          <cell r="AH3352" t="str">
            <v>SAN CARLOS DE GUAROA</v>
          </cell>
        </row>
        <row r="3353">
          <cell r="AH3353" t="str">
            <v>SAN CAYETANO - CUNDINAMARCA</v>
          </cell>
        </row>
        <row r="3354">
          <cell r="AH3354" t="str">
            <v>SAN CAYETANO - NORTE DE SANTANDER</v>
          </cell>
        </row>
        <row r="3355">
          <cell r="AH3355" t="str">
            <v>SAN CRISTÓBAL</v>
          </cell>
        </row>
        <row r="3356">
          <cell r="AH3356" t="str">
            <v>SAN DIEGO</v>
          </cell>
        </row>
        <row r="3357">
          <cell r="AH3357" t="str">
            <v>SAN EDUARDO</v>
          </cell>
        </row>
        <row r="3358">
          <cell r="AH3358" t="str">
            <v>SAN ESTANISLAO</v>
          </cell>
        </row>
        <row r="3359">
          <cell r="AH3359" t="str">
            <v>SAN FERNANDO</v>
          </cell>
        </row>
        <row r="3360">
          <cell r="AH3360" t="str">
            <v>SAN FRANCISCO - ANTIOQUIA</v>
          </cell>
        </row>
        <row r="3361">
          <cell r="AH3361" t="str">
            <v>SAN FRANCISCO - CUNDINAMARCA</v>
          </cell>
        </row>
        <row r="3362">
          <cell r="AH3362" t="str">
            <v>SAN FRANCISCO - PUTUMAYO</v>
          </cell>
        </row>
        <row r="3363">
          <cell r="AH3363" t="str">
            <v>SAN GIL</v>
          </cell>
        </row>
        <row r="3364">
          <cell r="AH3364" t="str">
            <v>SAN JACINTO - BOLIVAR</v>
          </cell>
        </row>
        <row r="3365">
          <cell r="AH3365" t="str">
            <v>SAN JACINTO DEL CAUCA</v>
          </cell>
        </row>
        <row r="3366">
          <cell r="AH3366" t="str">
            <v>SAN JERÓNIMO</v>
          </cell>
        </row>
        <row r="3367">
          <cell r="AH3367" t="str">
            <v>SAN JOAQUÍN</v>
          </cell>
        </row>
        <row r="3368">
          <cell r="AH3368" t="str">
            <v>SAN JOSÉ - CALDAS</v>
          </cell>
        </row>
        <row r="3369">
          <cell r="AH3369" t="str">
            <v>SAN JOSÉ DE CUCUTA</v>
          </cell>
        </row>
        <row r="3370">
          <cell r="AH3370" t="str">
            <v>SAN JOSÉ DE LA FRAGUA</v>
          </cell>
        </row>
        <row r="3371">
          <cell r="AH3371" t="str">
            <v>SAN JOSÉ DE LA MONTAÑA</v>
          </cell>
        </row>
        <row r="3372">
          <cell r="AH3372" t="str">
            <v>SAN JOSÉ DE MIRANDA</v>
          </cell>
        </row>
        <row r="3373">
          <cell r="AH3373" t="str">
            <v>SAN JOSÉ DE PARE</v>
          </cell>
        </row>
        <row r="3374">
          <cell r="AH3374" t="str">
            <v>SAN JOSE DE URE</v>
          </cell>
        </row>
        <row r="3375">
          <cell r="AH3375" t="str">
            <v>SAN JOSÉ DEL GUAVIARE</v>
          </cell>
        </row>
        <row r="3376">
          <cell r="AH3376" t="str">
            <v>SAN JOSÉ DEL PALMAR</v>
          </cell>
        </row>
        <row r="3377">
          <cell r="AH3377" t="str">
            <v>SAN JUAN BAUTISTA DE GUACARI</v>
          </cell>
        </row>
        <row r="3378">
          <cell r="AH3378" t="str">
            <v>SAN JUAN DE ARAMA</v>
          </cell>
        </row>
        <row r="3379">
          <cell r="AH3379" t="str">
            <v>SAN JUAN DE BETULIA</v>
          </cell>
        </row>
        <row r="3380">
          <cell r="AH3380" t="str">
            <v>SAN JUAN DE PASTO</v>
          </cell>
        </row>
        <row r="3381">
          <cell r="AH3381" t="str">
            <v>SAN JUAN DE RIO SECO</v>
          </cell>
        </row>
        <row r="3382">
          <cell r="AH3382" t="str">
            <v>SAN JUAN DE URABÁ</v>
          </cell>
        </row>
        <row r="3383">
          <cell r="AH3383" t="str">
            <v>SAN JUAN DEL CESAR</v>
          </cell>
        </row>
        <row r="3384">
          <cell r="AH3384" t="str">
            <v>SAN JUAN NEPOMUCENO</v>
          </cell>
        </row>
        <row r="3385">
          <cell r="AH3385" t="str">
            <v>SAN JUANITO</v>
          </cell>
        </row>
        <row r="3386">
          <cell r="AH3386" t="str">
            <v>SAN LORENZO</v>
          </cell>
        </row>
        <row r="3387">
          <cell r="AH3387" t="str">
            <v>SAN LUIS - ANTIOQUIA</v>
          </cell>
        </row>
        <row r="3388">
          <cell r="AH3388" t="str">
            <v>SAN LUIS - TOLIMA</v>
          </cell>
        </row>
        <row r="3389">
          <cell r="AH3389" t="str">
            <v>SAN LUIS DE GACENO</v>
          </cell>
        </row>
        <row r="3390">
          <cell r="AH3390" t="str">
            <v>SAN LUIS DE PALENQUE</v>
          </cell>
        </row>
        <row r="3391">
          <cell r="AH3391" t="str">
            <v>SAN MARCOS</v>
          </cell>
        </row>
        <row r="3392">
          <cell r="AH3392" t="str">
            <v>SAN MARTÍN - CESAR</v>
          </cell>
        </row>
        <row r="3393">
          <cell r="AH3393" t="str">
            <v>SAN MARTÍN - META</v>
          </cell>
        </row>
        <row r="3394">
          <cell r="AH3394" t="str">
            <v>SAN MARTÍN DE LOBA</v>
          </cell>
        </row>
        <row r="3395">
          <cell r="AH3395" t="str">
            <v>SAN MATEO</v>
          </cell>
        </row>
        <row r="3396">
          <cell r="AH3396" t="str">
            <v>SAN MIGUEL - PUTUMAYO</v>
          </cell>
        </row>
        <row r="3397">
          <cell r="AH3397" t="str">
            <v>SAN MIGUEL - SANTANDER</v>
          </cell>
        </row>
        <row r="3398">
          <cell r="AH3398" t="str">
            <v>SAN MIGUEL DE MOCOA</v>
          </cell>
        </row>
        <row r="3399">
          <cell r="AH3399" t="str">
            <v>SAN MIGUEL DE SEMA</v>
          </cell>
        </row>
        <row r="3400">
          <cell r="AH3400" t="str">
            <v>SAN ONOFRE</v>
          </cell>
        </row>
        <row r="3401">
          <cell r="AH3401" t="str">
            <v>SAN PABLO - BOLIVAR</v>
          </cell>
        </row>
        <row r="3402">
          <cell r="AH3402" t="str">
            <v>SAN PABLO - NARIÑO</v>
          </cell>
        </row>
        <row r="3403">
          <cell r="AH3403" t="str">
            <v>SAN PABLO DE BORBUR</v>
          </cell>
        </row>
        <row r="3404">
          <cell r="AH3404" t="str">
            <v>SAN PEDRO - SUCRE</v>
          </cell>
        </row>
        <row r="3405">
          <cell r="AH3405" t="str">
            <v>SAN PEDRO - VALLE DEL CAUCA</v>
          </cell>
        </row>
        <row r="3406">
          <cell r="AH3406" t="str">
            <v>SAN PEDRO DE CARTAGO</v>
          </cell>
        </row>
        <row r="3407">
          <cell r="AH3407" t="str">
            <v>SAN PEDRO DE LOS MILAGROS</v>
          </cell>
        </row>
        <row r="3408">
          <cell r="AH3408" t="str">
            <v>SAN PEDRO DE URABA</v>
          </cell>
        </row>
        <row r="3409">
          <cell r="AH3409" t="str">
            <v>SAN PELAYO</v>
          </cell>
        </row>
        <row r="3410">
          <cell r="AH3410" t="str">
            <v>SAN RAFAEL</v>
          </cell>
        </row>
        <row r="3411">
          <cell r="AH3411" t="str">
            <v>SAN ROQUE</v>
          </cell>
        </row>
        <row r="3412">
          <cell r="AH3412" t="str">
            <v>SAN SEBASTIÁN</v>
          </cell>
        </row>
        <row r="3413">
          <cell r="AH3413" t="str">
            <v>SAN SEBASTIAN DE BUENAVISTA</v>
          </cell>
        </row>
        <row r="3414">
          <cell r="AH3414" t="str">
            <v>SAN SEBASTIAN DE MARIQUITA</v>
          </cell>
        </row>
        <row r="3415">
          <cell r="AH3415" t="str">
            <v>SAN VICENTE</v>
          </cell>
        </row>
        <row r="3416">
          <cell r="AH3416" t="str">
            <v>SAN VICENTE DE CHUCURÍ</v>
          </cell>
        </row>
        <row r="3417">
          <cell r="AH3417" t="str">
            <v>SAN VICENTE DEL CAGUÁN</v>
          </cell>
        </row>
        <row r="3418">
          <cell r="AH3418" t="str">
            <v>SAN ZENÓN</v>
          </cell>
        </row>
        <row r="3419">
          <cell r="AH3419" t="str">
            <v>SANDONÁ</v>
          </cell>
        </row>
        <row r="3420">
          <cell r="AH3420" t="str">
            <v>SANTA ANA</v>
          </cell>
        </row>
        <row r="3421">
          <cell r="AH3421" t="str">
            <v>SANTA BÁRBARA  (ISCUANDÉ)</v>
          </cell>
        </row>
        <row r="3422">
          <cell r="AH3422" t="str">
            <v>SANTA BÁRBARA - ANTIOQUIA</v>
          </cell>
        </row>
        <row r="3423">
          <cell r="AH3423" t="str">
            <v>SANTA BÁRBARA - SANTANDER</v>
          </cell>
        </row>
        <row r="3424">
          <cell r="AH3424" t="str">
            <v>SANTA BÁRBARA DE PINTO</v>
          </cell>
        </row>
        <row r="3425">
          <cell r="AH3425" t="str">
            <v>SANTA CATALINA - BOLIVAR</v>
          </cell>
        </row>
        <row r="3426">
          <cell r="AH3426" t="str">
            <v>SANTA CRUZ DE LORICA</v>
          </cell>
        </row>
        <row r="3427">
          <cell r="AH3427" t="str">
            <v>SANTA CRUZ DE MOMPÓX</v>
          </cell>
        </row>
        <row r="3428">
          <cell r="AH3428" t="str">
            <v>SANTA HELENA DE OPÓN</v>
          </cell>
        </row>
        <row r="3429">
          <cell r="AH3429" t="str">
            <v>SANTA ISABEL</v>
          </cell>
        </row>
        <row r="3430">
          <cell r="AH3430" t="str">
            <v>SANTA LUCÍA</v>
          </cell>
        </row>
        <row r="3431">
          <cell r="AH3431" t="str">
            <v>SANTA MARÍA - BOYACÁ</v>
          </cell>
        </row>
        <row r="3432">
          <cell r="AH3432" t="str">
            <v>SANTA MARÍA - HUILA</v>
          </cell>
        </row>
        <row r="3433">
          <cell r="AH3433" t="str">
            <v>SANTA MARTA, DISTRITO TURISTICO, CULTURAL E HISTORICO</v>
          </cell>
        </row>
        <row r="3434">
          <cell r="AH3434" t="str">
            <v>SANTA ROSA - CAUCA</v>
          </cell>
        </row>
        <row r="3435">
          <cell r="AH3435" t="str">
            <v>SANTA ROSA DE CABAL</v>
          </cell>
        </row>
        <row r="3436">
          <cell r="AH3436" t="str">
            <v>SANTA ROSA DE OSOS</v>
          </cell>
        </row>
        <row r="3437">
          <cell r="AH3437" t="str">
            <v>SANTA ROSA DE VITERBO</v>
          </cell>
        </row>
        <row r="3438">
          <cell r="AH3438" t="str">
            <v>SANTA ROSA DEL SUR</v>
          </cell>
        </row>
        <row r="3439">
          <cell r="AH3439" t="str">
            <v>SANTA ROSA NORTE</v>
          </cell>
        </row>
        <row r="3440">
          <cell r="AH3440" t="str">
            <v>SANTA ROSALÍA</v>
          </cell>
        </row>
        <row r="3441">
          <cell r="AH3441" t="str">
            <v>SANTA SOFÍA</v>
          </cell>
        </row>
        <row r="3442">
          <cell r="AH3442" t="str">
            <v>SANTACRUZ  (GUACHAVÉS)</v>
          </cell>
        </row>
        <row r="3443">
          <cell r="AH3443" t="str">
            <v>SANTAFE DE ANTIOQUIA</v>
          </cell>
        </row>
        <row r="3444">
          <cell r="AH3444" t="str">
            <v>SANTANA</v>
          </cell>
        </row>
        <row r="3445">
          <cell r="AH3445" t="str">
            <v>SANTANDER DE QUILICHAO</v>
          </cell>
        </row>
        <row r="3446">
          <cell r="AH3446" t="str">
            <v>SANTIAGO - NORTE DE SANTANDER</v>
          </cell>
        </row>
        <row r="3447">
          <cell r="AH3447" t="str">
            <v>SANTIAGO - PUTUMAYO</v>
          </cell>
        </row>
        <row r="3448">
          <cell r="AH3448" t="str">
            <v>SANTIAGO DE CALI</v>
          </cell>
        </row>
        <row r="3449">
          <cell r="AH3449" t="str">
            <v>SANTIAGO DE TOLÚ</v>
          </cell>
        </row>
        <row r="3450">
          <cell r="AH3450" t="str">
            <v>SANTO DOMINGO</v>
          </cell>
        </row>
        <row r="3451">
          <cell r="AH3451" t="str">
            <v>SANTO DOMINGO DE SILOS</v>
          </cell>
        </row>
        <row r="3452">
          <cell r="AH3452" t="str">
            <v>SANTO TOMAS</v>
          </cell>
        </row>
        <row r="3453">
          <cell r="AH3453" t="str">
            <v>SANTUARIO - ANTIOQUIA</v>
          </cell>
        </row>
        <row r="3454">
          <cell r="AH3454" t="str">
            <v>SANTUARIO - RISARALDA</v>
          </cell>
        </row>
        <row r="3455">
          <cell r="AH3455" t="str">
            <v>SAPUYES</v>
          </cell>
        </row>
        <row r="3456">
          <cell r="AH3456" t="str">
            <v>SARAVENA</v>
          </cell>
        </row>
        <row r="3457">
          <cell r="AH3457" t="str">
            <v>SARDINATA</v>
          </cell>
        </row>
        <row r="3458">
          <cell r="AH3458" t="str">
            <v>SASAIMA</v>
          </cell>
        </row>
        <row r="3459">
          <cell r="AH3459" t="str">
            <v>SATIVANORTE</v>
          </cell>
        </row>
        <row r="3460">
          <cell r="AH3460" t="str">
            <v>SATIVASUR</v>
          </cell>
        </row>
        <row r="3461">
          <cell r="AH3461" t="str">
            <v>SEGOVIA</v>
          </cell>
        </row>
        <row r="3462">
          <cell r="AH3462" t="str">
            <v>SENADO DE LA REPUBLICA</v>
          </cell>
        </row>
        <row r="3463">
          <cell r="AH3463" t="str">
            <v>SERVICIO AEREO A TERRITORIOS NACIONALES</v>
          </cell>
        </row>
        <row r="3464">
          <cell r="AH3464" t="str">
            <v>SERVICIO GEOLÓGICO COLOMBIANO</v>
          </cell>
        </row>
        <row r="3465">
          <cell r="AH3465" t="str">
            <v>SERVICIO NACIONAL DE APRENDIZAJE</v>
          </cell>
        </row>
        <row r="3466">
          <cell r="AH3466" t="str">
            <v>SERVICIOS MÉDICOS ASISTENCIALES DEL CHOCÓ - SEMACH IPS</v>
          </cell>
        </row>
        <row r="3467">
          <cell r="AH3467" t="str">
            <v>SERVICIOS POSTALES NACIONALES S.A.</v>
          </cell>
        </row>
        <row r="3468">
          <cell r="AH3468" t="str">
            <v>SERVICIOS PÚBLICOS DE PUERTO GAITÁN - META</v>
          </cell>
        </row>
        <row r="3469">
          <cell r="AH3469" t="str">
            <v>SESQUILÉ</v>
          </cell>
        </row>
        <row r="3470">
          <cell r="AH3470" t="str">
            <v>SEVILLA</v>
          </cell>
        </row>
        <row r="3471">
          <cell r="AH3471" t="str">
            <v>SIACHOQUE</v>
          </cell>
        </row>
        <row r="3472">
          <cell r="AH3472" t="str">
            <v>SIBATÉ</v>
          </cell>
        </row>
        <row r="3473">
          <cell r="AH3473" t="str">
            <v>SIBUNDOY</v>
          </cell>
        </row>
        <row r="3474">
          <cell r="AH3474" t="str">
            <v>SILVANIA</v>
          </cell>
        </row>
        <row r="3475">
          <cell r="AH3475" t="str">
            <v>SILVIA</v>
          </cell>
        </row>
        <row r="3476">
          <cell r="AH3476" t="str">
            <v>SIMACOTA</v>
          </cell>
        </row>
        <row r="3477">
          <cell r="AH3477" t="str">
            <v>SIMIJACA</v>
          </cell>
        </row>
        <row r="3478">
          <cell r="AH3478" t="str">
            <v>SIMITÍ</v>
          </cell>
        </row>
        <row r="3479">
          <cell r="AH3479" t="str">
            <v>SINCÉ</v>
          </cell>
        </row>
        <row r="3480">
          <cell r="AH3480" t="str">
            <v>SINCELEJO</v>
          </cell>
        </row>
        <row r="3481">
          <cell r="AH3481" t="str">
            <v>SIPÍ</v>
          </cell>
        </row>
        <row r="3482">
          <cell r="AH3482" t="str">
            <v>SISTEMA ESTRATEGICO DE TRANSPORTE PUBLICO DE PASAJEROS DE POPAYAN  MOVILIDAD FUTURA S.A.S</v>
          </cell>
        </row>
        <row r="3483">
          <cell r="AH3483" t="str">
            <v>SISTEMA ESTRATEGICO DE TRANSPORTE PUBLICO DE SANTA MARTA S.A.S.</v>
          </cell>
        </row>
        <row r="3484">
          <cell r="AH3484" t="str">
            <v>SISTEMA GENERAL DE REGALÍAS</v>
          </cell>
        </row>
        <row r="3485">
          <cell r="AH3485" t="str">
            <v>SISTEMAS INTELIGENTES EN RED S.A.S.</v>
          </cell>
        </row>
        <row r="3486">
          <cell r="AH3486" t="str">
            <v>SITIONUEVO</v>
          </cell>
        </row>
        <row r="3487">
          <cell r="AH3487" t="str">
            <v>SOACHA</v>
          </cell>
        </row>
        <row r="3488">
          <cell r="AH3488" t="str">
            <v>SOATÁ</v>
          </cell>
        </row>
        <row r="3489">
          <cell r="AH3489" t="str">
            <v>SOCHA</v>
          </cell>
        </row>
        <row r="3490">
          <cell r="AH3490" t="str">
            <v>SOCIEDAD ADMINISTRADORA DE LA PLAZA DE MERCADO Y MATADERO MUNICIPAL</v>
          </cell>
        </row>
        <row r="3491">
          <cell r="AH3491" t="str">
            <v>SOCIEDAD ALMIDONES DE SUCRE S.A.</v>
          </cell>
        </row>
        <row r="3492">
          <cell r="AH3492" t="str">
            <v>SOCIEDAD DE ACTIVOS ESPECIALES S.A.S.</v>
          </cell>
        </row>
        <row r="3493">
          <cell r="AH3493" t="str">
            <v>SOCIEDAD DE ACUEDUCTO Y ALCANTARILLADO DEL VALLE DEL CAUCA -ACUAVALLE-</v>
          </cell>
        </row>
        <row r="3494">
          <cell r="AH3494" t="str">
            <v>SOCIEDAD DE ACUEDUCTOS Y ALCANTARILLADOS DEL HUILA - AGUAS DEL HUILA S.A .</v>
          </cell>
        </row>
        <row r="3495">
          <cell r="AH3495" t="str">
            <v>SOCIEDAD DE TELEVISIÓN DE LAS ISLAS</v>
          </cell>
        </row>
        <row r="3496">
          <cell r="AH3496" t="str">
            <v>SOCIEDAD GEOGRÁFICA DE COLOMBIA - ACADEMIA DE CIENCIAS GEOGRÁFICAS</v>
          </cell>
        </row>
        <row r="3497">
          <cell r="AH3497" t="str">
            <v>SOCIEDAD HOTEL DE TENZA LTDA</v>
          </cell>
        </row>
        <row r="3498">
          <cell r="AH3498" t="str">
            <v>SOCIEDAD HOTELERA TEQUENDAMA S.A</v>
          </cell>
        </row>
        <row r="3499">
          <cell r="AH3499" t="str">
            <v>SOCIEDAD TELEVISION DE ANTIOQUIA LTDA. - TELEANTIOQUIA</v>
          </cell>
        </row>
        <row r="3500">
          <cell r="AH3500" t="str">
            <v>SOCIEDAD TERMINAL DE TRANSPORTE TERRESTRE DE IPIALES S.A.</v>
          </cell>
        </row>
        <row r="3501">
          <cell r="AH3501" t="str">
            <v>SOCIEDAD TERMINAL DE TRANSPORTES DE OCAÑA S.A.</v>
          </cell>
        </row>
        <row r="3502">
          <cell r="AH3502" t="str">
            <v>SOCORRO</v>
          </cell>
        </row>
        <row r="3503">
          <cell r="AH3503" t="str">
            <v>SOCOTÁ</v>
          </cell>
        </row>
        <row r="3504">
          <cell r="AH3504" t="str">
            <v>SOCOTUR LTDA.</v>
          </cell>
        </row>
        <row r="3505">
          <cell r="AH3505" t="str">
            <v>SOGAMOSO</v>
          </cell>
        </row>
        <row r="3506">
          <cell r="AH3506" t="str">
            <v>SOLANO</v>
          </cell>
        </row>
        <row r="3507">
          <cell r="AH3507" t="str">
            <v>SOLEDAD</v>
          </cell>
        </row>
        <row r="3508">
          <cell r="AH3508" t="str">
            <v>SOLITA</v>
          </cell>
        </row>
        <row r="3509">
          <cell r="AH3509" t="str">
            <v>SOMONDOCO</v>
          </cell>
        </row>
        <row r="3510">
          <cell r="AH3510" t="str">
            <v>SONSÓN</v>
          </cell>
        </row>
        <row r="3511">
          <cell r="AH3511" t="str">
            <v>SOPETRÁN</v>
          </cell>
        </row>
        <row r="3512">
          <cell r="AH3512" t="str">
            <v>SOPLAVIENTO</v>
          </cell>
        </row>
        <row r="3513">
          <cell r="AH3513" t="str">
            <v>SOPÓ</v>
          </cell>
        </row>
        <row r="3514">
          <cell r="AH3514" t="str">
            <v>SORA</v>
          </cell>
        </row>
        <row r="3515">
          <cell r="AH3515" t="str">
            <v>SORACÁ</v>
          </cell>
        </row>
        <row r="3516">
          <cell r="AH3516" t="str">
            <v>SORTEO EXTRAORDINARIO DE COLOMBIA LTDA.</v>
          </cell>
        </row>
        <row r="3517">
          <cell r="AH3517" t="str">
            <v>SORTEO EXTRAORDINARIO DE VILLA DE LEIVA</v>
          </cell>
        </row>
        <row r="3518">
          <cell r="AH3518" t="str">
            <v>SOTAQUIRÁ</v>
          </cell>
        </row>
        <row r="3519">
          <cell r="AH3519" t="str">
            <v>SOTARÁ (PAISPAMBA)</v>
          </cell>
        </row>
        <row r="3520">
          <cell r="AH3520" t="str">
            <v>SPA RIVERA TERMALES S.A.</v>
          </cell>
        </row>
        <row r="3521">
          <cell r="AH3521" t="str">
            <v>SUAITA</v>
          </cell>
        </row>
        <row r="3522">
          <cell r="AH3522" t="str">
            <v>SUAN</v>
          </cell>
        </row>
        <row r="3523">
          <cell r="AH3523" t="str">
            <v>SUÁREZ - CAUCA</v>
          </cell>
        </row>
        <row r="3524">
          <cell r="AH3524" t="str">
            <v>SUÁREZ - TOLIMA</v>
          </cell>
        </row>
        <row r="3525">
          <cell r="AH3525" t="str">
            <v>SUAZA</v>
          </cell>
        </row>
        <row r="3526">
          <cell r="AH3526" t="str">
            <v>SUBACHOQUE</v>
          </cell>
        </row>
        <row r="3527">
          <cell r="AH3527" t="str">
            <v>SUCRE - CAUCA</v>
          </cell>
        </row>
        <row r="3528">
          <cell r="AH3528" t="str">
            <v>SUCRE - SANTANDER</v>
          </cell>
        </row>
        <row r="3529">
          <cell r="AH3529" t="str">
            <v>SUCRE - SUCRE</v>
          </cell>
        </row>
        <row r="3530">
          <cell r="AH3530" t="str">
            <v>SUESCA</v>
          </cell>
        </row>
        <row r="3531">
          <cell r="AH3531" t="str">
            <v>SUPATÁ</v>
          </cell>
        </row>
        <row r="3532">
          <cell r="AH3532" t="str">
            <v>SUPERINTENDENCIA DE ECONOMIA SOLIDARIA</v>
          </cell>
        </row>
        <row r="3533">
          <cell r="AH3533" t="str">
            <v>SUPERINTENDENCIA DE INDUSTRIA Y COMERCIO</v>
          </cell>
        </row>
        <row r="3534">
          <cell r="AH3534" t="str">
            <v>SUPERINTENDENCIA DE NOTARIADO Y REGISTRO</v>
          </cell>
        </row>
        <row r="3535">
          <cell r="AH3535" t="str">
            <v>SUPERINTENDENCIA DE SERVICIOS PUBLICOS DOMICILIARIOS</v>
          </cell>
        </row>
        <row r="3536">
          <cell r="AH3536" t="str">
            <v>SUPERINTENDENCIA DE SOCIEDADES</v>
          </cell>
        </row>
        <row r="3537">
          <cell r="AH3537" t="str">
            <v>SUPERINTENDENCIA DE SUBSIDIO FAMILIAR</v>
          </cell>
        </row>
        <row r="3538">
          <cell r="AH3538" t="str">
            <v>SUPERINTENDENCIA DE VIGILANCIA Y SEGURIDAD PRIVADA</v>
          </cell>
        </row>
        <row r="3539">
          <cell r="AH3539" t="str">
            <v>SUPERINTENDENCIA FINANCIERA DE COLOMBIA</v>
          </cell>
        </row>
        <row r="3540">
          <cell r="AH3540" t="str">
            <v>SUPERINTENDENCIA GENERAL DE PUERTOS</v>
          </cell>
        </row>
        <row r="3541">
          <cell r="AH3541" t="str">
            <v>SUPERINTENDENCIA NACIONAL DE SALUD</v>
          </cell>
        </row>
        <row r="3542">
          <cell r="AH3542" t="str">
            <v>SUPÍA</v>
          </cell>
        </row>
        <row r="3543">
          <cell r="AH3543" t="str">
            <v>SURABASTOS - EN LIQUIDACION</v>
          </cell>
        </row>
        <row r="3544">
          <cell r="AH3544" t="str">
            <v>SURATÁ</v>
          </cell>
        </row>
        <row r="3545">
          <cell r="AH3545" t="str">
            <v>SUSA</v>
          </cell>
        </row>
        <row r="3546">
          <cell r="AH3546" t="str">
            <v>SUSACÓN</v>
          </cell>
        </row>
        <row r="3547">
          <cell r="AH3547" t="str">
            <v>SUTAMARCHÁN</v>
          </cell>
        </row>
        <row r="3548">
          <cell r="AH3548" t="str">
            <v>SUTATAUSA</v>
          </cell>
        </row>
        <row r="3549">
          <cell r="AH3549" t="str">
            <v>SUTATENZA</v>
          </cell>
        </row>
        <row r="3550">
          <cell r="AH3550" t="str">
            <v>TABIO</v>
          </cell>
        </row>
        <row r="3551">
          <cell r="AH3551" t="str">
            <v>TADÓ</v>
          </cell>
        </row>
        <row r="3552">
          <cell r="AH3552" t="str">
            <v>TALAIGUA NUEVO</v>
          </cell>
        </row>
        <row r="3553">
          <cell r="AH3553" t="str">
            <v>TAMALAMEQUE</v>
          </cell>
        </row>
        <row r="3554">
          <cell r="AH3554" t="str">
            <v>TÁMARA</v>
          </cell>
        </row>
        <row r="3555">
          <cell r="AH3555" t="str">
            <v>TAME</v>
          </cell>
        </row>
        <row r="3556">
          <cell r="AH3556" t="str">
            <v>TÁMESIS</v>
          </cell>
        </row>
        <row r="3557">
          <cell r="AH3557" t="str">
            <v>TAMINANGO</v>
          </cell>
        </row>
        <row r="3558">
          <cell r="AH3558" t="str">
            <v>TANGUA</v>
          </cell>
        </row>
        <row r="3559">
          <cell r="AH3559" t="str">
            <v>TARAIRA</v>
          </cell>
        </row>
        <row r="3560">
          <cell r="AH3560" t="str">
            <v>TARAZÁ</v>
          </cell>
        </row>
        <row r="3561">
          <cell r="AH3561" t="str">
            <v>TÁRQUI</v>
          </cell>
        </row>
        <row r="3562">
          <cell r="AH3562" t="str">
            <v>TARSO</v>
          </cell>
        </row>
        <row r="3563">
          <cell r="AH3563" t="str">
            <v>TASCO</v>
          </cell>
        </row>
        <row r="3564">
          <cell r="AH3564" t="str">
            <v>TAURAMENA</v>
          </cell>
        </row>
        <row r="3565">
          <cell r="AH3565" t="str">
            <v>TAUSA</v>
          </cell>
        </row>
        <row r="3566">
          <cell r="AH3566" t="str">
            <v>TECNOLÓGICO DE ANTIOQUIA</v>
          </cell>
        </row>
        <row r="3567">
          <cell r="AH3567" t="str">
            <v>TELECALI S.A.</v>
          </cell>
        </row>
        <row r="3568">
          <cell r="AH3568" t="str">
            <v>TELEVISION REGIONAL DE ORIENTE LTDA.</v>
          </cell>
        </row>
        <row r="3569">
          <cell r="AH3569" t="str">
            <v>TELLO</v>
          </cell>
        </row>
        <row r="3570">
          <cell r="AH3570" t="str">
            <v>TENA</v>
          </cell>
        </row>
        <row r="3571">
          <cell r="AH3571" t="str">
            <v>TENERIFE</v>
          </cell>
        </row>
        <row r="3572">
          <cell r="AH3572" t="str">
            <v>TENJO</v>
          </cell>
        </row>
        <row r="3573">
          <cell r="AH3573" t="str">
            <v>TENZA</v>
          </cell>
        </row>
        <row r="3574">
          <cell r="AH3574" t="str">
            <v>TEORAMA</v>
          </cell>
        </row>
        <row r="3575">
          <cell r="AH3575" t="str">
            <v>TERMINAL DE TRANSPORTE DE APARTADÓ</v>
          </cell>
        </row>
        <row r="3576">
          <cell r="AH3576" t="str">
            <v>TERMINAL DE TRANSPORTE DE PASAJEROS DE SANTA ROSA DE VITERBO S.A.</v>
          </cell>
        </row>
        <row r="3577">
          <cell r="AH3577" t="str">
            <v>TERMINAL DE TRANSPORTE S.A.</v>
          </cell>
        </row>
        <row r="3578">
          <cell r="AH3578" t="str">
            <v>TERMINAL DE TRANSPORTES DE ARMENIA S.A.</v>
          </cell>
        </row>
        <row r="3579">
          <cell r="AH3579" t="str">
            <v>TERMINAL DE TRANSPORTES DE BARRANQUILLA S. A.</v>
          </cell>
        </row>
        <row r="3580">
          <cell r="AH3580" t="str">
            <v>TERMINAL DE TRANSPORTES DE BUENAVENTURA</v>
          </cell>
        </row>
        <row r="3581">
          <cell r="AH3581" t="str">
            <v>TERMINAL DE TRANSPORTES DE FLORENCIA S.A.</v>
          </cell>
        </row>
        <row r="3582">
          <cell r="AH3582" t="str">
            <v>TERMINAL DE TRANSPORTES DE FUSAGASUGA</v>
          </cell>
        </row>
        <row r="3583">
          <cell r="AH3583" t="str">
            <v>TERMINAL DE TRANSPORTES DE HONDA S.A.</v>
          </cell>
        </row>
        <row r="3584">
          <cell r="AH3584" t="str">
            <v>TERMINAL DE TRANSPORTES DE IBAGUE S.A.</v>
          </cell>
        </row>
        <row r="3585">
          <cell r="AH3585" t="str">
            <v>TERMINAL DE TRANSPORTES DE MANIZALES LTDA.</v>
          </cell>
        </row>
        <row r="3586">
          <cell r="AH3586" t="str">
            <v>TERMINAL DE TRANSPORTES DE MARSELLA S.A. - EN LIQUIDACION</v>
          </cell>
        </row>
        <row r="3587">
          <cell r="AH3587" t="str">
            <v>TERMINAL DE TRANSPORTES DE NEIVA S. A.</v>
          </cell>
        </row>
        <row r="3588">
          <cell r="AH3588" t="str">
            <v>TERMINAL DE TRANSPORTES DE PASTO S.A.</v>
          </cell>
        </row>
        <row r="3589">
          <cell r="AH3589" t="str">
            <v>TERMINAL DE TRANSPORTES DE PEREIRA S.A.</v>
          </cell>
        </row>
        <row r="3590">
          <cell r="AH3590" t="str">
            <v>TERMINAL DE TRANSPORTES DE PITALITO S.A.</v>
          </cell>
        </row>
        <row r="3591">
          <cell r="AH3591" t="str">
            <v>TERMINAL DE TRANSPORTES DE SAN GIL</v>
          </cell>
        </row>
        <row r="3592">
          <cell r="AH3592" t="str">
            <v>TERMINAL DE TRANSPORTES DE SOGAMOSO LTDA.</v>
          </cell>
        </row>
        <row r="3593">
          <cell r="AH3593" t="str">
            <v>TERMINAL DE TRANSPORTES DE VALLEDUPAR S.A.</v>
          </cell>
        </row>
        <row r="3594">
          <cell r="AH3594" t="str">
            <v>TERMINAL DE TRANSPORTES DE VILLAVICENCIO S.A.</v>
          </cell>
        </row>
        <row r="3595">
          <cell r="AH3595" t="str">
            <v>TERMINAL DE TRANSPORTES DEL SOCORRO S.A.</v>
          </cell>
        </row>
        <row r="3596">
          <cell r="AH3596" t="str">
            <v>TERMINAL DE TRANSPORTES POPAYAN S.A.</v>
          </cell>
        </row>
        <row r="3597">
          <cell r="AH3597" t="str">
            <v>TERMINALES DE TRANSPORTES DE MEDELLÍN S.A.</v>
          </cell>
        </row>
        <row r="3598">
          <cell r="AH3598" t="str">
            <v>TERUEL</v>
          </cell>
        </row>
        <row r="3599">
          <cell r="AH3599" t="str">
            <v>TESALIA</v>
          </cell>
        </row>
        <row r="3600">
          <cell r="AH3600" t="str">
            <v>TESORO NACIONAL</v>
          </cell>
        </row>
        <row r="3601">
          <cell r="AH3601" t="str">
            <v>TEVEANDINA</v>
          </cell>
        </row>
        <row r="3602">
          <cell r="AH3602" t="str">
            <v>TIBACUY</v>
          </cell>
        </row>
        <row r="3603">
          <cell r="AH3603" t="str">
            <v>TIBANÁ</v>
          </cell>
        </row>
        <row r="3604">
          <cell r="AH3604" t="str">
            <v>TIBASOSA</v>
          </cell>
        </row>
        <row r="3605">
          <cell r="AH3605" t="str">
            <v>TIBIRITA</v>
          </cell>
        </row>
        <row r="3606">
          <cell r="AH3606" t="str">
            <v>TIBÚ</v>
          </cell>
        </row>
        <row r="3607">
          <cell r="AH3607" t="str">
            <v>TIERRALTA</v>
          </cell>
        </row>
        <row r="3608">
          <cell r="AH3608" t="str">
            <v>TIMANÁ</v>
          </cell>
        </row>
        <row r="3609">
          <cell r="AH3609" t="str">
            <v>TIMBÍO</v>
          </cell>
        </row>
        <row r="3610">
          <cell r="AH3610" t="str">
            <v>TIMBIQUÍ</v>
          </cell>
        </row>
        <row r="3611">
          <cell r="AH3611" t="str">
            <v>TINJACÁ</v>
          </cell>
        </row>
        <row r="3612">
          <cell r="AH3612" t="str">
            <v>TIPACOQUE</v>
          </cell>
        </row>
        <row r="3613">
          <cell r="AH3613" t="str">
            <v>TIQUISIO</v>
          </cell>
        </row>
        <row r="3614">
          <cell r="AH3614" t="str">
            <v>TITIRIBÍ</v>
          </cell>
        </row>
        <row r="3615">
          <cell r="AH3615" t="str">
            <v>TOCA</v>
          </cell>
        </row>
        <row r="3616">
          <cell r="AH3616" t="str">
            <v>TOCAIMA</v>
          </cell>
        </row>
        <row r="3617">
          <cell r="AH3617" t="str">
            <v>TOCANCIPÁ</v>
          </cell>
        </row>
        <row r="3618">
          <cell r="AH3618" t="str">
            <v>TOGÜÍ</v>
          </cell>
        </row>
        <row r="3619">
          <cell r="AH3619" t="str">
            <v>TOLEDO - ANTIOQUIA</v>
          </cell>
        </row>
        <row r="3620">
          <cell r="AH3620" t="str">
            <v>TOLEDO - NORTE DE SANTANDER</v>
          </cell>
        </row>
        <row r="3621">
          <cell r="AH3621" t="str">
            <v>TOLUVIEJO</v>
          </cell>
        </row>
        <row r="3622">
          <cell r="AH3622" t="str">
            <v>TONA</v>
          </cell>
        </row>
        <row r="3623">
          <cell r="AH3623" t="str">
            <v>TÓPAGA</v>
          </cell>
        </row>
        <row r="3624">
          <cell r="AH3624" t="str">
            <v>TOPAIPÍ</v>
          </cell>
        </row>
        <row r="3625">
          <cell r="AH3625" t="str">
            <v>TORIBÍO</v>
          </cell>
        </row>
        <row r="3626">
          <cell r="AH3626" t="str">
            <v>TORO</v>
          </cell>
        </row>
        <row r="3627">
          <cell r="AH3627" t="str">
            <v>TOTA</v>
          </cell>
        </row>
        <row r="3628">
          <cell r="AH3628" t="str">
            <v>TOTORÓ</v>
          </cell>
        </row>
        <row r="3629">
          <cell r="AH3629" t="str">
            <v>TRANSCARIBE S.A.</v>
          </cell>
        </row>
        <row r="3630">
          <cell r="AH3630" t="str">
            <v>TRANSMETRO S.A.</v>
          </cell>
        </row>
        <row r="3631">
          <cell r="AH3631" t="str">
            <v>TRIBUNAL DE ÉTICA MÉDICA DE CALDAS</v>
          </cell>
        </row>
        <row r="3632">
          <cell r="AH3632" t="str">
            <v>TRIBUNAL DE ÉTICA MÉDICA DE SANTANDER</v>
          </cell>
        </row>
        <row r="3633">
          <cell r="AH3633" t="str">
            <v>TRIBUNAL DE ÉTICA MÉDICA DEL ATLÁNTICO</v>
          </cell>
        </row>
        <row r="3634">
          <cell r="AH3634" t="str">
            <v>TRIBUNAL NACIONAL DE ETICA MÉDICA</v>
          </cell>
        </row>
        <row r="3635">
          <cell r="AH3635" t="str">
            <v>TRIBUNAL SECCIONAL DE ÉTICA MÉDICA DEL TOLIMA</v>
          </cell>
        </row>
        <row r="3636">
          <cell r="AH3636" t="str">
            <v>TRIBUNAL SECCIONAL DE ÉTICA ODONTOLÓGICA DE CALDAS</v>
          </cell>
        </row>
        <row r="3637">
          <cell r="AH3637" t="str">
            <v>TRINIDAD</v>
          </cell>
        </row>
        <row r="3638">
          <cell r="AH3638" t="str">
            <v>TRUJILLO</v>
          </cell>
        </row>
        <row r="3639">
          <cell r="AH3639" t="str">
            <v>TUBARÁ</v>
          </cell>
        </row>
        <row r="3640">
          <cell r="AH3640" t="str">
            <v>TUCHIN</v>
          </cell>
        </row>
        <row r="3641">
          <cell r="AH3641" t="str">
            <v>TULUÁ</v>
          </cell>
        </row>
        <row r="3642">
          <cell r="AH3642" t="str">
            <v>TUMACO</v>
          </cell>
        </row>
        <row r="3643">
          <cell r="AH3643" t="str">
            <v>TUNJA</v>
          </cell>
        </row>
        <row r="3644">
          <cell r="AH3644" t="str">
            <v>TUNUNGUÁ</v>
          </cell>
        </row>
        <row r="3645">
          <cell r="AH3645" t="str">
            <v>TUQUERRES</v>
          </cell>
        </row>
        <row r="3646">
          <cell r="AH3646" t="str">
            <v>TURBACO</v>
          </cell>
        </row>
        <row r="3647">
          <cell r="AH3647" t="str">
            <v>TURBANA</v>
          </cell>
        </row>
        <row r="3648">
          <cell r="AH3648" t="str">
            <v>TURBO</v>
          </cell>
        </row>
        <row r="3649">
          <cell r="AH3649" t="str">
            <v>TURMEQUÉ</v>
          </cell>
        </row>
        <row r="3650">
          <cell r="AH3650" t="str">
            <v>TURNARIÑO</v>
          </cell>
        </row>
        <row r="3651">
          <cell r="AH3651" t="str">
            <v>TUTA</v>
          </cell>
        </row>
        <row r="3652">
          <cell r="AH3652" t="str">
            <v>TUTASÁ</v>
          </cell>
        </row>
        <row r="3653">
          <cell r="AH3653" t="str">
            <v>U.A.E. AGENCIA DEL INSPECTOR GENERAL DE TRIBUTOS, RENTAS Y CONTRIBUCIONES PARAFISCALES</v>
          </cell>
        </row>
        <row r="3654">
          <cell r="AH3654" t="str">
            <v>U.A.E. AGENCIA NACIONAL DE HIDROCARBUROS</v>
          </cell>
        </row>
        <row r="3655">
          <cell r="AH3655" t="str">
            <v>U.A.E. AGENCIA NACIONAL DEL ESPECTRO</v>
          </cell>
        </row>
        <row r="3656">
          <cell r="AH3656" t="str">
            <v>U.A.E. AUTORIDAD NACIONAL  DE ACUICULTURA Y PESCA</v>
          </cell>
        </row>
        <row r="3657">
          <cell r="AH3657" t="str">
            <v>U.A.E. AUTORIDAD NACIONAL DE LICENCIAS AMBIENTALES</v>
          </cell>
        </row>
        <row r="3658">
          <cell r="AH3658" t="str">
            <v>U.A.E. BOSQUES DE CUNDINAMARCA</v>
          </cell>
        </row>
        <row r="3659">
          <cell r="AH3659" t="str">
            <v>U.A.E. CENTRO DE SALUD - ARCABUCO</v>
          </cell>
        </row>
        <row r="3660">
          <cell r="AH3660" t="str">
            <v>U.A.E. CENTRO DE SALUD - ZETAQUIRA</v>
          </cell>
        </row>
        <row r="3661">
          <cell r="AH3661" t="str">
            <v>U.A.E. CENTRO DE SALUD -BETEITIVA</v>
          </cell>
        </row>
        <row r="3662">
          <cell r="AH3662" t="str">
            <v>U.A.E. CENTRO DE SALUD DE SAN ROQUE - TURUEL</v>
          </cell>
        </row>
        <row r="3663">
          <cell r="AH3663" t="str">
            <v>U.A.E. CENTRO DE SALUD DE TOGUI</v>
          </cell>
        </row>
        <row r="3664">
          <cell r="AH3664" t="str">
            <v>U.A.E. CENTRO DE SALUD -LUIS PATIÑO CAMARGO-</v>
          </cell>
        </row>
        <row r="3665">
          <cell r="AH3665" t="str">
            <v>U.A.E. CENTRO DE SALUD SANTA RITA DE CASIA</v>
          </cell>
        </row>
        <row r="3666">
          <cell r="AH3666" t="str">
            <v>U.A.E. CONTADURIA GENERAL DE LA NACION</v>
          </cell>
        </row>
        <row r="3667">
          <cell r="AH3667" t="str">
            <v>U.A.E. DE CATASTRO DISTRITAL</v>
          </cell>
        </row>
        <row r="3668">
          <cell r="AH3668" t="str">
            <v>U.A.E. DE GESTION DE RESTITUCION DE TIERRAS DESPOJADAS</v>
          </cell>
        </row>
        <row r="3669">
          <cell r="AH3669" t="str">
            <v>U.A.E. DE GESTION PENSIONAL Y CONTRIBUCIONES PARAFISCALES DE LA PROTECCION SOCIAL</v>
          </cell>
        </row>
        <row r="3670">
          <cell r="AH3670" t="str">
            <v>U.A.E. DE LA AERONAUTICA CIVIL</v>
          </cell>
        </row>
        <row r="3671">
          <cell r="AH3671" t="str">
            <v>U.A.E. DE LA DIRECCION DE IMPUESTOS Y ADUANAS NACIONALES</v>
          </cell>
        </row>
        <row r="3672">
          <cell r="AH3672" t="str">
            <v>U.A.E. DE ORGANIZACIONES SOLIDARIAS</v>
          </cell>
        </row>
        <row r="3673">
          <cell r="AH3673" t="str">
            <v>U.A.E. DE REHABILITACION Y MANTENIMIENTO VIAL</v>
          </cell>
        </row>
        <row r="3674">
          <cell r="AH3674" t="str">
            <v>U.A.E. DE RENTAS Y GESTIÓN TRIBUTARIA DE CUNDINAMARCA</v>
          </cell>
        </row>
        <row r="3675">
          <cell r="AH3675" t="str">
            <v>U.A.E. DE SALUD CAMILO TRUJILLO SILVA - PALESTINA</v>
          </cell>
        </row>
        <row r="3676">
          <cell r="AH3676" t="str">
            <v>U.A.E. DE SALUD DE ARAUCA</v>
          </cell>
        </row>
        <row r="3677">
          <cell r="AH3677" t="str">
            <v>U.A.E. DE SALUD PAICOL - HUILA</v>
          </cell>
        </row>
        <row r="3678">
          <cell r="AH3678" t="str">
            <v>U.A.E. DE SERVICIOS PUBLICOS - BOGOTA</v>
          </cell>
        </row>
        <row r="3679">
          <cell r="AH3679" t="str">
            <v>U.A.E. EN SALUD - ALTAMIRA</v>
          </cell>
        </row>
        <row r="3680">
          <cell r="AH3680" t="str">
            <v>U.A.E. INSTITUTO NACIONAL DE METROLOGIA</v>
          </cell>
        </row>
        <row r="3681">
          <cell r="AH3681" t="str">
            <v>U.A.E. IPS CENTRO DE SALUD SAN JOSE DE GUAVATÁ</v>
          </cell>
        </row>
        <row r="3682">
          <cell r="AH3682" t="str">
            <v>U.A.E. JUNTA  CENTRAL DE CONTADORES</v>
          </cell>
        </row>
        <row r="3683">
          <cell r="AH3683" t="str">
            <v>U.A.E. PARA LA CONSOLIDACION TERRITORIAL</v>
          </cell>
        </row>
        <row r="3684">
          <cell r="AH3684" t="str">
            <v>U.A.E. SISTEMA ESTRATEGICO DE TRANSPORTE PUBLICO DE PASAJEROS PARA PASTO</v>
          </cell>
        </row>
        <row r="3685">
          <cell r="AH3685" t="str">
            <v>U.A.E. UNIDAD DE LICORES DEL META</v>
          </cell>
        </row>
        <row r="3686">
          <cell r="AH3686" t="str">
            <v>UBALÁ</v>
          </cell>
        </row>
        <row r="3687">
          <cell r="AH3687" t="str">
            <v>UBAQUE</v>
          </cell>
        </row>
        <row r="3688">
          <cell r="AH3688" t="str">
            <v>UBATÉ</v>
          </cell>
        </row>
        <row r="3689">
          <cell r="AH3689" t="str">
            <v>ULLOA</v>
          </cell>
        </row>
        <row r="3690">
          <cell r="AH3690" t="str">
            <v>ÚMBITA</v>
          </cell>
        </row>
        <row r="3691">
          <cell r="AH3691" t="str">
            <v>UNE</v>
          </cell>
        </row>
        <row r="3692">
          <cell r="AH3692" t="str">
            <v>UNGUÍA</v>
          </cell>
        </row>
        <row r="3693">
          <cell r="AH3693" t="str">
            <v>UNIDAD ADMINISTRATIVA ESPECIAL MIGRACION COLOMBIA</v>
          </cell>
        </row>
        <row r="3694">
          <cell r="AH3694" t="str">
            <v>UNIDAD DE INFORMACIÓN Y ANÁLISIS FINANCIERO</v>
          </cell>
        </row>
        <row r="3695">
          <cell r="AH3695" t="str">
            <v>UNIDAD DE PENSIONES DEL INSTITUTO DE SEGUROS SOCIALES</v>
          </cell>
        </row>
        <row r="3696">
          <cell r="AH3696" t="str">
            <v>UNIDAD DE PLANEACION MINERO ENERGETICA</v>
          </cell>
        </row>
        <row r="3697">
          <cell r="AH3697" t="str">
            <v>UNIDAD DE PLANIFICACION DE TIERRAS RURALES, ADECUACION DE TIERRAS Y USOS AGROPECUARIOS</v>
          </cell>
        </row>
        <row r="3698">
          <cell r="AH3698" t="str">
            <v>UNIDAD DE SERVICIOS PENITENCIARIOS Y CARCELARIOS</v>
          </cell>
        </row>
        <row r="3699">
          <cell r="AH3699" t="str">
            <v>UNIDAD DE SERVICIOS PUBLICOS DOMICILIARIOS DE CHIVATA</v>
          </cell>
        </row>
        <row r="3700">
          <cell r="AH3700" t="str">
            <v>UNIDAD DEPARTAMENTAL DE AGUA DEL CAUCA S.A., UNIAGUA S.A. - EN LIQUIDACION</v>
          </cell>
        </row>
        <row r="3701">
          <cell r="AH3701" t="str">
            <v>UNIDAD EJECUTORA DE SANEAMIENTO DEL VALLE DEL CAUCA</v>
          </cell>
        </row>
        <row r="3702">
          <cell r="AH3702" t="str">
            <v>UNIDAD ESPECIAL DE SERVICIOS PUBLICOS DOMICILIARIOS - NECOLCI</v>
          </cell>
        </row>
        <row r="3703">
          <cell r="AH3703" t="str">
            <v>UNIDAD NACIONAL DE PROTECCIÓN</v>
          </cell>
        </row>
        <row r="3704">
          <cell r="AH3704" t="str">
            <v>UNIDAD NACIONAL PARA LA GESTION DEL RIESGO DE DESASTRES</v>
          </cell>
        </row>
        <row r="3705">
          <cell r="AH3705" t="str">
            <v>UNIDAD PARA LA ATENCIÓN Y REPARACIÓN INTEGRAL A LAS VÍCTIMAS</v>
          </cell>
        </row>
        <row r="3706">
          <cell r="AH3706" t="str">
            <v>UNIDADES TECNOLOGICAS DE SANTANDER</v>
          </cell>
        </row>
        <row r="3707">
          <cell r="AH3707" t="str">
            <v>UNIÓN PANAMERICANA</v>
          </cell>
        </row>
        <row r="3708">
          <cell r="AH3708" t="str">
            <v>UNIVERSIDAD  FRANCISCO DE PAULA SANTANDER</v>
          </cell>
        </row>
        <row r="3709">
          <cell r="AH3709" t="str">
            <v>UNIVERSIDAD  FRANCISCO DE PAULA SANTANDER  -SECCIONAL OCAÑA</v>
          </cell>
        </row>
        <row r="3710">
          <cell r="AH3710" t="str">
            <v>UNIVERSIDAD CENTRAL DEL VALLE DEL CAUCA</v>
          </cell>
        </row>
        <row r="3711">
          <cell r="AH3711" t="str">
            <v>UNIVERSIDAD COLEGIO MAYOR DE CUNDINAMARCA</v>
          </cell>
        </row>
        <row r="3712">
          <cell r="AH3712" t="str">
            <v>UNIVERSIDAD DE ANTIOQUIA</v>
          </cell>
        </row>
        <row r="3713">
          <cell r="AH3713" t="str">
            <v>UNIVERSIDAD DE ATLÁNTICO</v>
          </cell>
        </row>
        <row r="3714">
          <cell r="AH3714" t="str">
            <v>UNIVERSIDAD DE CALDAS</v>
          </cell>
        </row>
        <row r="3715">
          <cell r="AH3715" t="str">
            <v>UNIVERSIDAD DE CARTAGENA</v>
          </cell>
        </row>
        <row r="3716">
          <cell r="AH3716" t="str">
            <v>UNIVERSIDAD DE CUNDINAMARCA</v>
          </cell>
        </row>
        <row r="3717">
          <cell r="AH3717" t="str">
            <v>UNIVERSIDAD DE LA AMAZONIA</v>
          </cell>
        </row>
        <row r="3718">
          <cell r="AH3718" t="str">
            <v>UNIVERSIDAD DE LA GUAJIRA</v>
          </cell>
        </row>
        <row r="3719">
          <cell r="AH3719" t="str">
            <v>UNIVERSIDAD DE LOS LLANOS</v>
          </cell>
        </row>
        <row r="3720">
          <cell r="AH3720" t="str">
            <v>UNIVERSIDAD DE NARIÑO</v>
          </cell>
        </row>
        <row r="3721">
          <cell r="AH3721" t="str">
            <v>UNIVERSIDAD DE PAMPLONA</v>
          </cell>
        </row>
        <row r="3722">
          <cell r="AH3722" t="str">
            <v>UNIVERSIDAD DE SUCRE</v>
          </cell>
        </row>
        <row r="3723">
          <cell r="AH3723" t="str">
            <v>UNIVERSIDAD DEL CAUCA</v>
          </cell>
        </row>
        <row r="3724">
          <cell r="AH3724" t="str">
            <v>UNIVERSIDAD DEL MAGDALENA</v>
          </cell>
        </row>
        <row r="3725">
          <cell r="AH3725" t="str">
            <v>UNIVERSIDAD DEL PACIFICO</v>
          </cell>
        </row>
        <row r="3726">
          <cell r="AH3726" t="str">
            <v>UNIVERSIDAD DEL QUINDIO</v>
          </cell>
        </row>
        <row r="3727">
          <cell r="AH3727" t="str">
            <v>UNIVERSIDAD DEL TOLIMA</v>
          </cell>
        </row>
        <row r="3728">
          <cell r="AH3728" t="str">
            <v>UNIVERSIDAD DEL VALLE</v>
          </cell>
        </row>
        <row r="3729">
          <cell r="AH3729" t="str">
            <v>UNIVERSIDAD DISTRITAL  FRANCISCO JOSÉ DE CALDAS</v>
          </cell>
        </row>
        <row r="3730">
          <cell r="AH3730" t="str">
            <v>UNIVERSIDAD INDUSTRIAL DE SANTANDER - UIS -</v>
          </cell>
        </row>
        <row r="3731">
          <cell r="AH3731" t="str">
            <v>UNIVERSIDAD MILITAR NUEVA GRANADA</v>
          </cell>
        </row>
        <row r="3732">
          <cell r="AH3732" t="str">
            <v>UNIVERSIDAD NACIONAL ABIERTA Y A DISTANCIA</v>
          </cell>
        </row>
        <row r="3733">
          <cell r="AH3733" t="str">
            <v>UNIVERSIDAD NACIONAL DE COLOMBIA</v>
          </cell>
        </row>
        <row r="3734">
          <cell r="AH3734" t="str">
            <v>UNIVERSIDAD NACIONAL DE CORDOBA</v>
          </cell>
        </row>
        <row r="3735">
          <cell r="AH3735" t="str">
            <v>UNIVERSIDAD PEDAGOGICA NACIONAL</v>
          </cell>
        </row>
        <row r="3736">
          <cell r="AH3736" t="str">
            <v>UNIVERSIDAD PEDAGOGICA Y TECNOLOGICA DE COLOMBIA</v>
          </cell>
        </row>
        <row r="3737">
          <cell r="AH3737" t="str">
            <v>UNIVERSIDAD POPULAR DEL CESAR</v>
          </cell>
        </row>
        <row r="3738">
          <cell r="AH3738" t="str">
            <v>UNIVERSIDAD SURCOLOMBIANA</v>
          </cell>
        </row>
        <row r="3739">
          <cell r="AH3739" t="str">
            <v>UNIVERSIDAD TECNOLOGICA DE PEREIRA</v>
          </cell>
        </row>
        <row r="3740">
          <cell r="AH3740" t="str">
            <v>UNIVERSIDAD TECNOLOGICA DEL CHOCO DIEGO LUIS CORDOBA</v>
          </cell>
        </row>
        <row r="3741">
          <cell r="AH3741" t="str">
            <v>URAMITA</v>
          </cell>
        </row>
        <row r="3742">
          <cell r="AH3742" t="str">
            <v>URIBIA</v>
          </cell>
        </row>
        <row r="3743">
          <cell r="AH3743" t="str">
            <v>URRAO</v>
          </cell>
        </row>
        <row r="3744">
          <cell r="AH3744" t="str">
            <v>URUMITA</v>
          </cell>
        </row>
        <row r="3745">
          <cell r="AH3745" t="str">
            <v>USIACURÍ</v>
          </cell>
        </row>
        <row r="3746">
          <cell r="AH3746" t="str">
            <v>ÚTICA</v>
          </cell>
        </row>
        <row r="3747">
          <cell r="AH3747" t="str">
            <v>VALDIVIA</v>
          </cell>
        </row>
        <row r="3748">
          <cell r="AH3748" t="str">
            <v>VALENCIA</v>
          </cell>
        </row>
        <row r="3749">
          <cell r="AH3749" t="str">
            <v>VALLE DE SAN JOSÉ</v>
          </cell>
        </row>
        <row r="3750">
          <cell r="AH3750" t="str">
            <v>VALLE DE SAN JUAN</v>
          </cell>
        </row>
        <row r="3751">
          <cell r="AH3751" t="str">
            <v>VALLE DEL GUAMUEZ (LA HORMIGA)</v>
          </cell>
        </row>
        <row r="3752">
          <cell r="AH3752" t="str">
            <v>VALLEDUPAR</v>
          </cell>
        </row>
        <row r="3753">
          <cell r="AH3753" t="str">
            <v>VALPARAÍSO - ANTIOQUIA</v>
          </cell>
        </row>
        <row r="3754">
          <cell r="AH3754" t="str">
            <v>VALPARAÍSO - CAQUETÁ</v>
          </cell>
        </row>
        <row r="3755">
          <cell r="AH3755" t="str">
            <v>VEGACHÍ</v>
          </cell>
        </row>
        <row r="3756">
          <cell r="AH3756" t="str">
            <v>VÉLEZ</v>
          </cell>
        </row>
        <row r="3757">
          <cell r="AH3757" t="str">
            <v>VENADILLO</v>
          </cell>
        </row>
        <row r="3758">
          <cell r="AH3758" t="str">
            <v>VENECIA - ANTIOQUIA</v>
          </cell>
        </row>
        <row r="3759">
          <cell r="AH3759" t="str">
            <v>VENECIA - CUNDINAMARCA</v>
          </cell>
        </row>
        <row r="3760">
          <cell r="AH3760" t="str">
            <v>VENTAQUEMADA</v>
          </cell>
        </row>
        <row r="3761">
          <cell r="AH3761" t="str">
            <v>VERGARA</v>
          </cell>
        </row>
        <row r="3762">
          <cell r="AH3762" t="str">
            <v>VERSALLES</v>
          </cell>
        </row>
        <row r="3763">
          <cell r="AH3763" t="str">
            <v>VETAS</v>
          </cell>
        </row>
        <row r="3764">
          <cell r="AH3764" t="str">
            <v>VIANÍ</v>
          </cell>
        </row>
        <row r="3765">
          <cell r="AH3765" t="str">
            <v>VICTORIA</v>
          </cell>
        </row>
        <row r="3766">
          <cell r="AH3766" t="str">
            <v>VIGÍA DEL FUERTE</v>
          </cell>
        </row>
        <row r="3767">
          <cell r="AH3767" t="str">
            <v>VIJES</v>
          </cell>
        </row>
        <row r="3768">
          <cell r="AH3768" t="str">
            <v>VILLA DE LEYVA</v>
          </cell>
        </row>
        <row r="3769">
          <cell r="AH3769" t="str">
            <v>VILLA DEL ROSARIO</v>
          </cell>
        </row>
        <row r="3770">
          <cell r="AH3770" t="str">
            <v>VILLACARO</v>
          </cell>
        </row>
        <row r="3771">
          <cell r="AH3771" t="str">
            <v>VILLAGARZÓN (VILLA AMAZONICA)</v>
          </cell>
        </row>
        <row r="3772">
          <cell r="AH3772" t="str">
            <v>VILLAGÓMEZ</v>
          </cell>
        </row>
        <row r="3773">
          <cell r="AH3773" t="str">
            <v>VILLAHERMOSA</v>
          </cell>
        </row>
        <row r="3774">
          <cell r="AH3774" t="str">
            <v>VILLAMARÍA</v>
          </cell>
        </row>
        <row r="3775">
          <cell r="AH3775" t="str">
            <v>VILLANUEVA - BOLIVAR</v>
          </cell>
        </row>
        <row r="3776">
          <cell r="AH3776" t="str">
            <v>VILLANUEVA - CASANARE</v>
          </cell>
        </row>
        <row r="3777">
          <cell r="AH3777" t="str">
            <v>VILLANUEVA - GUAJIRA</v>
          </cell>
        </row>
        <row r="3778">
          <cell r="AH3778" t="str">
            <v>VILLANUEVA - SANTANDER</v>
          </cell>
        </row>
        <row r="3779">
          <cell r="AH3779" t="str">
            <v>VILLAPINZÓN</v>
          </cell>
        </row>
        <row r="3780">
          <cell r="AH3780" t="str">
            <v>VILLARRICA - CAUCA</v>
          </cell>
        </row>
        <row r="3781">
          <cell r="AH3781" t="str">
            <v>VILLARRICA - TOLIMA</v>
          </cell>
        </row>
        <row r="3782">
          <cell r="AH3782" t="str">
            <v>VILLAVICENCIO</v>
          </cell>
        </row>
        <row r="3783">
          <cell r="AH3783" t="str">
            <v>VILLAVIEJA</v>
          </cell>
        </row>
        <row r="3784">
          <cell r="AH3784" t="str">
            <v>VILLAVIVIENDA</v>
          </cell>
        </row>
        <row r="3785">
          <cell r="AH3785" t="str">
            <v>VILLETA</v>
          </cell>
        </row>
        <row r="3786">
          <cell r="AH3786" t="str">
            <v>VIOTÁ</v>
          </cell>
        </row>
        <row r="3787">
          <cell r="AH3787" t="str">
            <v>VIRACACHÁ</v>
          </cell>
        </row>
        <row r="3788">
          <cell r="AH3788" t="str">
            <v>VISTA HERMOSA</v>
          </cell>
        </row>
        <row r="3789">
          <cell r="AH3789" t="str">
            <v>VITERBO</v>
          </cell>
        </row>
        <row r="3790">
          <cell r="AH3790" t="str">
            <v>YACOPÍ</v>
          </cell>
        </row>
        <row r="3791">
          <cell r="AH3791" t="str">
            <v>YACUANQUER</v>
          </cell>
        </row>
        <row r="3792">
          <cell r="AH3792" t="str">
            <v>YAGUARA</v>
          </cell>
        </row>
        <row r="3793">
          <cell r="AH3793" t="str">
            <v>YALÍ</v>
          </cell>
        </row>
        <row r="3794">
          <cell r="AH3794" t="str">
            <v>YARUMAL</v>
          </cell>
        </row>
        <row r="3795">
          <cell r="AH3795" t="str">
            <v>YOLOMBÓ</v>
          </cell>
        </row>
        <row r="3796">
          <cell r="AH3796" t="str">
            <v>YONDÓ (CASABE)</v>
          </cell>
        </row>
        <row r="3797">
          <cell r="AH3797" t="str">
            <v>YOPAL</v>
          </cell>
        </row>
        <row r="3798">
          <cell r="AH3798" t="str">
            <v>YOTOCO</v>
          </cell>
        </row>
        <row r="3799">
          <cell r="AH3799" t="str">
            <v>YUMBO</v>
          </cell>
        </row>
        <row r="3800">
          <cell r="AH3800" t="str">
            <v>ZAMBRANO</v>
          </cell>
        </row>
        <row r="3801">
          <cell r="AH3801" t="str">
            <v>ZAPATOCA</v>
          </cell>
        </row>
        <row r="3802">
          <cell r="AH3802" t="str">
            <v>ZAPAYÁN</v>
          </cell>
        </row>
        <row r="3803">
          <cell r="AH3803" t="str">
            <v>ZARAGOZA</v>
          </cell>
        </row>
        <row r="3804">
          <cell r="AH3804" t="str">
            <v>ZARZAL</v>
          </cell>
        </row>
        <row r="3805">
          <cell r="AH3805" t="str">
            <v>ZETAQUIRA</v>
          </cell>
        </row>
        <row r="3806">
          <cell r="AH3806" t="str">
            <v>ZIPACÓN</v>
          </cell>
        </row>
        <row r="3807">
          <cell r="AH3807" t="str">
            <v>ZIPAQUIRÁ</v>
          </cell>
        </row>
        <row r="3808">
          <cell r="AH3808" t="str">
            <v>ZONA BANANERA</v>
          </cell>
        </row>
        <row r="3809">
          <cell r="AH3809" t="str">
            <v>ZONA FRANCA ANDINA S.A.S.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Vigencia</v>
          </cell>
        </row>
        <row r="3">
          <cell r="C3">
            <v>2012</v>
          </cell>
        </row>
        <row r="4">
          <cell r="C4" t="str">
            <v>2013-2014</v>
          </cell>
        </row>
        <row r="5">
          <cell r="C5" t="str">
            <v>2015-2016</v>
          </cell>
        </row>
        <row r="6">
          <cell r="C6" t="str">
            <v>2017-2018</v>
          </cell>
        </row>
        <row r="9">
          <cell r="F9" t="str">
            <v>DEPARTAMENTO NACIONAL DE PLANEACIÓN</v>
          </cell>
        </row>
        <row r="10">
          <cell r="F10" t="str">
            <v>MINISTERIO DE HACIENDA Y CRÉDITO PÚBLICO</v>
          </cell>
        </row>
        <row r="11">
          <cell r="F11" t="str">
            <v>MINISTERIO DE AGRICULTURA Y DESARROLLO RURAL</v>
          </cell>
        </row>
        <row r="12">
          <cell r="F12" t="str">
            <v>MINISTERIO DE SALUD Y DE LA PROTECCIÓN SOCIAL</v>
          </cell>
        </row>
        <row r="13">
          <cell r="F13" t="str">
            <v>MINISTERIO DE MINAS Y ENERGÍA</v>
          </cell>
        </row>
        <row r="14">
          <cell r="F14" t="str">
            <v>MINISTERIO DE EDUCACIÓN NACIONAL</v>
          </cell>
        </row>
        <row r="15">
          <cell r="F15" t="str">
            <v>MINISTERIO DE TRANSPORTE</v>
          </cell>
        </row>
        <row r="16">
          <cell r="F16" t="str">
            <v>MINISTERIO DE AMBIENTE Y DESARROLLO SOSTENIBLE</v>
          </cell>
        </row>
        <row r="17">
          <cell r="F17" t="str">
            <v>DEPARTAMENTO ADMINISTRATIVO DE LA CIENCIA, TECNOLOGÍA E INNOVACIÓN</v>
          </cell>
        </row>
        <row r="18">
          <cell r="F18" t="str">
            <v>MINISTERIO DE VIVIENDA, CIUDAD Y TERRITORIO</v>
          </cell>
        </row>
        <row r="19">
          <cell r="F19" t="str">
            <v>DEPARTAMENTO ADMINISTRATIVO DEL DEPORTE, LA RECREACION, LA ACTIVIDAD FISICA Y EL APROVECHAMIENTO DEL TIEMPO LIBRE - COLDEPORTES</v>
          </cell>
        </row>
        <row r="20">
          <cell r="F20" t="str">
            <v>INSTITUTO COLOMBIANO DE CREDITO EDUCATIVO Y ESTUDIOS TECNICOS EN EL EXTERIOR - ICETEX</v>
          </cell>
        </row>
        <row r="21">
          <cell r="F21" t="str">
            <v>MINISTERIO DE CULTURA</v>
          </cell>
        </row>
        <row r="22">
          <cell r="F22" t="str">
            <v>MINISTERIO DE INDUSTRIA Y COMERCIO</v>
          </cell>
        </row>
        <row r="23">
          <cell r="F23" t="str">
            <v>MINISTERIO DE TECNOLOGÍAS DE LA INFORMACIÓN</v>
          </cell>
        </row>
        <row r="24">
          <cell r="F24" t="str">
            <v xml:space="preserve">DEPARTAMENTO SOCIAL PARA LA PROSPERIDAD 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eo"/>
      <sheetName val="ranking"/>
      <sheetName val="RES_RANKING"/>
      <sheetName val="Hoja1"/>
      <sheetName val="LISTAS"/>
    </sheetNames>
    <sheetDataSet>
      <sheetData sheetId="0"/>
      <sheetData sheetId="1"/>
      <sheetData sheetId="2"/>
      <sheetData sheetId="3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Hoja1"/>
    </sheetNames>
    <sheetDataSet>
      <sheetData sheetId="0" refreshError="1"/>
      <sheetData sheetId="1" refreshError="1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  <sheetName val="INFORMACION"/>
      <sheetName val="SALDOS"/>
      <sheetName val="94-03 Mil Corr 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  <sheetName val="GIROS SITUAD.FISCAL- 2000"/>
      <sheetName val="MODELO DE TRANSF_IMPUESTOS"/>
      <sheetName val="INFORMACION"/>
    </sheetNames>
    <sheetDataSet>
      <sheetData sheetId="0" refreshError="1">
        <row r="5">
          <cell r="A5" t="str">
            <v>Cuadros de Gasolina</v>
          </cell>
        </row>
        <row r="8">
          <cell r="A8" t="str">
            <v>GASOLINA REGULAR</v>
          </cell>
          <cell r="B8" t="str">
            <v>Precio Público</v>
          </cell>
          <cell r="C8" t="str">
            <v>Incremento</v>
          </cell>
          <cell r="D8" t="str">
            <v>Imp. a la Gasolina</v>
          </cell>
          <cell r="E8" t="str">
            <v>IVA</v>
          </cell>
          <cell r="F8" t="str">
            <v>Contri.Desc.</v>
          </cell>
          <cell r="G8" t="str">
            <v>Subs.Gasolina</v>
          </cell>
          <cell r="H8" t="str">
            <v>Imp.Consumo</v>
          </cell>
          <cell r="I8" t="str">
            <v>Aditivación</v>
          </cell>
          <cell r="J8" t="str">
            <v>Margen Mayorista</v>
          </cell>
          <cell r="K8" t="str">
            <v>Margen Minorista</v>
          </cell>
          <cell r="L8" t="str">
            <v>Perd.Evap.Man.Trans.</v>
          </cell>
          <cell r="M8" t="str">
            <v>Transp. Planta/Estación</v>
          </cell>
          <cell r="N8" t="str">
            <v>Transp. y Manejo</v>
          </cell>
          <cell r="O8" t="str">
            <v>Precio Refinería</v>
          </cell>
          <cell r="P8" t="str">
            <v>Ingreso ECP</v>
          </cell>
        </row>
        <row r="9">
          <cell r="A9">
            <v>35065</v>
          </cell>
          <cell r="B9">
            <v>812</v>
          </cell>
          <cell r="C9">
            <v>0</v>
          </cell>
          <cell r="D9">
            <v>168.87</v>
          </cell>
          <cell r="E9">
            <v>68.41</v>
          </cell>
          <cell r="F9">
            <v>83</v>
          </cell>
          <cell r="G9">
            <v>1.46</v>
          </cell>
          <cell r="H9">
            <v>1.62</v>
          </cell>
          <cell r="I9">
            <v>9.8000000000000007</v>
          </cell>
          <cell r="J9">
            <v>19.510000000000002</v>
          </cell>
          <cell r="K9">
            <v>35.18</v>
          </cell>
          <cell r="L9">
            <v>3.07</v>
          </cell>
          <cell r="M9">
            <v>6</v>
          </cell>
          <cell r="N9">
            <v>70</v>
          </cell>
          <cell r="O9">
            <v>345.08000000000004</v>
          </cell>
          <cell r="P9">
            <v>415.08000000000004</v>
          </cell>
        </row>
        <row r="10">
          <cell r="A10">
            <v>35096</v>
          </cell>
          <cell r="B10">
            <v>812</v>
          </cell>
          <cell r="C10">
            <v>0</v>
          </cell>
          <cell r="D10">
            <v>168.87</v>
          </cell>
          <cell r="E10">
            <v>68.41</v>
          </cell>
          <cell r="F10">
            <v>83</v>
          </cell>
          <cell r="G10">
            <v>1.46</v>
          </cell>
          <cell r="H10">
            <v>1.62</v>
          </cell>
          <cell r="I10">
            <v>9.8000000000000007</v>
          </cell>
          <cell r="J10">
            <v>19.510000000000002</v>
          </cell>
          <cell r="K10">
            <v>35.18</v>
          </cell>
          <cell r="L10">
            <v>3.07</v>
          </cell>
          <cell r="M10">
            <v>6</v>
          </cell>
          <cell r="N10">
            <v>70</v>
          </cell>
          <cell r="O10">
            <v>345.08000000000004</v>
          </cell>
          <cell r="P10">
            <v>415.08000000000004</v>
          </cell>
        </row>
        <row r="11">
          <cell r="A11">
            <v>35125</v>
          </cell>
          <cell r="B11">
            <v>909.03399999999999</v>
          </cell>
          <cell r="C11">
            <v>0.1195</v>
          </cell>
          <cell r="D11">
            <v>330</v>
          </cell>
          <cell r="E11">
            <v>58.52</v>
          </cell>
          <cell r="I11">
            <v>9.8000000000000007</v>
          </cell>
          <cell r="J11">
            <v>23.06</v>
          </cell>
          <cell r="K11">
            <v>41.41</v>
          </cell>
          <cell r="L11">
            <v>3.43</v>
          </cell>
          <cell r="M11">
            <v>7</v>
          </cell>
          <cell r="N11">
            <v>70</v>
          </cell>
          <cell r="O11">
            <v>365.81400000000019</v>
          </cell>
          <cell r="P11">
            <v>435.81400000000019</v>
          </cell>
        </row>
        <row r="12">
          <cell r="A12">
            <v>35156</v>
          </cell>
          <cell r="B12">
            <v>909.03399999999999</v>
          </cell>
          <cell r="C12">
            <v>0</v>
          </cell>
          <cell r="D12">
            <v>330</v>
          </cell>
          <cell r="E12">
            <v>58.52</v>
          </cell>
          <cell r="I12">
            <v>9.8000000000000007</v>
          </cell>
          <cell r="J12">
            <v>23.06</v>
          </cell>
          <cell r="K12">
            <v>41.41</v>
          </cell>
          <cell r="L12">
            <v>3.43</v>
          </cell>
          <cell r="M12">
            <v>7</v>
          </cell>
          <cell r="N12">
            <v>70</v>
          </cell>
          <cell r="O12">
            <v>365.81400000000019</v>
          </cell>
          <cell r="P12">
            <v>435.81400000000019</v>
          </cell>
        </row>
        <row r="13">
          <cell r="A13">
            <v>35186</v>
          </cell>
          <cell r="B13">
            <v>909.03399999999999</v>
          </cell>
          <cell r="C13">
            <v>0</v>
          </cell>
          <cell r="D13">
            <v>330</v>
          </cell>
          <cell r="E13">
            <v>58.52</v>
          </cell>
          <cell r="I13">
            <v>9.8000000000000007</v>
          </cell>
          <cell r="J13">
            <v>23.06</v>
          </cell>
          <cell r="K13">
            <v>41.41</v>
          </cell>
          <cell r="L13">
            <v>3.43</v>
          </cell>
          <cell r="M13">
            <v>7</v>
          </cell>
          <cell r="N13">
            <v>70</v>
          </cell>
          <cell r="O13">
            <v>365.81400000000019</v>
          </cell>
          <cell r="P13">
            <v>435.81400000000019</v>
          </cell>
        </row>
        <row r="14">
          <cell r="A14">
            <v>35217</v>
          </cell>
          <cell r="B14">
            <v>909.03399999999999</v>
          </cell>
          <cell r="C14">
            <v>0</v>
          </cell>
          <cell r="D14">
            <v>330</v>
          </cell>
          <cell r="E14">
            <v>58.52</v>
          </cell>
          <cell r="I14">
            <v>9.8000000000000007</v>
          </cell>
          <cell r="J14">
            <v>23.06</v>
          </cell>
          <cell r="K14">
            <v>41.41</v>
          </cell>
          <cell r="L14">
            <v>3.43</v>
          </cell>
          <cell r="M14">
            <v>7</v>
          </cell>
          <cell r="N14">
            <v>70</v>
          </cell>
          <cell r="O14">
            <v>365.81400000000019</v>
          </cell>
          <cell r="P14">
            <v>435.81400000000019</v>
          </cell>
        </row>
        <row r="15">
          <cell r="A15">
            <v>35247</v>
          </cell>
          <cell r="B15">
            <v>954.94021699999996</v>
          </cell>
          <cell r="C15">
            <v>5.0500000000000017E-2</v>
          </cell>
          <cell r="D15">
            <v>330</v>
          </cell>
          <cell r="E15">
            <v>62.906236827586227</v>
          </cell>
          <cell r="I15">
            <v>9.8000000000000007</v>
          </cell>
          <cell r="J15">
            <v>23.43</v>
          </cell>
          <cell r="K15">
            <v>42.03</v>
          </cell>
          <cell r="L15">
            <v>3.61</v>
          </cell>
          <cell r="M15">
            <v>7</v>
          </cell>
          <cell r="N15">
            <v>83</v>
          </cell>
          <cell r="O15">
            <v>393.16398017241386</v>
          </cell>
          <cell r="P15">
            <v>476.16398017241386</v>
          </cell>
        </row>
        <row r="16">
          <cell r="A16">
            <v>35278</v>
          </cell>
          <cell r="B16">
            <v>954.94021699999996</v>
          </cell>
          <cell r="C16">
            <v>0</v>
          </cell>
          <cell r="D16">
            <v>330</v>
          </cell>
          <cell r="E16">
            <v>62.906236827586227</v>
          </cell>
          <cell r="I16">
            <v>9.8000000000000007</v>
          </cell>
          <cell r="J16">
            <v>23.43</v>
          </cell>
          <cell r="K16">
            <v>42.03</v>
          </cell>
          <cell r="L16">
            <v>3.61</v>
          </cell>
          <cell r="M16">
            <v>7</v>
          </cell>
          <cell r="N16">
            <v>83</v>
          </cell>
          <cell r="O16">
            <v>393.16398017241386</v>
          </cell>
          <cell r="P16">
            <v>476.16398017241386</v>
          </cell>
        </row>
        <row r="17">
          <cell r="A17">
            <v>35309</v>
          </cell>
          <cell r="B17">
            <v>954.94021699999996</v>
          </cell>
          <cell r="C17">
            <v>0</v>
          </cell>
          <cell r="D17">
            <v>330</v>
          </cell>
          <cell r="E17">
            <v>62.906236827586227</v>
          </cell>
          <cell r="I17">
            <v>9.8000000000000007</v>
          </cell>
          <cell r="J17">
            <v>23.43</v>
          </cell>
          <cell r="K17">
            <v>42.03</v>
          </cell>
          <cell r="L17">
            <v>3.61</v>
          </cell>
          <cell r="M17">
            <v>7</v>
          </cell>
          <cell r="N17">
            <v>83</v>
          </cell>
          <cell r="O17">
            <v>393.16398017241386</v>
          </cell>
          <cell r="P17">
            <v>476.16398017241386</v>
          </cell>
        </row>
        <row r="18">
          <cell r="A18">
            <v>35339</v>
          </cell>
          <cell r="B18">
            <v>954.94021699999996</v>
          </cell>
          <cell r="C18">
            <v>0</v>
          </cell>
          <cell r="D18">
            <v>330</v>
          </cell>
          <cell r="E18">
            <v>62.906236827586227</v>
          </cell>
          <cell r="I18">
            <v>9.8000000000000007</v>
          </cell>
          <cell r="J18">
            <v>23.43</v>
          </cell>
          <cell r="K18">
            <v>42.03</v>
          </cell>
          <cell r="L18">
            <v>3.61</v>
          </cell>
          <cell r="M18">
            <v>7</v>
          </cell>
          <cell r="N18">
            <v>83</v>
          </cell>
          <cell r="O18">
            <v>393.16398017241386</v>
          </cell>
          <cell r="P18">
            <v>476.16398017241386</v>
          </cell>
        </row>
        <row r="19">
          <cell r="A19">
            <v>35370</v>
          </cell>
          <cell r="B19">
            <v>954.94021699999996</v>
          </cell>
          <cell r="C19">
            <v>0</v>
          </cell>
          <cell r="D19">
            <v>330</v>
          </cell>
          <cell r="E19">
            <v>62.906236827586227</v>
          </cell>
          <cell r="I19">
            <v>9.8000000000000007</v>
          </cell>
          <cell r="J19">
            <v>23.43</v>
          </cell>
          <cell r="K19">
            <v>42.03</v>
          </cell>
          <cell r="L19">
            <v>3.61</v>
          </cell>
          <cell r="M19">
            <v>7</v>
          </cell>
          <cell r="N19">
            <v>83</v>
          </cell>
          <cell r="O19">
            <v>393.16398017241386</v>
          </cell>
          <cell r="P19">
            <v>476.16398017241386</v>
          </cell>
        </row>
        <row r="20">
          <cell r="A20">
            <v>35400</v>
          </cell>
          <cell r="B20">
            <v>954.94021699999996</v>
          </cell>
          <cell r="C20">
            <v>0</v>
          </cell>
          <cell r="D20">
            <v>330</v>
          </cell>
          <cell r="E20">
            <v>62.906236827586227</v>
          </cell>
          <cell r="I20">
            <v>9.8000000000000007</v>
          </cell>
          <cell r="J20">
            <v>23.43</v>
          </cell>
          <cell r="K20">
            <v>42.03</v>
          </cell>
          <cell r="L20">
            <v>3.61</v>
          </cell>
          <cell r="M20">
            <v>7</v>
          </cell>
          <cell r="N20">
            <v>83</v>
          </cell>
          <cell r="O20">
            <v>393.16398017241386</v>
          </cell>
          <cell r="P20">
            <v>476.16398017241386</v>
          </cell>
        </row>
        <row r="21">
          <cell r="A21" t="str">
            <v>Total</v>
          </cell>
          <cell r="C21">
            <v>0.17</v>
          </cell>
        </row>
        <row r="22">
          <cell r="A22" t="str">
            <v>Promedio</v>
          </cell>
          <cell r="B22">
            <v>916.20532220765017</v>
          </cell>
          <cell r="D22">
            <v>317.49166666666667</v>
          </cell>
          <cell r="E22">
            <v>62.361451747126445</v>
          </cell>
          <cell r="I22">
            <v>9.8000000000000007</v>
          </cell>
          <cell r="J22">
            <v>22.653333333333332</v>
          </cell>
          <cell r="K22">
            <v>40.681666666666665</v>
          </cell>
          <cell r="L22">
            <v>3.4599999999999995</v>
          </cell>
          <cell r="M22">
            <v>6.833333333333333</v>
          </cell>
          <cell r="N22">
            <v>76.5</v>
          </cell>
          <cell r="O22">
            <v>376.0333234195403</v>
          </cell>
          <cell r="P22">
            <v>452.70021954023002</v>
          </cell>
        </row>
        <row r="23">
          <cell r="A23" t="str">
            <v>Crecimiento Ene-Dic</v>
          </cell>
          <cell r="B23">
            <v>0.17603474999999991</v>
          </cell>
          <cell r="D23">
            <v>0.29437144538144722</v>
          </cell>
          <cell r="E23">
            <v>-8.04526117879516E-2</v>
          </cell>
          <cell r="I23">
            <v>0</v>
          </cell>
          <cell r="J23">
            <v>0.20092260379292659</v>
          </cell>
          <cell r="K23">
            <v>0.19471290505969296</v>
          </cell>
          <cell r="L23">
            <v>0.17589576547231278</v>
          </cell>
          <cell r="M23">
            <v>0.16666666666666674</v>
          </cell>
          <cell r="N23">
            <v>0.18571428571428572</v>
          </cell>
          <cell r="O23">
            <v>0.1393415444894337</v>
          </cell>
          <cell r="P23">
            <v>0.14716194510073666</v>
          </cell>
        </row>
        <row r="24">
          <cell r="A24" t="str">
            <v>Difer.con inflación</v>
          </cell>
          <cell r="B24">
            <v>6.0347499999998944E-3</v>
          </cell>
          <cell r="D24">
            <v>0.1243714453814472</v>
          </cell>
          <cell r="E24">
            <v>-0.25045261178795164</v>
          </cell>
          <cell r="I24">
            <v>-0.17</v>
          </cell>
          <cell r="J24">
            <v>3.0922603792926578E-2</v>
          </cell>
          <cell r="K24">
            <v>2.4712905059692952E-2</v>
          </cell>
          <cell r="L24">
            <v>5.8957654723127695E-3</v>
          </cell>
          <cell r="M24">
            <v>-3.3333333333332715E-3</v>
          </cell>
          <cell r="N24">
            <v>1.5714285714285708E-2</v>
          </cell>
          <cell r="O24">
            <v>-3.0658455510566313E-2</v>
          </cell>
          <cell r="P24">
            <v>-2.2838054899263355E-2</v>
          </cell>
        </row>
        <row r="25">
          <cell r="A25" t="str">
            <v>Inflación</v>
          </cell>
          <cell r="B25">
            <v>0.17</v>
          </cell>
        </row>
      </sheetData>
      <sheetData sheetId="1">
        <row r="4">
          <cell r="A4" t="str">
            <v>Cuadro Transferencias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rocarburos"/>
      <sheetName val="Hidrocarburos Sensibilizado"/>
      <sheetName val="Mineria ANM"/>
      <sheetName val="Mineria ANM Sensibilizado"/>
      <sheetName val="Resumen con  Datos DNP"/>
      <sheetName val="Resumen con info preliminar"/>
      <sheetName val="Comparación producción"/>
      <sheetName val="Hoja1"/>
      <sheetName val="aplazado"/>
      <sheetName val="aplazado datos"/>
      <sheetName val="presupuesto"/>
      <sheetName val="presupuesto datos"/>
    </sheetNames>
    <sheetDataSet>
      <sheetData sheetId="0">
        <row r="10">
          <cell r="D10">
            <v>127.30032751731009</v>
          </cell>
        </row>
        <row r="28">
          <cell r="B28" t="str">
            <v>Hidrocarburos</v>
          </cell>
          <cell r="D28">
            <v>5000374.6465811459</v>
          </cell>
          <cell r="E28">
            <v>3689914.8761709351</v>
          </cell>
          <cell r="F28">
            <v>4226672.1408237629</v>
          </cell>
          <cell r="G28">
            <v>4957664.981059337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4179640.1817167974</v>
          </cell>
          <cell r="M28">
            <v>4198862.3071239367</v>
          </cell>
          <cell r="N28">
            <v>3881627.6522170128</v>
          </cell>
          <cell r="O28">
            <v>3924334.2479563039</v>
          </cell>
        </row>
        <row r="29">
          <cell r="B29" t="str">
            <v>Crudo</v>
          </cell>
          <cell r="D29">
            <v>4198417.250293321</v>
          </cell>
          <cell r="E29">
            <v>2826849.3322796081</v>
          </cell>
          <cell r="F29">
            <v>3288574.2868807595</v>
          </cell>
          <cell r="G29">
            <v>4119500.5569300284</v>
          </cell>
          <cell r="H29">
            <v>4417088.831277092</v>
          </cell>
          <cell r="I29">
            <v>4474221.5370954098</v>
          </cell>
          <cell r="J29">
            <v>4147429.423267785</v>
          </cell>
          <cell r="K29">
            <v>3543871.4766107295</v>
          </cell>
          <cell r="L29">
            <v>3395860.3396925433</v>
          </cell>
          <cell r="M29">
            <v>3437097.4415536071</v>
          </cell>
          <cell r="N29">
            <v>3151730.3841713625</v>
          </cell>
          <cell r="O29">
            <v>3251482.9188830461</v>
          </cell>
        </row>
        <row r="30">
          <cell r="B30" t="str">
            <v>Gas</v>
          </cell>
          <cell r="D30">
            <v>801957.39628782507</v>
          </cell>
          <cell r="E30">
            <v>863065.54389132699</v>
          </cell>
          <cell r="F30">
            <v>938097.85394300357</v>
          </cell>
          <cell r="G30">
            <v>838164.42412930867</v>
          </cell>
          <cell r="H30">
            <v>851900.36419670179</v>
          </cell>
          <cell r="I30">
            <v>849007.0452246326</v>
          </cell>
          <cell r="J30">
            <v>843207.59866862453</v>
          </cell>
          <cell r="K30">
            <v>811353.34163078177</v>
          </cell>
          <cell r="L30">
            <v>783779.84202425426</v>
          </cell>
          <cell r="M30">
            <v>761764.86557032983</v>
          </cell>
          <cell r="N30">
            <v>729897.26804565045</v>
          </cell>
          <cell r="O30">
            <v>672851.32907325798</v>
          </cell>
        </row>
      </sheetData>
      <sheetData sheetId="1">
        <row r="28">
          <cell r="B28" t="str">
            <v>Hidrocarburos</v>
          </cell>
          <cell r="D28">
            <v>5456310.8565249983</v>
          </cell>
          <cell r="E28">
            <v>3841986.8621725002</v>
          </cell>
          <cell r="F28">
            <v>4165144.6658079266</v>
          </cell>
          <cell r="G28">
            <v>4957664.981059338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4179640.1817167979</v>
          </cell>
          <cell r="M28">
            <v>4198862.3071239367</v>
          </cell>
          <cell r="N28">
            <v>3881627.6522170133</v>
          </cell>
          <cell r="O28">
            <v>3916858.7402996924</v>
          </cell>
        </row>
        <row r="29">
          <cell r="B29" t="str">
            <v>Crudo</v>
          </cell>
          <cell r="D29">
            <v>4642104.9462966649</v>
          </cell>
          <cell r="E29">
            <v>2870794.7447875002</v>
          </cell>
          <cell r="F29">
            <v>3227195.0822512601</v>
          </cell>
          <cell r="G29">
            <v>4119500.5569300288</v>
          </cell>
          <cell r="H29">
            <v>4417088.831277092</v>
          </cell>
          <cell r="I29">
            <v>4474221.5370954098</v>
          </cell>
          <cell r="J29">
            <v>4147429.4232677845</v>
          </cell>
          <cell r="K29">
            <v>3543871.4766107299</v>
          </cell>
          <cell r="L29">
            <v>3395860.3396925437</v>
          </cell>
          <cell r="M29">
            <v>3437097.4415536067</v>
          </cell>
          <cell r="N29">
            <v>3151730.384171363</v>
          </cell>
          <cell r="O29">
            <v>3244007.4112264346</v>
          </cell>
        </row>
        <row r="30">
          <cell r="B30" t="str">
            <v>Gas</v>
          </cell>
          <cell r="D30">
            <v>814205.91022833309</v>
          </cell>
          <cell r="E30">
            <v>971192.11738499987</v>
          </cell>
          <cell r="F30">
            <v>937949.58355666662</v>
          </cell>
          <cell r="G30">
            <v>838164.42412930878</v>
          </cell>
          <cell r="H30">
            <v>851900.36419670202</v>
          </cell>
          <cell r="I30">
            <v>849007.0452246326</v>
          </cell>
          <cell r="J30">
            <v>843207.59866862465</v>
          </cell>
          <cell r="K30">
            <v>811353.34163078165</v>
          </cell>
          <cell r="L30">
            <v>783779.84202425415</v>
          </cell>
          <cell r="M30">
            <v>761764.86557032994</v>
          </cell>
          <cell r="N30">
            <v>729897.26804565045</v>
          </cell>
          <cell r="O30">
            <v>672851.32907325798</v>
          </cell>
        </row>
      </sheetData>
      <sheetData sheetId="2">
        <row r="22">
          <cell r="D22">
            <v>3106.2430417302003</v>
          </cell>
        </row>
        <row r="30">
          <cell r="B30" t="str">
            <v>CARBON PIN REGALIAS</v>
          </cell>
          <cell r="D30">
            <v>1169100.3999908275</v>
          </cell>
          <cell r="E30">
            <v>1047386.91008187</v>
          </cell>
          <cell r="F30">
            <v>899804.25456511427</v>
          </cell>
          <cell r="G30">
            <v>921937.44067120936</v>
          </cell>
          <cell r="H30">
            <v>1013845.3739569886</v>
          </cell>
          <cell r="I30">
            <v>1095219.5822500864</v>
          </cell>
          <cell r="J30">
            <v>1117822.6162552831</v>
          </cell>
          <cell r="K30">
            <v>1154672.9458955927</v>
          </cell>
          <cell r="L30">
            <v>1162234.3251712807</v>
          </cell>
          <cell r="M30">
            <v>1151283.8196796791</v>
          </cell>
          <cell r="N30">
            <v>1150587.0396669011</v>
          </cell>
          <cell r="O30">
            <v>1074698.0933929435</v>
          </cell>
        </row>
        <row r="31">
          <cell r="B31" t="str">
            <v>CARBON COMPENSAC</v>
          </cell>
          <cell r="D31">
            <v>169620.1005404309</v>
          </cell>
          <cell r="E31">
            <v>125140.62183794251</v>
          </cell>
          <cell r="F31">
            <v>97333.110918571445</v>
          </cell>
          <cell r="G31">
            <v>97728.859490714298</v>
          </cell>
          <cell r="H31">
            <v>111353.89977956351</v>
          </cell>
          <cell r="I31">
            <v>116669.93848364921</v>
          </cell>
          <cell r="J31">
            <v>124072.117748654</v>
          </cell>
          <cell r="K31">
            <v>139972.97854335557</v>
          </cell>
          <cell r="L31">
            <v>143985.83753368573</v>
          </cell>
          <cell r="M31">
            <v>144048.51963370715</v>
          </cell>
          <cell r="N31">
            <v>148100.53065626428</v>
          </cell>
          <cell r="O31">
            <v>143448.46381864051</v>
          </cell>
        </row>
        <row r="32">
          <cell r="B32" t="str">
            <v>CARBON PY M</v>
          </cell>
          <cell r="D32">
            <v>29486.33770479936</v>
          </cell>
          <cell r="E32">
            <v>28936.274895290866</v>
          </cell>
          <cell r="F32">
            <v>28368.23792770828</v>
          </cell>
          <cell r="G32">
            <v>28368.23792770828</v>
          </cell>
          <cell r="H32">
            <v>28833.559337831422</v>
          </cell>
          <cell r="I32">
            <v>29305.895643584561</v>
          </cell>
          <cell r="J32">
            <v>29572.461677524458</v>
          </cell>
          <cell r="K32">
            <v>29768.878755164376</v>
          </cell>
          <cell r="L32">
            <v>29972.310728434288</v>
          </cell>
          <cell r="M32">
            <v>30171.066104617537</v>
          </cell>
          <cell r="N32">
            <v>30374.498077887467</v>
          </cell>
          <cell r="O32">
            <v>30580.268349700706</v>
          </cell>
        </row>
        <row r="33">
          <cell r="B33" t="str">
            <v>Carbón*</v>
          </cell>
          <cell r="D33">
            <v>1368206.8382360579</v>
          </cell>
          <cell r="E33">
            <v>1201463.8068151032</v>
          </cell>
          <cell r="F33">
            <v>1025505.6034113939</v>
          </cell>
          <cell r="G33">
            <v>1048034.5380896318</v>
          </cell>
          <cell r="H33">
            <v>1154032.8330743832</v>
          </cell>
          <cell r="I33">
            <v>1241195.41637732</v>
          </cell>
          <cell r="J33">
            <v>1271467.1956814616</v>
          </cell>
          <cell r="K33">
            <v>1324414.8031941126</v>
          </cell>
          <cell r="L33">
            <v>1336192.473433401</v>
          </cell>
          <cell r="M33">
            <v>1325503.4054180037</v>
          </cell>
          <cell r="N33">
            <v>1329062.0684010531</v>
          </cell>
          <cell r="O33">
            <v>1248726.8255612846</v>
          </cell>
        </row>
        <row r="34">
          <cell r="B34" t="str">
            <v>Niquel Regalías</v>
          </cell>
          <cell r="D34">
            <v>43980.494706555757</v>
          </cell>
          <cell r="E34">
            <v>36784.934085135254</v>
          </cell>
          <cell r="F34">
            <v>20004.13214415</v>
          </cell>
          <cell r="G34">
            <v>14342.585310900002</v>
          </cell>
          <cell r="H34">
            <v>14090.961007200001</v>
          </cell>
          <cell r="I34">
            <v>14090.961007200001</v>
          </cell>
          <cell r="J34">
            <v>13336.088096100002</v>
          </cell>
          <cell r="K34">
            <v>13084.463792400002</v>
          </cell>
          <cell r="L34">
            <v>13084.463792400002</v>
          </cell>
          <cell r="M34">
            <v>12329.590881300001</v>
          </cell>
          <cell r="N34">
            <v>11323.093666500001</v>
          </cell>
          <cell r="O34">
            <v>11826.342273900002</v>
          </cell>
        </row>
        <row r="35">
          <cell r="B35" t="str">
            <v>Niquel Compensación</v>
          </cell>
          <cell r="D35">
            <v>37697.566891333496</v>
          </cell>
          <cell r="E35">
            <v>31529.943501544498</v>
          </cell>
          <cell r="F35">
            <v>17146.3989807</v>
          </cell>
          <cell r="G35">
            <v>12293.644552200001</v>
          </cell>
          <cell r="H35">
            <v>12077.9665776</v>
          </cell>
          <cell r="I35">
            <v>12077.9665776</v>
          </cell>
          <cell r="J35">
            <v>11430.932653799999</v>
          </cell>
          <cell r="K35">
            <v>11215.254679199999</v>
          </cell>
          <cell r="L35">
            <v>11215.254679199999</v>
          </cell>
          <cell r="M35">
            <v>10568.2207554</v>
          </cell>
          <cell r="N35">
            <v>9705.5088570000007</v>
          </cell>
          <cell r="O35">
            <v>10136.864806199999</v>
          </cell>
        </row>
        <row r="36">
          <cell r="B36" t="str">
            <v>Níquel*</v>
          </cell>
          <cell r="D36">
            <v>81678.061597889246</v>
          </cell>
          <cell r="E36">
            <v>68314.877586679751</v>
          </cell>
          <cell r="F36">
            <v>37150.531124850007</v>
          </cell>
          <cell r="G36">
            <v>26636.229863100001</v>
          </cell>
          <cell r="H36">
            <v>26168.927584800003</v>
          </cell>
          <cell r="I36">
            <v>26168.927584800003</v>
          </cell>
          <cell r="J36">
            <v>24767.020749900003</v>
          </cell>
          <cell r="K36">
            <v>24299.718471599997</v>
          </cell>
          <cell r="L36">
            <v>24299.718471599997</v>
          </cell>
          <cell r="M36">
            <v>22897.8116367</v>
          </cell>
          <cell r="N36">
            <v>21028.602523500002</v>
          </cell>
          <cell r="O36">
            <v>21963.207080099997</v>
          </cell>
        </row>
        <row r="37">
          <cell r="B37" t="str">
            <v>Metales</v>
          </cell>
          <cell r="D37">
            <v>173133.48267798283</v>
          </cell>
          <cell r="E37">
            <v>192911.66089266096</v>
          </cell>
          <cell r="F37">
            <v>203451.73714285714</v>
          </cell>
          <cell r="G37">
            <v>207940.80127111368</v>
          </cell>
          <cell r="H37">
            <v>211351.63373508927</v>
          </cell>
          <cell r="I37">
            <v>214813.88578394891</v>
          </cell>
          <cell r="J37">
            <v>216767.83000954293</v>
          </cell>
          <cell r="K37">
            <v>218207.57838629649</v>
          </cell>
          <cell r="L37">
            <v>219698.74634793398</v>
          </cell>
          <cell r="M37">
            <v>221155.6345863156</v>
          </cell>
          <cell r="N37">
            <v>222646.80254795315</v>
          </cell>
          <cell r="O37">
            <v>224155.11037121879</v>
          </cell>
        </row>
        <row r="38">
          <cell r="B38" t="str">
            <v>Esmeraldas</v>
          </cell>
          <cell r="D38">
            <v>3083.6247671544952</v>
          </cell>
          <cell r="E38">
            <v>3320.3505128400002</v>
          </cell>
          <cell r="F38">
            <v>3419.9610282252002</v>
          </cell>
          <cell r="G38">
            <v>3522.559859071956</v>
          </cell>
          <cell r="H38">
            <v>3628.2366548441146</v>
          </cell>
          <cell r="I38">
            <v>3737.0837544894384</v>
          </cell>
          <cell r="J38">
            <v>3849.1962671241217</v>
          </cell>
          <cell r="K38">
            <v>3964.6721551378455</v>
          </cell>
          <cell r="L38">
            <v>4083.612319791981</v>
          </cell>
          <cell r="M38">
            <v>4206.1206893857407</v>
          </cell>
          <cell r="N38">
            <v>4332.3043100673131</v>
          </cell>
          <cell r="O38">
            <v>4462.2734393693327</v>
          </cell>
        </row>
        <row r="39">
          <cell r="B39" t="str">
            <v>Sal</v>
          </cell>
          <cell r="D39">
            <v>4252.5991326408002</v>
          </cell>
          <cell r="E39">
            <v>3480.2099187700005</v>
          </cell>
          <cell r="F39">
            <v>3584.616216333101</v>
          </cell>
          <cell r="G39">
            <v>3692.1547028230939</v>
          </cell>
          <cell r="H39">
            <v>3802.9193439077867</v>
          </cell>
          <cell r="I39">
            <v>3917.0069242250206</v>
          </cell>
          <cell r="J39">
            <v>4034.5171319517713</v>
          </cell>
          <cell r="K39">
            <v>4155.5526459103248</v>
          </cell>
          <cell r="L39">
            <v>4280.2192252876348</v>
          </cell>
          <cell r="M39">
            <v>4408.6258020462637</v>
          </cell>
          <cell r="N39">
            <v>4540.8845761076518</v>
          </cell>
          <cell r="O39">
            <v>4677.1111133908817</v>
          </cell>
        </row>
        <row r="40">
          <cell r="B40" t="str">
            <v>Hierro</v>
          </cell>
          <cell r="D40">
            <v>1993.5650000000001</v>
          </cell>
          <cell r="E40">
            <v>1669.0218420475001</v>
          </cell>
          <cell r="F40">
            <v>1719.0924973089252</v>
          </cell>
          <cell r="G40">
            <v>1770.6652722281931</v>
          </cell>
          <cell r="H40">
            <v>1823.7852303950388</v>
          </cell>
          <cell r="I40">
            <v>1878.4987873068901</v>
          </cell>
          <cell r="J40">
            <v>1934.8537509260966</v>
          </cell>
          <cell r="K40">
            <v>1992.8993634538797</v>
          </cell>
          <cell r="L40">
            <v>2052.6863443574962</v>
          </cell>
          <cell r="M40">
            <v>2114.2669346882208</v>
          </cell>
          <cell r="N40">
            <v>2177.6949427288673</v>
          </cell>
          <cell r="O40">
            <v>2243.0257910107334</v>
          </cell>
        </row>
        <row r="41">
          <cell r="B41" t="str">
            <v>Caliza, Roca Fosfórica, Yeso y Materiales</v>
          </cell>
          <cell r="D41">
            <v>1910.65</v>
          </cell>
          <cell r="E41">
            <v>4051.9130642600003</v>
          </cell>
          <cell r="F41">
            <v>4173.4704561878007</v>
          </cell>
          <cell r="G41">
            <v>4298.6745698734339</v>
          </cell>
          <cell r="H41">
            <v>4427.6348069696369</v>
          </cell>
          <cell r="I41">
            <v>4560.4638511787261</v>
          </cell>
          <cell r="J41">
            <v>4697.2777667140881</v>
          </cell>
          <cell r="K41">
            <v>4838.1960997155111</v>
          </cell>
          <cell r="L41">
            <v>4983.3419827069765</v>
          </cell>
          <cell r="M41">
            <v>5132.8422421881869</v>
          </cell>
          <cell r="N41">
            <v>5286.827509453833</v>
          </cell>
          <cell r="O41">
            <v>5445.4323347374475</v>
          </cell>
        </row>
      </sheetData>
      <sheetData sheetId="3">
        <row r="39">
          <cell r="B39" t="str">
            <v>Carbón*</v>
          </cell>
          <cell r="D39">
            <v>1368206.8382360579</v>
          </cell>
          <cell r="E39">
            <v>1129377.5888413668</v>
          </cell>
          <cell r="F39">
            <v>1025505.6034113938</v>
          </cell>
          <cell r="G39">
            <v>1048034.5380896317</v>
          </cell>
          <cell r="H39">
            <v>1154032.8330743834</v>
          </cell>
          <cell r="I39">
            <v>1241195.4163773202</v>
          </cell>
          <cell r="J39">
            <v>1271467.1956814616</v>
          </cell>
          <cell r="K39">
            <v>1324414.8031941131</v>
          </cell>
          <cell r="L39">
            <v>1336192.473433401</v>
          </cell>
          <cell r="M39">
            <v>1325503.4054180041</v>
          </cell>
          <cell r="N39">
            <v>1329062.0684010531</v>
          </cell>
          <cell r="O39">
            <v>1248726.8255612846</v>
          </cell>
        </row>
        <row r="40">
          <cell r="B40" t="str">
            <v>Níquel*</v>
          </cell>
          <cell r="D40">
            <v>81678.061597889246</v>
          </cell>
          <cell r="E40">
            <v>68314.877586679766</v>
          </cell>
          <cell r="F40">
            <v>37150.53112485</v>
          </cell>
          <cell r="G40">
            <v>26636.229863100001</v>
          </cell>
          <cell r="H40">
            <v>26168.927584800003</v>
          </cell>
          <cell r="I40">
            <v>26168.927584799996</v>
          </cell>
          <cell r="J40">
            <v>24767.020749899999</v>
          </cell>
          <cell r="K40">
            <v>24299.718471600001</v>
          </cell>
          <cell r="L40">
            <v>24299.718471600001</v>
          </cell>
          <cell r="M40">
            <v>22897.811636700004</v>
          </cell>
          <cell r="N40">
            <v>21028.602523500002</v>
          </cell>
          <cell r="O40">
            <v>21963.207080100001</v>
          </cell>
        </row>
        <row r="41">
          <cell r="B41" t="str">
            <v>Metales</v>
          </cell>
          <cell r="D41">
            <v>173133.48267798283</v>
          </cell>
          <cell r="E41">
            <v>192911.66089266096</v>
          </cell>
          <cell r="F41">
            <v>203451.73714285716</v>
          </cell>
          <cell r="G41">
            <v>207940.80127111368</v>
          </cell>
          <cell r="H41">
            <v>211351.63373508927</v>
          </cell>
          <cell r="I41">
            <v>214813.88578394891</v>
          </cell>
          <cell r="J41">
            <v>216767.83000954293</v>
          </cell>
          <cell r="K41">
            <v>218207.57838629646</v>
          </cell>
          <cell r="L41">
            <v>219698.74634793404</v>
          </cell>
          <cell r="M41">
            <v>221155.6345863156</v>
          </cell>
          <cell r="N41">
            <v>222646.80254795321</v>
          </cell>
          <cell r="O41">
            <v>224155.11037121876</v>
          </cell>
        </row>
        <row r="42">
          <cell r="B42" t="str">
            <v>Esmeraldas</v>
          </cell>
          <cell r="D42">
            <v>3083.6247671544952</v>
          </cell>
          <cell r="E42">
            <v>3320.3505128400002</v>
          </cell>
          <cell r="F42">
            <v>3419.9610282252002</v>
          </cell>
          <cell r="G42">
            <v>3522.559859071956</v>
          </cell>
          <cell r="H42">
            <v>3628.2366548441146</v>
          </cell>
          <cell r="I42">
            <v>3737.0837544894384</v>
          </cell>
          <cell r="J42">
            <v>3849.1962671241217</v>
          </cell>
          <cell r="K42">
            <v>3964.6721551378455</v>
          </cell>
          <cell r="L42">
            <v>4083.612319791981</v>
          </cell>
          <cell r="M42">
            <v>4206.1206893857407</v>
          </cell>
          <cell r="N42">
            <v>4332.3043100673131</v>
          </cell>
          <cell r="O42">
            <v>4462.2734393693327</v>
          </cell>
        </row>
        <row r="43">
          <cell r="B43" t="str">
            <v>Sal</v>
          </cell>
          <cell r="D43">
            <v>4252.5991326408002</v>
          </cell>
          <cell r="E43">
            <v>3480.2099187700005</v>
          </cell>
          <cell r="F43">
            <v>3584.616216333101</v>
          </cell>
          <cell r="G43">
            <v>3692.1547028230939</v>
          </cell>
          <cell r="H43">
            <v>3802.9193439077867</v>
          </cell>
          <cell r="I43">
            <v>3917.0069242250206</v>
          </cell>
          <cell r="J43">
            <v>4034.5171319517713</v>
          </cell>
          <cell r="K43">
            <v>4155.5526459103248</v>
          </cell>
          <cell r="L43">
            <v>4280.2192252876348</v>
          </cell>
          <cell r="M43">
            <v>4408.6258020462637</v>
          </cell>
          <cell r="N43">
            <v>4540.8845761076518</v>
          </cell>
          <cell r="O43">
            <v>4677.1111133908817</v>
          </cell>
        </row>
        <row r="44">
          <cell r="B44" t="str">
            <v>Hierro</v>
          </cell>
          <cell r="D44">
            <v>1993.5650000000001</v>
          </cell>
          <cell r="E44">
            <v>1669.0218420475001</v>
          </cell>
          <cell r="F44">
            <v>1719.0924973089252</v>
          </cell>
          <cell r="G44">
            <v>1770.6652722281931</v>
          </cell>
          <cell r="H44">
            <v>1823.7852303950388</v>
          </cell>
          <cell r="I44">
            <v>1878.4987873068901</v>
          </cell>
          <cell r="J44">
            <v>1934.8537509260966</v>
          </cell>
          <cell r="K44">
            <v>1992.8993634538797</v>
          </cell>
          <cell r="L44">
            <v>2052.6863443574962</v>
          </cell>
          <cell r="M44">
            <v>2114.2669346882208</v>
          </cell>
          <cell r="N44">
            <v>2177.6949427288673</v>
          </cell>
          <cell r="O44">
            <v>2243.0257910107334</v>
          </cell>
        </row>
        <row r="45">
          <cell r="B45" t="str">
            <v>Caliza, Roca Fosfórica, Yeso y Materiales</v>
          </cell>
          <cell r="D45">
            <v>1910.65</v>
          </cell>
          <cell r="E45">
            <v>4051.9130642600003</v>
          </cell>
          <cell r="F45">
            <v>4173.4704561878007</v>
          </cell>
          <cell r="G45">
            <v>4298.6745698734339</v>
          </cell>
          <cell r="H45">
            <v>4427.6348069696369</v>
          </cell>
          <cell r="I45">
            <v>4560.4638511787261</v>
          </cell>
          <cell r="J45">
            <v>4697.2777667140881</v>
          </cell>
          <cell r="K45">
            <v>4838.1960997155111</v>
          </cell>
          <cell r="L45">
            <v>4983.3419827069765</v>
          </cell>
          <cell r="M45">
            <v>5132.8422421881869</v>
          </cell>
          <cell r="N45">
            <v>5286.827509453833</v>
          </cell>
          <cell r="O45">
            <v>5445.4323347374475</v>
          </cell>
        </row>
        <row r="46">
          <cell r="B46" t="str">
            <v>Total</v>
          </cell>
          <cell r="D46">
            <v>1634258.8214117251</v>
          </cell>
          <cell r="E46">
            <v>1403125.6226586252</v>
          </cell>
          <cell r="F46">
            <v>1279005.0118771561</v>
          </cell>
          <cell r="G46">
            <v>1295895.6236278419</v>
          </cell>
          <cell r="H46">
            <v>1405235.9704303895</v>
          </cell>
          <cell r="I46">
            <v>1496271.2830632692</v>
          </cell>
          <cell r="J46">
            <v>1527517.8913576207</v>
          </cell>
          <cell r="K46">
            <v>1581873.4203162272</v>
          </cell>
          <cell r="L46">
            <v>1595590.7981250789</v>
          </cell>
          <cell r="M46">
            <v>1585418.7073093283</v>
          </cell>
          <cell r="N46">
            <v>1589075.1848108638</v>
          </cell>
          <cell r="O46">
            <v>1511672.9856911118</v>
          </cell>
        </row>
      </sheetData>
      <sheetData sheetId="4">
        <row r="73">
          <cell r="G73">
            <v>789.07939905000001</v>
          </cell>
        </row>
      </sheetData>
      <sheetData sheetId="5"/>
      <sheetData sheetId="6"/>
      <sheetData sheetId="7"/>
      <sheetData sheetId="8"/>
      <sheetData sheetId="9">
        <row r="3">
          <cell r="H3">
            <v>587962</v>
          </cell>
        </row>
      </sheetData>
      <sheetData sheetId="10">
        <row r="2">
          <cell r="K2" t="str">
            <v>2015-2016</v>
          </cell>
        </row>
      </sheetData>
      <sheetData sheetId="11">
        <row r="3">
          <cell r="E3">
            <v>873510.14110138663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  <sheetName val="PREAN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-TRANSF"/>
      <sheetName val="LIQUI_TRANSF"/>
      <sheetName val="MODELO DE GASOLINA"/>
      <sheetName val="MODELO DE TRANSF.IMPUESTOS"/>
      <sheetName val="INFORMACION"/>
      <sheetName val="SAL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e. por Depto"/>
      <sheetName val="Rte Beneficiarios"/>
      <sheetName val="Diagrama"/>
    </sheetNames>
    <sheetDataSet>
      <sheetData sheetId="0">
        <row r="4">
          <cell r="A4" t="str">
            <v>Código</v>
          </cell>
          <cell r="B4" t="str">
            <v>Asignaciones Directas</v>
          </cell>
          <cell r="C4" t="str">
            <v>FDR menos compensaciones</v>
          </cell>
          <cell r="D4" t="str">
            <v>Monto que podra usarse para compensar AD</v>
          </cell>
          <cell r="E4" t="str">
            <v>FCR 60%</v>
          </cell>
          <cell r="F4" t="str">
            <v>FCR 40%</v>
          </cell>
          <cell r="G4" t="str">
            <v>Ciencia y tecnología</v>
          </cell>
          <cell r="H4" t="str">
            <v>FONPET</v>
          </cell>
          <cell r="I4" t="str">
            <v>FAEP</v>
          </cell>
          <cell r="J4" t="str">
            <v>Magdalena</v>
          </cell>
          <cell r="K4" t="str">
            <v>FISCALIZACION</v>
          </cell>
          <cell r="L4" t="str">
            <v>FUNCIONAMIENTO</v>
          </cell>
          <cell r="M4" t="str">
            <v>SMSC</v>
          </cell>
        </row>
        <row r="5">
          <cell r="A5" t="str">
            <v>05</v>
          </cell>
          <cell r="B5">
            <v>82835929105.903427</v>
          </cell>
          <cell r="C5">
            <v>157728709953.94937</v>
          </cell>
          <cell r="D5">
            <v>45294792542.166962</v>
          </cell>
          <cell r="E5">
            <v>66884042019.649734</v>
          </cell>
          <cell r="F5">
            <v>175843061829.6705</v>
          </cell>
          <cell r="G5">
            <v>113666712954.75644</v>
          </cell>
          <cell r="H5">
            <v>127594381990.52914</v>
          </cell>
          <cell r="I5">
            <v>180850166577.13129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08</v>
          </cell>
          <cell r="B6">
            <v>0</v>
          </cell>
          <cell r="C6">
            <v>117131941140.25603</v>
          </cell>
          <cell r="D6">
            <v>168802624.52754086</v>
          </cell>
          <cell r="E6">
            <v>46160928950.383034</v>
          </cell>
          <cell r="F6">
            <v>42000260413.589066</v>
          </cell>
          <cell r="G6">
            <v>52393813457.100449</v>
          </cell>
          <cell r="H6">
            <v>55205488696.211708</v>
          </cell>
          <cell r="I6">
            <v>73474183329.105362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</v>
          </cell>
          <cell r="B7">
            <v>0</v>
          </cell>
          <cell r="C7">
            <v>158592585511.25793</v>
          </cell>
          <cell r="D7">
            <v>0</v>
          </cell>
          <cell r="E7">
            <v>0</v>
          </cell>
          <cell r="F7">
            <v>0</v>
          </cell>
          <cell r="G7">
            <v>40440653306.820518</v>
          </cell>
          <cell r="H7">
            <v>32068023990.977566</v>
          </cell>
          <cell r="I7">
            <v>54231028523.813881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13</v>
          </cell>
          <cell r="B8">
            <v>71538296187.343689</v>
          </cell>
          <cell r="C8">
            <v>90607114917.207458</v>
          </cell>
          <cell r="D8">
            <v>46723181162.01738</v>
          </cell>
          <cell r="E8">
            <v>146641077063.03949</v>
          </cell>
          <cell r="F8">
            <v>89481504847.424225</v>
          </cell>
          <cell r="G8">
            <v>95234576550.487595</v>
          </cell>
          <cell r="H8">
            <v>91270915497.934509</v>
          </cell>
          <cell r="I8">
            <v>148355265969.56393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15</v>
          </cell>
          <cell r="B9">
            <v>88295610513.772507</v>
          </cell>
          <cell r="C9">
            <v>41131342016.224968</v>
          </cell>
          <cell r="D9">
            <v>45993720403.153236</v>
          </cell>
          <cell r="E9">
            <v>98656750577.018265</v>
          </cell>
          <cell r="F9">
            <v>69463197322.750946</v>
          </cell>
          <cell r="G9">
            <v>65109715812.494072</v>
          </cell>
          <cell r="H9">
            <v>81841388276.270462</v>
          </cell>
          <cell r="I9">
            <v>115324408982.32497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17</v>
          </cell>
          <cell r="B10">
            <v>1301141148.1143496</v>
          </cell>
          <cell r="C10">
            <v>59289981192.019958</v>
          </cell>
          <cell r="D10">
            <v>657753948.38723052</v>
          </cell>
          <cell r="E10">
            <v>28240312855.237591</v>
          </cell>
          <cell r="F10">
            <v>32433004308.821281</v>
          </cell>
          <cell r="G10">
            <v>30766586870.789234</v>
          </cell>
          <cell r="H10">
            <v>33422580378.096088</v>
          </cell>
          <cell r="I10">
            <v>43687747470.610245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18</v>
          </cell>
          <cell r="B11">
            <v>3084129.9462074032</v>
          </cell>
          <cell r="C11">
            <v>54017430354.58358</v>
          </cell>
          <cell r="D11">
            <v>312385.46060497139</v>
          </cell>
          <cell r="E11">
            <v>79125973567.736343</v>
          </cell>
          <cell r="F11">
            <v>24988222436.997261</v>
          </cell>
          <cell r="G11">
            <v>40323880419.339294</v>
          </cell>
          <cell r="H11">
            <v>37858801106.944824</v>
          </cell>
          <cell r="I11">
            <v>55459473086.024582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19</v>
          </cell>
          <cell r="B12">
            <v>4399558766.7496204</v>
          </cell>
          <cell r="C12">
            <v>102556052611.31631</v>
          </cell>
          <cell r="D12">
            <v>4502640990.0230427</v>
          </cell>
          <cell r="E12">
            <v>128464493491.32114</v>
          </cell>
          <cell r="F12">
            <v>83097141160.918808</v>
          </cell>
          <cell r="G12">
            <v>81259650346.434372</v>
          </cell>
          <cell r="H12">
            <v>77836159171.082413</v>
          </cell>
          <cell r="I12">
            <v>113160562487.1468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20</v>
          </cell>
          <cell r="B13">
            <v>309832639995.42548</v>
          </cell>
          <cell r="C13">
            <v>10848143387.169439</v>
          </cell>
          <cell r="D13">
            <v>77225805472.918594</v>
          </cell>
          <cell r="E13">
            <v>111301744255.3147</v>
          </cell>
          <cell r="F13">
            <v>47170306292.255852</v>
          </cell>
          <cell r="G13">
            <v>62873565452.65136</v>
          </cell>
          <cell r="H13">
            <v>57541964968.770233</v>
          </cell>
          <cell r="I13">
            <v>159272483864.01981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23</v>
          </cell>
          <cell r="B14">
            <v>147473493280.46973</v>
          </cell>
          <cell r="C14">
            <v>46139880821.491013</v>
          </cell>
          <cell r="D14">
            <v>87013110970.520889</v>
          </cell>
          <cell r="E14">
            <v>158662652155.27097</v>
          </cell>
          <cell r="F14">
            <v>138883934151.41495</v>
          </cell>
          <cell r="G14">
            <v>109824789318.61774</v>
          </cell>
          <cell r="H14">
            <v>85585927514.583527</v>
          </cell>
          <cell r="I14">
            <v>181834159824.33762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25</v>
          </cell>
          <cell r="B15">
            <v>9633204891.0673103</v>
          </cell>
          <cell r="C15">
            <v>106351697633.70616</v>
          </cell>
          <cell r="D15">
            <v>9573615554.247818</v>
          </cell>
          <cell r="E15">
            <v>44954970586.427025</v>
          </cell>
          <cell r="F15">
            <v>86334820552.472229</v>
          </cell>
          <cell r="G15">
            <v>63038547347.555267</v>
          </cell>
          <cell r="H15">
            <v>84339564291.846527</v>
          </cell>
          <cell r="I15">
            <v>94895726275.489319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27</v>
          </cell>
          <cell r="B16">
            <v>31925363383.625492</v>
          </cell>
          <cell r="C16">
            <v>69651058980.145859</v>
          </cell>
          <cell r="D16">
            <v>2288071559.9900818</v>
          </cell>
          <cell r="E16">
            <v>112203708371.20584</v>
          </cell>
          <cell r="F16">
            <v>41039590210.955597</v>
          </cell>
          <cell r="G16">
            <v>57428588168.345833</v>
          </cell>
          <cell r="H16">
            <v>60109056421.108437</v>
          </cell>
          <cell r="I16">
            <v>87981124905.651581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41</v>
          </cell>
          <cell r="B17">
            <v>134398355241.0152</v>
          </cell>
          <cell r="C17">
            <v>0</v>
          </cell>
          <cell r="D17">
            <v>83173508489.818451</v>
          </cell>
          <cell r="E17">
            <v>96857045195.828705</v>
          </cell>
          <cell r="F17">
            <v>60000655735.79171</v>
          </cell>
          <cell r="G17">
            <v>61206786112.396156</v>
          </cell>
          <cell r="H17">
            <v>55318006239.061081</v>
          </cell>
          <cell r="I17">
            <v>115507616786.94662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44</v>
          </cell>
          <cell r="B18">
            <v>251285306306.33313</v>
          </cell>
          <cell r="C18">
            <v>0</v>
          </cell>
          <cell r="D18">
            <v>96615900707.2117</v>
          </cell>
          <cell r="E18">
            <v>126966944589.07974</v>
          </cell>
          <cell r="F18">
            <v>76185988286.706024</v>
          </cell>
          <cell r="G18">
            <v>76404985289.720871</v>
          </cell>
          <cell r="H18">
            <v>61332012965.005592</v>
          </cell>
          <cell r="I18">
            <v>162031128537.68231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47</v>
          </cell>
          <cell r="B19">
            <v>33079093598.935299</v>
          </cell>
          <cell r="C19">
            <v>82544696902.707779</v>
          </cell>
          <cell r="D19">
            <v>19701399321.848091</v>
          </cell>
          <cell r="E19">
            <v>124478235170.06729</v>
          </cell>
          <cell r="F19">
            <v>63885886828.997299</v>
          </cell>
          <cell r="G19">
            <v>74112929343.733795</v>
          </cell>
          <cell r="H19">
            <v>68513862965.28643</v>
          </cell>
          <cell r="I19">
            <v>109484944829.43877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50</v>
          </cell>
          <cell r="B20">
            <v>1127790612997.9614</v>
          </cell>
          <cell r="C20">
            <v>31904568169.768631</v>
          </cell>
          <cell r="D20">
            <v>34713224844.32682</v>
          </cell>
          <cell r="E20">
            <v>32128081543.097633</v>
          </cell>
          <cell r="F20">
            <v>32008477138.162834</v>
          </cell>
          <cell r="G20">
            <v>33337672894.399693</v>
          </cell>
          <cell r="H20">
            <v>43035463858.398361</v>
          </cell>
          <cell r="I20">
            <v>315736386160.67126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52</v>
          </cell>
          <cell r="B21">
            <v>11219748744.836399</v>
          </cell>
          <cell r="C21">
            <v>114563527496.54739</v>
          </cell>
          <cell r="D21">
            <v>5290132366.3986912</v>
          </cell>
          <cell r="E21">
            <v>140191986639.3038</v>
          </cell>
          <cell r="F21">
            <v>99668615755.502838</v>
          </cell>
          <cell r="G21">
            <v>91730521630.32515</v>
          </cell>
          <cell r="H21">
            <v>90925043379.698685</v>
          </cell>
          <cell r="I21">
            <v>129946509574.13953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54</v>
          </cell>
          <cell r="B22">
            <v>18078931264.308239</v>
          </cell>
          <cell r="C22">
            <v>76544116104.285904</v>
          </cell>
          <cell r="D22">
            <v>12816265434.338743</v>
          </cell>
          <cell r="E22">
            <v>104064220705.60759</v>
          </cell>
          <cell r="F22">
            <v>43010857901.995941</v>
          </cell>
          <cell r="G22">
            <v>60300675303.808334</v>
          </cell>
          <cell r="H22">
            <v>56135634363.259743</v>
          </cell>
          <cell r="I22">
            <v>87096586675.018738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63</v>
          </cell>
          <cell r="B23">
            <v>32690049.221446842</v>
          </cell>
          <cell r="C23">
            <v>41198718951.277412</v>
          </cell>
          <cell r="D23">
            <v>1203476.8810323072</v>
          </cell>
          <cell r="E23">
            <v>28467799825.988056</v>
          </cell>
          <cell r="F23">
            <v>13101977869.561426</v>
          </cell>
          <cell r="G23">
            <v>13849169200.375633</v>
          </cell>
          <cell r="H23">
            <v>21309264340.054214</v>
          </cell>
          <cell r="I23">
            <v>21009443271.862339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66</v>
          </cell>
          <cell r="B24">
            <v>105391919.84509577</v>
          </cell>
          <cell r="C24">
            <v>58042536616.736122</v>
          </cell>
          <cell r="D24">
            <v>1973063.2133229275</v>
          </cell>
          <cell r="E24">
            <v>28126578912.909882</v>
          </cell>
          <cell r="F24">
            <v>16412138042.143581</v>
          </cell>
          <cell r="G24">
            <v>26163685026.3927</v>
          </cell>
          <cell r="H24">
            <v>28616508986.598518</v>
          </cell>
          <cell r="I24">
            <v>36961260133.489258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68</v>
          </cell>
          <cell r="B25">
            <v>175611484121.48865</v>
          </cell>
          <cell r="C25">
            <v>24109996994.107876</v>
          </cell>
          <cell r="D25">
            <v>77016486647.400497</v>
          </cell>
          <cell r="E25">
            <v>40358946638.2799</v>
          </cell>
          <cell r="F25">
            <v>57442571398.236259</v>
          </cell>
          <cell r="G25">
            <v>50739512000.796318</v>
          </cell>
          <cell r="H25">
            <v>69780857819.944397</v>
          </cell>
          <cell r="I25">
            <v>116586536994.94504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70</v>
          </cell>
          <cell r="B26">
            <v>93852413730.260941</v>
          </cell>
          <cell r="C26">
            <v>59438320428.886368</v>
          </cell>
          <cell r="D26">
            <v>26048420159.738293</v>
          </cell>
          <cell r="E26">
            <v>114660975103.68703</v>
          </cell>
          <cell r="F26">
            <v>69732043872.24794</v>
          </cell>
          <cell r="G26">
            <v>68823887310.882889</v>
          </cell>
          <cell r="H26">
            <v>60522751879.897865</v>
          </cell>
          <cell r="I26">
            <v>115920929084.4742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73</v>
          </cell>
          <cell r="B27">
            <v>84690032722.996368</v>
          </cell>
          <cell r="C27">
            <v>22350302061.62513</v>
          </cell>
          <cell r="D27">
            <v>68838890307.751007</v>
          </cell>
          <cell r="E27">
            <v>43987592908.017731</v>
          </cell>
          <cell r="F27">
            <v>60577815141.307938</v>
          </cell>
          <cell r="G27">
            <v>49931601806.433052</v>
          </cell>
          <cell r="H27">
            <v>60779516187.355095</v>
          </cell>
          <cell r="I27">
            <v>91999907217.939346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76</v>
          </cell>
          <cell r="B28">
            <v>795367329.14201736</v>
          </cell>
          <cell r="C28">
            <v>142181484096.03235</v>
          </cell>
          <cell r="D28">
            <v>532056019.57844555</v>
          </cell>
          <cell r="E28">
            <v>49486542173.443398</v>
          </cell>
          <cell r="F28">
            <v>73991672661.821136</v>
          </cell>
          <cell r="G28">
            <v>67882765974.563828</v>
          </cell>
          <cell r="H28">
            <v>60008775466.686684</v>
          </cell>
          <cell r="I28">
            <v>92672230241.757614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81</v>
          </cell>
          <cell r="B29">
            <v>192659563295.64447</v>
          </cell>
          <cell r="C29">
            <v>0</v>
          </cell>
          <cell r="D29">
            <v>35561872794.245453</v>
          </cell>
          <cell r="E29">
            <v>57923357894.801064</v>
          </cell>
          <cell r="F29">
            <v>16277621927.910608</v>
          </cell>
          <cell r="G29">
            <v>27987961840.360256</v>
          </cell>
          <cell r="H29">
            <v>24881514444.831596</v>
          </cell>
          <cell r="I29">
            <v>83797424522.452988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85</v>
          </cell>
          <cell r="B30">
            <v>632937573387.03271</v>
          </cell>
          <cell r="C30">
            <v>2776978922.5156164</v>
          </cell>
          <cell r="D30">
            <v>39547869543.050316</v>
          </cell>
          <cell r="E30">
            <v>64897243580.259331</v>
          </cell>
          <cell r="F30">
            <v>15893540138.505457</v>
          </cell>
          <cell r="G30">
            <v>31388942586.265194</v>
          </cell>
          <cell r="H30">
            <v>30952906249.341003</v>
          </cell>
          <cell r="I30">
            <v>193435346240.09842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86</v>
          </cell>
          <cell r="B31">
            <v>61819249973.204926</v>
          </cell>
          <cell r="C31">
            <v>15509169028.049175</v>
          </cell>
          <cell r="D31">
            <v>26433518331.10078</v>
          </cell>
          <cell r="E31">
            <v>64701052330.462067</v>
          </cell>
          <cell r="F31">
            <v>24572754523.618324</v>
          </cell>
          <cell r="G31">
            <v>33458073251.195869</v>
          </cell>
          <cell r="H31">
            <v>29416047881.270267</v>
          </cell>
          <cell r="I31">
            <v>60189067078.50267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88</v>
          </cell>
          <cell r="B32">
            <v>251306895.27759856</v>
          </cell>
          <cell r="C32">
            <v>17399188147.687801</v>
          </cell>
          <cell r="D32">
            <v>510226454.96116316</v>
          </cell>
          <cell r="E32">
            <v>36347188058.195084</v>
          </cell>
          <cell r="F32">
            <v>6363607970.7967834</v>
          </cell>
          <cell r="G32">
            <v>15460134644.724033</v>
          </cell>
          <cell r="H32">
            <v>12555662732.237579</v>
          </cell>
          <cell r="I32">
            <v>20860829301.682316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91</v>
          </cell>
          <cell r="B33">
            <v>0</v>
          </cell>
          <cell r="C33">
            <v>18443426417.050125</v>
          </cell>
          <cell r="D33">
            <v>61337.910127336479</v>
          </cell>
          <cell r="E33">
            <v>39290413368.660339</v>
          </cell>
          <cell r="F33">
            <v>4057220612.9403543</v>
          </cell>
          <cell r="G33">
            <v>15755758467.49468</v>
          </cell>
          <cell r="H33">
            <v>14288736221.509108</v>
          </cell>
          <cell r="I33">
            <v>21551211585.38023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94</v>
          </cell>
          <cell r="B34">
            <v>48551311.752698921</v>
          </cell>
          <cell r="C34">
            <v>14441852085.643869</v>
          </cell>
          <cell r="D34">
            <v>0</v>
          </cell>
          <cell r="E34">
            <v>35892754929.093254</v>
          </cell>
          <cell r="F34">
            <v>1624905130.7008762</v>
          </cell>
          <cell r="G34">
            <v>13247564699.358587</v>
          </cell>
          <cell r="H34">
            <v>12955669897.889282</v>
          </cell>
          <cell r="I34">
            <v>18353756615.704575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95</v>
          </cell>
          <cell r="B35">
            <v>0</v>
          </cell>
          <cell r="C35">
            <v>22083167679.191292</v>
          </cell>
          <cell r="D35">
            <v>0</v>
          </cell>
          <cell r="E35">
            <v>43206675455.508942</v>
          </cell>
          <cell r="F35">
            <v>9115539334.9320774</v>
          </cell>
          <cell r="G35">
            <v>18970779878.567966</v>
          </cell>
          <cell r="H35">
            <v>17231525951.396973</v>
          </cell>
          <cell r="I35">
            <v>25955497011.78405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97</v>
          </cell>
          <cell r="B36">
            <v>6004009.6022742921</v>
          </cell>
          <cell r="C36">
            <v>14373474584.043072</v>
          </cell>
          <cell r="D36">
            <v>926820.63248945179</v>
          </cell>
          <cell r="E36">
            <v>34942999198.468323</v>
          </cell>
          <cell r="F36">
            <v>2943609134.6811557</v>
          </cell>
          <cell r="G36">
            <v>13326036762.634354</v>
          </cell>
          <cell r="H36">
            <v>12618236052.916824</v>
          </cell>
          <cell r="I36">
            <v>18354562174.092438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99</v>
          </cell>
          <cell r="B37">
            <v>214177843.90183806</v>
          </cell>
          <cell r="C37">
            <v>20758735734.473118</v>
          </cell>
          <cell r="D37">
            <v>193500.84350061402</v>
          </cell>
          <cell r="E37">
            <v>46787234443.793747</v>
          </cell>
          <cell r="F37">
            <v>5771138770.9402657</v>
          </cell>
          <cell r="G37">
            <v>18689286535.387138</v>
          </cell>
          <cell r="H37">
            <v>19277560378.214645</v>
          </cell>
          <cell r="I37">
            <v>26163524636.780163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90</v>
          </cell>
          <cell r="B38">
            <v>1342318187.8908498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90_1</v>
          </cell>
          <cell r="B39">
            <v>826041961.75427139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Corpoamazonia</v>
          </cell>
          <cell r="B40">
            <v>10986148160.579193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Corpoboyacá</v>
          </cell>
          <cell r="B41">
            <v>9819249.9077449851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Corpocesar</v>
          </cell>
          <cell r="B42">
            <v>4675412643.4516621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Corpoguajira</v>
          </cell>
          <cell r="B43">
            <v>17830254745.474243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Corponariño</v>
          </cell>
          <cell r="B44">
            <v>253134362.26643905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Corponorte</v>
          </cell>
          <cell r="B45">
            <v>1336937746.8678179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Corporacion Autonoma Santander</v>
          </cell>
          <cell r="B46">
            <v>28132660.867912415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Corporación CVS</v>
          </cell>
          <cell r="B47">
            <v>27591150212.012638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ONET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88631206908.212128</v>
          </cell>
          <cell r="K48">
            <v>354524827632.84851</v>
          </cell>
          <cell r="L48">
            <v>354524827632.84851</v>
          </cell>
          <cell r="M48">
            <v>177262413816.42426</v>
          </cell>
        </row>
        <row r="49">
          <cell r="A49" t="str">
            <v>OT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513588038.76634979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Total general</v>
          </cell>
          <cell r="B50">
            <v>3630993526076.252</v>
          </cell>
          <cell r="C50">
            <v>1792710198939.957</v>
          </cell>
          <cell r="D50">
            <v>846245937234.66235</v>
          </cell>
          <cell r="E50">
            <v>2375060522557.1572</v>
          </cell>
          <cell r="F50">
            <v>1583373681704.772</v>
          </cell>
          <cell r="G50">
            <v>1675129810565.2085</v>
          </cell>
          <cell r="H50">
            <v>1675129810565.209</v>
          </cell>
          <cell r="I50">
            <v>3172654618008.8281</v>
          </cell>
          <cell r="J50">
            <v>88631206908.212128</v>
          </cell>
          <cell r="K50">
            <v>354524827632.84851</v>
          </cell>
          <cell r="L50">
            <v>354524827632.84851</v>
          </cell>
          <cell r="M50">
            <v>177262413816.42426</v>
          </cell>
        </row>
      </sheetData>
      <sheetData sheetId="1"/>
      <sheetData sheetId="2">
        <row r="76">
          <cell r="B76" t="str">
            <v>Departamento</v>
          </cell>
          <cell r="C76" t="str">
            <v>Código Departamento</v>
          </cell>
        </row>
        <row r="77">
          <cell r="B77" t="str">
            <v>Antioquia</v>
          </cell>
          <cell r="C77" t="str">
            <v>05</v>
          </cell>
        </row>
        <row r="78">
          <cell r="B78" t="str">
            <v>Atlántico</v>
          </cell>
          <cell r="C78" t="str">
            <v>08</v>
          </cell>
        </row>
        <row r="79">
          <cell r="B79" t="str">
            <v>Bogotá, D.C.</v>
          </cell>
          <cell r="C79" t="str">
            <v>11</v>
          </cell>
        </row>
        <row r="80">
          <cell r="B80" t="str">
            <v>Bolívar</v>
          </cell>
          <cell r="C80" t="str">
            <v>13</v>
          </cell>
        </row>
        <row r="81">
          <cell r="B81" t="str">
            <v>Boyacá</v>
          </cell>
          <cell r="C81" t="str">
            <v>15</v>
          </cell>
        </row>
        <row r="82">
          <cell r="B82" t="str">
            <v>Caldas</v>
          </cell>
          <cell r="C82" t="str">
            <v>17</v>
          </cell>
        </row>
        <row r="83">
          <cell r="B83" t="str">
            <v>Caquetá</v>
          </cell>
          <cell r="C83" t="str">
            <v>18</v>
          </cell>
        </row>
        <row r="84">
          <cell r="B84" t="str">
            <v>Cauca</v>
          </cell>
          <cell r="C84" t="str">
            <v>19</v>
          </cell>
        </row>
        <row r="85">
          <cell r="B85" t="str">
            <v>Cesar</v>
          </cell>
          <cell r="C85" t="str">
            <v>20</v>
          </cell>
        </row>
        <row r="86">
          <cell r="B86" t="str">
            <v>Córdoba</v>
          </cell>
          <cell r="C86" t="str">
            <v>23</v>
          </cell>
        </row>
        <row r="87">
          <cell r="B87" t="str">
            <v>Cundinamarca</v>
          </cell>
          <cell r="C87" t="str">
            <v>25</v>
          </cell>
        </row>
        <row r="88">
          <cell r="B88" t="str">
            <v>Chocó</v>
          </cell>
          <cell r="C88" t="str">
            <v>27</v>
          </cell>
        </row>
        <row r="89">
          <cell r="B89" t="str">
            <v>Huila</v>
          </cell>
          <cell r="C89" t="str">
            <v>41</v>
          </cell>
        </row>
        <row r="90">
          <cell r="B90" t="str">
            <v>La Guajira</v>
          </cell>
          <cell r="C90" t="str">
            <v>44</v>
          </cell>
        </row>
        <row r="91">
          <cell r="B91" t="str">
            <v>Magdalena</v>
          </cell>
          <cell r="C91" t="str">
            <v>47</v>
          </cell>
        </row>
        <row r="92">
          <cell r="B92" t="str">
            <v>Meta</v>
          </cell>
          <cell r="C92" t="str">
            <v>50</v>
          </cell>
        </row>
        <row r="93">
          <cell r="B93" t="str">
            <v>Nariño</v>
          </cell>
          <cell r="C93" t="str">
            <v>52</v>
          </cell>
        </row>
        <row r="94">
          <cell r="B94" t="str">
            <v>Norte de Santander</v>
          </cell>
          <cell r="C94" t="str">
            <v>54</v>
          </cell>
        </row>
        <row r="95">
          <cell r="B95" t="str">
            <v>Quindio</v>
          </cell>
          <cell r="C95" t="str">
            <v>63</v>
          </cell>
        </row>
        <row r="96">
          <cell r="B96" t="str">
            <v>Risaralda</v>
          </cell>
          <cell r="C96" t="str">
            <v>66</v>
          </cell>
        </row>
        <row r="97">
          <cell r="B97" t="str">
            <v>Santander</v>
          </cell>
          <cell r="C97" t="str">
            <v>68</v>
          </cell>
        </row>
        <row r="98">
          <cell r="B98" t="str">
            <v>Sucre</v>
          </cell>
          <cell r="C98" t="str">
            <v>70</v>
          </cell>
        </row>
        <row r="99">
          <cell r="B99" t="str">
            <v>Tolima</v>
          </cell>
          <cell r="C99" t="str">
            <v>73</v>
          </cell>
        </row>
        <row r="100">
          <cell r="B100" t="str">
            <v>Valle del Cauca</v>
          </cell>
          <cell r="C100" t="str">
            <v>76</v>
          </cell>
        </row>
        <row r="101">
          <cell r="B101" t="str">
            <v>Arauca</v>
          </cell>
          <cell r="C101" t="str">
            <v>81</v>
          </cell>
        </row>
        <row r="102">
          <cell r="B102" t="str">
            <v>Casanare</v>
          </cell>
          <cell r="C102" t="str">
            <v>85</v>
          </cell>
        </row>
        <row r="103">
          <cell r="B103" t="str">
            <v>Putumayo</v>
          </cell>
          <cell r="C103" t="str">
            <v>86</v>
          </cell>
        </row>
        <row r="104">
          <cell r="B104" t="str">
            <v>Archipiélago de San Andrés</v>
          </cell>
          <cell r="C104" t="str">
            <v>88</v>
          </cell>
        </row>
        <row r="105">
          <cell r="B105" t="str">
            <v>Amazonas</v>
          </cell>
          <cell r="C105" t="str">
            <v>91</v>
          </cell>
        </row>
        <row r="106">
          <cell r="B106" t="str">
            <v>Guainía</v>
          </cell>
          <cell r="C106" t="str">
            <v>94</v>
          </cell>
        </row>
        <row r="107">
          <cell r="B107" t="str">
            <v>Guaviare</v>
          </cell>
          <cell r="C107" t="str">
            <v>95</v>
          </cell>
        </row>
        <row r="108">
          <cell r="B108" t="str">
            <v>Vaupés</v>
          </cell>
          <cell r="C108" t="str">
            <v>97</v>
          </cell>
        </row>
        <row r="109">
          <cell r="B109" t="str">
            <v>Vichada</v>
          </cell>
          <cell r="C109" t="str">
            <v>99</v>
          </cell>
        </row>
        <row r="110">
          <cell r="B110" t="str">
            <v>Corpoamazonia</v>
          </cell>
          <cell r="C110" t="str">
            <v>Corpoamazonia</v>
          </cell>
        </row>
        <row r="111">
          <cell r="B111" t="str">
            <v>Corpoboyacá</v>
          </cell>
          <cell r="C111" t="str">
            <v>Corpoboyacá</v>
          </cell>
        </row>
        <row r="112">
          <cell r="B112" t="str">
            <v>Corpocesar</v>
          </cell>
          <cell r="C112" t="str">
            <v>Corpocesar</v>
          </cell>
        </row>
        <row r="113">
          <cell r="B113" t="str">
            <v>Corpoguajira</v>
          </cell>
          <cell r="C113" t="str">
            <v>Corpoguajira</v>
          </cell>
        </row>
        <row r="114">
          <cell r="B114" t="str">
            <v>Corponariño</v>
          </cell>
          <cell r="C114" t="str">
            <v>Corponariño</v>
          </cell>
        </row>
        <row r="115">
          <cell r="B115" t="str">
            <v>Corponorte</v>
          </cell>
          <cell r="C115" t="str">
            <v>Corponorte</v>
          </cell>
        </row>
        <row r="116">
          <cell r="B116" t="str">
            <v>Corporacion Autonoma Santander</v>
          </cell>
          <cell r="C116" t="str">
            <v>Corporacion Autonoma Santander</v>
          </cell>
        </row>
        <row r="117">
          <cell r="B117" t="str">
            <v>Corporación CVS</v>
          </cell>
          <cell r="C117" t="str">
            <v>Corporación CVS</v>
          </cell>
        </row>
        <row r="118">
          <cell r="B118" t="str">
            <v>ONET</v>
          </cell>
          <cell r="C118" t="str">
            <v>ONET</v>
          </cell>
        </row>
        <row r="119">
          <cell r="B119" t="str">
            <v>OT</v>
          </cell>
          <cell r="C119" t="str">
            <v>OT</v>
          </cell>
        </row>
        <row r="120">
          <cell r="B120" t="str">
            <v>Gobernación (NN)</v>
          </cell>
          <cell r="C120" t="str">
            <v>90</v>
          </cell>
        </row>
        <row r="121">
          <cell r="B121" t="str">
            <v>Municipio (NN)</v>
          </cell>
          <cell r="C121" t="str">
            <v>90_1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Listas"/>
      <sheetName val="De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I5" t="str">
            <v>001-Foros</v>
          </cell>
        </row>
        <row r="6">
          <cell r="II6" t="str">
            <v xml:space="preserve">002-Jornada de Asistencia técnica Presenciales </v>
          </cell>
        </row>
        <row r="7">
          <cell r="II7" t="str">
            <v>003-Jornada de Asistencia técnica virtuales</v>
          </cell>
        </row>
        <row r="8">
          <cell r="II8" t="str">
            <v xml:space="preserve">004-Participación en OCAD </v>
          </cell>
        </row>
        <row r="9">
          <cell r="II9" t="str">
            <v>005-Participación PRE-OCAD</v>
          </cell>
        </row>
        <row r="10">
          <cell r="II10" t="str">
            <v>006-Talleres</v>
          </cell>
        </row>
      </sheetData>
      <sheetData sheetId="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  <sheetName val="LIQUI-TRANSF"/>
      <sheetName val="MODELO DE GASOLINA"/>
      <sheetName val="MADRE"/>
      <sheetName val="Hoja1"/>
      <sheetName val="Hoja2"/>
    </sheetNames>
    <sheetDataSet>
      <sheetData sheetId="0" refreshError="1"/>
      <sheetData sheetId="1" refreshError="1"/>
      <sheetData sheetId="2" refreshError="1">
        <row r="34">
          <cell r="F34" t="str">
            <v>Enero 01 - Marzo 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Seguimiento CSF"/>
      <sheetName val="Resumen OPEF"/>
      <sheetName val="Resumen MES OPEF"/>
      <sheetName val="Datos"/>
      <sheetName val="VIGN"/>
      <sheetName val="i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vas"/>
    </sheetNames>
    <sheetDataSet>
      <sheetData sheetId="0">
        <row r="4">
          <cell r="E4" t="str">
            <v>nombre municipio</v>
          </cell>
          <cell r="F4" t="str">
            <v>código municipio</v>
          </cell>
          <cell r="G4" t="str">
            <v>código departamento</v>
          </cell>
        </row>
        <row r="5">
          <cell r="E5" t="str">
            <v>MEDELLIN</v>
          </cell>
          <cell r="F5" t="str">
            <v>05001</v>
          </cell>
          <cell r="G5" t="str">
            <v>05</v>
          </cell>
        </row>
        <row r="6">
          <cell r="E6" t="str">
            <v>ABEJORRAL</v>
          </cell>
          <cell r="F6" t="str">
            <v>05002</v>
          </cell>
          <cell r="G6" t="str">
            <v>05</v>
          </cell>
        </row>
        <row r="7">
          <cell r="E7" t="str">
            <v>ABRIAQUI</v>
          </cell>
          <cell r="F7" t="str">
            <v>05004</v>
          </cell>
          <cell r="G7" t="str">
            <v>05</v>
          </cell>
        </row>
        <row r="8">
          <cell r="E8" t="str">
            <v>ALEJANDRIA</v>
          </cell>
          <cell r="F8" t="str">
            <v>05021</v>
          </cell>
          <cell r="G8" t="str">
            <v>05</v>
          </cell>
        </row>
        <row r="9">
          <cell r="E9" t="str">
            <v>AMAGA</v>
          </cell>
          <cell r="F9" t="str">
            <v>05030</v>
          </cell>
          <cell r="G9" t="str">
            <v>05</v>
          </cell>
        </row>
        <row r="10">
          <cell r="E10" t="str">
            <v>AMALFI</v>
          </cell>
          <cell r="F10" t="str">
            <v>05031</v>
          </cell>
          <cell r="G10" t="str">
            <v>05</v>
          </cell>
        </row>
        <row r="11">
          <cell r="E11" t="str">
            <v>ANDES</v>
          </cell>
          <cell r="F11" t="str">
            <v>05034</v>
          </cell>
          <cell r="G11" t="str">
            <v>05</v>
          </cell>
        </row>
        <row r="12">
          <cell r="E12" t="str">
            <v>ANGELOPOLIS</v>
          </cell>
          <cell r="F12" t="str">
            <v>05036</v>
          </cell>
          <cell r="G12" t="str">
            <v>05</v>
          </cell>
        </row>
        <row r="13">
          <cell r="E13" t="str">
            <v>ANGOSTURA</v>
          </cell>
          <cell r="F13" t="str">
            <v>05038</v>
          </cell>
          <cell r="G13" t="str">
            <v>05</v>
          </cell>
        </row>
        <row r="14">
          <cell r="E14" t="str">
            <v>ANORI</v>
          </cell>
          <cell r="F14" t="str">
            <v>05040</v>
          </cell>
          <cell r="G14" t="str">
            <v>05</v>
          </cell>
        </row>
        <row r="15">
          <cell r="E15" t="str">
            <v>ANTIOQUIA</v>
          </cell>
          <cell r="F15" t="str">
            <v>05042</v>
          </cell>
          <cell r="G15" t="str">
            <v>05</v>
          </cell>
        </row>
        <row r="16">
          <cell r="E16" t="str">
            <v>ANZA</v>
          </cell>
          <cell r="F16" t="str">
            <v>05044</v>
          </cell>
          <cell r="G16" t="str">
            <v>05</v>
          </cell>
        </row>
        <row r="17">
          <cell r="E17" t="str">
            <v>APARTADO</v>
          </cell>
          <cell r="F17" t="str">
            <v>05045</v>
          </cell>
          <cell r="G17" t="str">
            <v>05</v>
          </cell>
        </row>
        <row r="18">
          <cell r="E18" t="str">
            <v>ARBOLETES</v>
          </cell>
          <cell r="F18" t="str">
            <v>05051</v>
          </cell>
          <cell r="G18" t="str">
            <v>05</v>
          </cell>
        </row>
        <row r="19">
          <cell r="E19" t="str">
            <v>ARGELIA</v>
          </cell>
          <cell r="F19" t="str">
            <v>05055</v>
          </cell>
          <cell r="G19" t="str">
            <v>05</v>
          </cell>
        </row>
        <row r="20">
          <cell r="E20" t="str">
            <v>ARMENIA</v>
          </cell>
          <cell r="F20" t="str">
            <v>05059</v>
          </cell>
          <cell r="G20" t="str">
            <v>05</v>
          </cell>
        </row>
        <row r="21">
          <cell r="E21" t="str">
            <v>BARBOSA</v>
          </cell>
          <cell r="F21" t="str">
            <v>05079</v>
          </cell>
          <cell r="G21" t="str">
            <v>05</v>
          </cell>
        </row>
        <row r="22">
          <cell r="E22" t="str">
            <v>BELMIRA</v>
          </cell>
          <cell r="F22" t="str">
            <v>05086</v>
          </cell>
          <cell r="G22" t="str">
            <v>05</v>
          </cell>
        </row>
        <row r="23">
          <cell r="E23" t="str">
            <v>BELLO</v>
          </cell>
          <cell r="F23" t="str">
            <v>05088</v>
          </cell>
          <cell r="G23" t="str">
            <v>05</v>
          </cell>
        </row>
        <row r="24">
          <cell r="E24" t="str">
            <v>BETANIA</v>
          </cell>
          <cell r="F24" t="str">
            <v>05091</v>
          </cell>
          <cell r="G24" t="str">
            <v>05</v>
          </cell>
        </row>
        <row r="25">
          <cell r="E25" t="str">
            <v>BETULIA</v>
          </cell>
          <cell r="F25" t="str">
            <v>05093</v>
          </cell>
          <cell r="G25" t="str">
            <v>05</v>
          </cell>
        </row>
        <row r="26">
          <cell r="E26" t="str">
            <v>BOLIVAR</v>
          </cell>
          <cell r="F26" t="str">
            <v>05101</v>
          </cell>
          <cell r="G26" t="str">
            <v>05</v>
          </cell>
        </row>
        <row r="27">
          <cell r="E27" t="str">
            <v>BRICEÑO</v>
          </cell>
          <cell r="F27" t="str">
            <v>05107</v>
          </cell>
          <cell r="G27" t="str">
            <v>05</v>
          </cell>
        </row>
        <row r="28">
          <cell r="E28" t="str">
            <v>BURITICA</v>
          </cell>
          <cell r="F28" t="str">
            <v>05113</v>
          </cell>
          <cell r="G28" t="str">
            <v>05</v>
          </cell>
        </row>
        <row r="29">
          <cell r="E29" t="str">
            <v>CACERES</v>
          </cell>
          <cell r="F29" t="str">
            <v>05120</v>
          </cell>
          <cell r="G29" t="str">
            <v>05</v>
          </cell>
        </row>
        <row r="30">
          <cell r="E30" t="str">
            <v>CAICEDO</v>
          </cell>
          <cell r="F30" t="str">
            <v>05125</v>
          </cell>
          <cell r="G30" t="str">
            <v>05</v>
          </cell>
        </row>
        <row r="31">
          <cell r="E31" t="str">
            <v>CALDAS</v>
          </cell>
          <cell r="F31" t="str">
            <v>05129</v>
          </cell>
          <cell r="G31" t="str">
            <v>05</v>
          </cell>
        </row>
        <row r="32">
          <cell r="E32" t="str">
            <v>CAMPAMENTO</v>
          </cell>
          <cell r="F32" t="str">
            <v>05134</v>
          </cell>
          <cell r="G32" t="str">
            <v>05</v>
          </cell>
        </row>
        <row r="33">
          <cell r="E33" t="str">
            <v>CAÑASGORDAS</v>
          </cell>
          <cell r="F33" t="str">
            <v>05138</v>
          </cell>
          <cell r="G33" t="str">
            <v>05</v>
          </cell>
        </row>
        <row r="34">
          <cell r="E34" t="str">
            <v>CARACOLI</v>
          </cell>
          <cell r="F34" t="str">
            <v>05142</v>
          </cell>
          <cell r="G34" t="str">
            <v>05</v>
          </cell>
        </row>
        <row r="35">
          <cell r="E35" t="str">
            <v>CARAMANTA</v>
          </cell>
          <cell r="F35" t="str">
            <v>05145</v>
          </cell>
          <cell r="G35" t="str">
            <v>05</v>
          </cell>
        </row>
        <row r="36">
          <cell r="E36" t="str">
            <v>CAREPA</v>
          </cell>
          <cell r="F36" t="str">
            <v>05147</v>
          </cell>
          <cell r="G36" t="str">
            <v>05</v>
          </cell>
        </row>
        <row r="37">
          <cell r="E37" t="str">
            <v>CARMEN DE VIBORAL</v>
          </cell>
          <cell r="F37" t="str">
            <v>05148</v>
          </cell>
          <cell r="G37" t="str">
            <v>05</v>
          </cell>
        </row>
        <row r="38">
          <cell r="E38" t="str">
            <v>CAROLINA</v>
          </cell>
          <cell r="F38" t="str">
            <v>05150</v>
          </cell>
          <cell r="G38" t="str">
            <v>05</v>
          </cell>
        </row>
        <row r="39">
          <cell r="E39" t="str">
            <v>CAUCASIA</v>
          </cell>
          <cell r="F39" t="str">
            <v>05154</v>
          </cell>
          <cell r="G39" t="str">
            <v>05</v>
          </cell>
        </row>
        <row r="40">
          <cell r="E40" t="str">
            <v>CHIGORODO</v>
          </cell>
          <cell r="F40" t="str">
            <v>05172</v>
          </cell>
          <cell r="G40" t="str">
            <v>05</v>
          </cell>
        </row>
        <row r="41">
          <cell r="E41" t="str">
            <v>CISNEROS</v>
          </cell>
          <cell r="F41" t="str">
            <v>05190</v>
          </cell>
          <cell r="G41" t="str">
            <v>05</v>
          </cell>
        </row>
        <row r="42">
          <cell r="E42" t="str">
            <v>COCORNA</v>
          </cell>
          <cell r="F42" t="str">
            <v>05197</v>
          </cell>
          <cell r="G42" t="str">
            <v>05</v>
          </cell>
        </row>
        <row r="43">
          <cell r="E43" t="str">
            <v>CONCEPCION</v>
          </cell>
          <cell r="F43" t="str">
            <v>05206</v>
          </cell>
          <cell r="G43" t="str">
            <v>05</v>
          </cell>
        </row>
        <row r="44">
          <cell r="E44" t="str">
            <v>CONCORDIA</v>
          </cell>
          <cell r="F44" t="str">
            <v>05209</v>
          </cell>
          <cell r="G44" t="str">
            <v>05</v>
          </cell>
        </row>
        <row r="45">
          <cell r="E45" t="str">
            <v>COPACABANA</v>
          </cell>
          <cell r="F45" t="str">
            <v>05212</v>
          </cell>
          <cell r="G45" t="str">
            <v>05</v>
          </cell>
        </row>
        <row r="46">
          <cell r="E46" t="str">
            <v>DABEIBA</v>
          </cell>
          <cell r="F46" t="str">
            <v>05234</v>
          </cell>
          <cell r="G46" t="str">
            <v>05</v>
          </cell>
        </row>
        <row r="47">
          <cell r="E47" t="str">
            <v>DON MATIAS</v>
          </cell>
          <cell r="F47" t="str">
            <v>05237</v>
          </cell>
          <cell r="G47" t="str">
            <v>05</v>
          </cell>
        </row>
        <row r="48">
          <cell r="E48" t="str">
            <v>EBEJICO</v>
          </cell>
          <cell r="F48" t="str">
            <v>05240</v>
          </cell>
          <cell r="G48" t="str">
            <v>05</v>
          </cell>
        </row>
        <row r="49">
          <cell r="E49" t="str">
            <v>EL BAGRE</v>
          </cell>
          <cell r="F49" t="str">
            <v>05250</v>
          </cell>
          <cell r="G49" t="str">
            <v>05</v>
          </cell>
        </row>
        <row r="50">
          <cell r="E50" t="str">
            <v>ENTRERRIOS</v>
          </cell>
          <cell r="F50" t="str">
            <v>05264</v>
          </cell>
          <cell r="G50" t="str">
            <v>05</v>
          </cell>
        </row>
        <row r="51">
          <cell r="E51" t="str">
            <v>ENVIGADO</v>
          </cell>
          <cell r="F51" t="str">
            <v>05266</v>
          </cell>
          <cell r="G51" t="str">
            <v>05</v>
          </cell>
        </row>
        <row r="52">
          <cell r="E52" t="str">
            <v>FREDONIA</v>
          </cell>
          <cell r="F52" t="str">
            <v>05282</v>
          </cell>
          <cell r="G52" t="str">
            <v>05</v>
          </cell>
        </row>
        <row r="53">
          <cell r="E53" t="str">
            <v>FRONTINO</v>
          </cell>
          <cell r="F53" t="str">
            <v>05284</v>
          </cell>
          <cell r="G53" t="str">
            <v>05</v>
          </cell>
        </row>
        <row r="54">
          <cell r="E54" t="str">
            <v>GIRALDO</v>
          </cell>
          <cell r="F54" t="str">
            <v>05306</v>
          </cell>
          <cell r="G54" t="str">
            <v>05</v>
          </cell>
        </row>
        <row r="55">
          <cell r="E55" t="str">
            <v>GIRARDOTA</v>
          </cell>
          <cell r="F55" t="str">
            <v>05308</v>
          </cell>
          <cell r="G55" t="str">
            <v>05</v>
          </cell>
        </row>
        <row r="56">
          <cell r="E56" t="str">
            <v>GOMEZ PLATA</v>
          </cell>
          <cell r="F56" t="str">
            <v>05310</v>
          </cell>
          <cell r="G56" t="str">
            <v>05</v>
          </cell>
        </row>
        <row r="57">
          <cell r="E57" t="str">
            <v>GRANADA</v>
          </cell>
          <cell r="F57" t="str">
            <v>05313</v>
          </cell>
          <cell r="G57" t="str">
            <v>05</v>
          </cell>
        </row>
        <row r="58">
          <cell r="E58" t="str">
            <v>GUADALUPE</v>
          </cell>
          <cell r="F58" t="str">
            <v>05315</v>
          </cell>
          <cell r="G58" t="str">
            <v>05</v>
          </cell>
        </row>
        <row r="59">
          <cell r="E59" t="str">
            <v>GUARNE</v>
          </cell>
          <cell r="F59" t="str">
            <v>05318</v>
          </cell>
          <cell r="G59" t="str">
            <v>05</v>
          </cell>
        </row>
        <row r="60">
          <cell r="E60" t="str">
            <v>GUATAPE</v>
          </cell>
          <cell r="F60" t="str">
            <v>05321</v>
          </cell>
          <cell r="G60" t="str">
            <v>05</v>
          </cell>
        </row>
        <row r="61">
          <cell r="E61" t="str">
            <v>HELICONIA</v>
          </cell>
          <cell r="F61" t="str">
            <v>05347</v>
          </cell>
          <cell r="G61" t="str">
            <v>05</v>
          </cell>
        </row>
        <row r="62">
          <cell r="E62" t="str">
            <v>HISPANIA</v>
          </cell>
          <cell r="F62" t="str">
            <v>05353</v>
          </cell>
          <cell r="G62" t="str">
            <v>05</v>
          </cell>
        </row>
        <row r="63">
          <cell r="E63" t="str">
            <v>ITAGUI</v>
          </cell>
          <cell r="F63" t="str">
            <v>05360</v>
          </cell>
          <cell r="G63" t="str">
            <v>05</v>
          </cell>
        </row>
        <row r="64">
          <cell r="E64" t="str">
            <v>ITUANGO</v>
          </cell>
          <cell r="F64" t="str">
            <v>05361</v>
          </cell>
          <cell r="G64" t="str">
            <v>05</v>
          </cell>
        </row>
        <row r="65">
          <cell r="E65" t="str">
            <v>JARDIN</v>
          </cell>
          <cell r="F65" t="str">
            <v>05364</v>
          </cell>
          <cell r="G65" t="str">
            <v>05</v>
          </cell>
        </row>
        <row r="66">
          <cell r="E66" t="str">
            <v>JERICO</v>
          </cell>
          <cell r="F66" t="str">
            <v>05368</v>
          </cell>
          <cell r="G66" t="str">
            <v>05</v>
          </cell>
        </row>
        <row r="67">
          <cell r="E67" t="str">
            <v>LA CEJA</v>
          </cell>
          <cell r="F67" t="str">
            <v>05376</v>
          </cell>
          <cell r="G67" t="str">
            <v>05</v>
          </cell>
        </row>
        <row r="68">
          <cell r="E68" t="str">
            <v>LA ESTRELLA</v>
          </cell>
          <cell r="F68" t="str">
            <v>05380</v>
          </cell>
          <cell r="G68" t="str">
            <v>05</v>
          </cell>
        </row>
        <row r="69">
          <cell r="E69" t="str">
            <v>LA PINTADA</v>
          </cell>
          <cell r="F69" t="str">
            <v>05390</v>
          </cell>
          <cell r="G69" t="str">
            <v>05</v>
          </cell>
        </row>
        <row r="70">
          <cell r="E70" t="str">
            <v>LA UNION</v>
          </cell>
          <cell r="F70" t="str">
            <v>05400</v>
          </cell>
          <cell r="G70" t="str">
            <v>05</v>
          </cell>
        </row>
        <row r="71">
          <cell r="E71" t="str">
            <v>LIBORINA</v>
          </cell>
          <cell r="F71" t="str">
            <v>05411</v>
          </cell>
          <cell r="G71" t="str">
            <v>05</v>
          </cell>
        </row>
        <row r="72">
          <cell r="E72" t="str">
            <v>MACEO</v>
          </cell>
          <cell r="F72" t="str">
            <v>05425</v>
          </cell>
          <cell r="G72" t="str">
            <v>05</v>
          </cell>
        </row>
        <row r="73">
          <cell r="E73" t="str">
            <v>MARINILLA</v>
          </cell>
          <cell r="F73" t="str">
            <v>05440</v>
          </cell>
          <cell r="G73" t="str">
            <v>05</v>
          </cell>
        </row>
        <row r="74">
          <cell r="E74" t="str">
            <v>MONTEBELLO</v>
          </cell>
          <cell r="F74" t="str">
            <v>05467</v>
          </cell>
          <cell r="G74" t="str">
            <v>05</v>
          </cell>
        </row>
        <row r="75">
          <cell r="E75" t="str">
            <v>MURINDO</v>
          </cell>
          <cell r="F75" t="str">
            <v>05475</v>
          </cell>
          <cell r="G75" t="str">
            <v>05</v>
          </cell>
        </row>
        <row r="76">
          <cell r="E76" t="str">
            <v>MUTATA</v>
          </cell>
          <cell r="F76" t="str">
            <v>05480</v>
          </cell>
          <cell r="G76" t="str">
            <v>05</v>
          </cell>
        </row>
        <row r="77">
          <cell r="E77" t="str">
            <v>NARIÑO</v>
          </cell>
          <cell r="F77" t="str">
            <v>05483</v>
          </cell>
          <cell r="G77" t="str">
            <v>05</v>
          </cell>
        </row>
        <row r="78">
          <cell r="E78" t="str">
            <v>NECOCLI</v>
          </cell>
          <cell r="F78" t="str">
            <v>05490</v>
          </cell>
          <cell r="G78" t="str">
            <v>05</v>
          </cell>
        </row>
        <row r="79">
          <cell r="E79" t="str">
            <v>NECHI</v>
          </cell>
          <cell r="F79" t="str">
            <v>05495</v>
          </cell>
          <cell r="G79" t="str">
            <v>05</v>
          </cell>
        </row>
        <row r="80">
          <cell r="E80" t="str">
            <v>OLAYA</v>
          </cell>
          <cell r="F80" t="str">
            <v>05501</v>
          </cell>
          <cell r="G80" t="str">
            <v>05</v>
          </cell>
        </row>
        <row r="81">
          <cell r="E81" t="str">
            <v>PEÑOL</v>
          </cell>
          <cell r="F81" t="str">
            <v>05541</v>
          </cell>
          <cell r="G81" t="str">
            <v>05</v>
          </cell>
        </row>
        <row r="82">
          <cell r="E82" t="str">
            <v>PEQUE</v>
          </cell>
          <cell r="F82" t="str">
            <v>05543</v>
          </cell>
          <cell r="G82" t="str">
            <v>05</v>
          </cell>
        </row>
        <row r="83">
          <cell r="E83" t="str">
            <v>PUEBLORRICO</v>
          </cell>
          <cell r="F83" t="str">
            <v>05576</v>
          </cell>
          <cell r="G83" t="str">
            <v>05</v>
          </cell>
        </row>
        <row r="84">
          <cell r="E84" t="str">
            <v>PUERTO BERRIO</v>
          </cell>
          <cell r="F84" t="str">
            <v>05579</v>
          </cell>
          <cell r="G84" t="str">
            <v>05</v>
          </cell>
        </row>
        <row r="85">
          <cell r="E85" t="str">
            <v>PUERTO NARE</v>
          </cell>
          <cell r="F85" t="str">
            <v>05585</v>
          </cell>
          <cell r="G85" t="str">
            <v>05</v>
          </cell>
        </row>
        <row r="86">
          <cell r="E86" t="str">
            <v>PUERTO TRIUNFO</v>
          </cell>
          <cell r="F86" t="str">
            <v>05591</v>
          </cell>
          <cell r="G86" t="str">
            <v>05</v>
          </cell>
        </row>
        <row r="87">
          <cell r="E87" t="str">
            <v>REMEDIOS</v>
          </cell>
          <cell r="F87" t="str">
            <v>05604</v>
          </cell>
          <cell r="G87" t="str">
            <v>05</v>
          </cell>
        </row>
        <row r="88">
          <cell r="E88" t="str">
            <v>RETIRO</v>
          </cell>
          <cell r="F88" t="str">
            <v>05607</v>
          </cell>
          <cell r="G88" t="str">
            <v>05</v>
          </cell>
        </row>
        <row r="89">
          <cell r="E89" t="str">
            <v>RIONEGRO</v>
          </cell>
          <cell r="F89" t="str">
            <v>05615</v>
          </cell>
          <cell r="G89" t="str">
            <v>05</v>
          </cell>
        </row>
        <row r="90">
          <cell r="E90" t="str">
            <v>SABANALARGA</v>
          </cell>
          <cell r="F90" t="str">
            <v>05628</v>
          </cell>
          <cell r="G90" t="str">
            <v>05</v>
          </cell>
        </row>
        <row r="91">
          <cell r="E91" t="str">
            <v>SABANETA</v>
          </cell>
          <cell r="F91" t="str">
            <v>05631</v>
          </cell>
          <cell r="G91" t="str">
            <v>05</v>
          </cell>
        </row>
        <row r="92">
          <cell r="E92" t="str">
            <v>SALGAR</v>
          </cell>
          <cell r="F92" t="str">
            <v>05642</v>
          </cell>
          <cell r="G92" t="str">
            <v>05</v>
          </cell>
        </row>
        <row r="93">
          <cell r="E93" t="str">
            <v>SAN ANDRES</v>
          </cell>
          <cell r="F93" t="str">
            <v>05647</v>
          </cell>
          <cell r="G93" t="str">
            <v>05</v>
          </cell>
        </row>
        <row r="94">
          <cell r="E94" t="str">
            <v>SAN CARLOS</v>
          </cell>
          <cell r="F94" t="str">
            <v>05649</v>
          </cell>
          <cell r="G94" t="str">
            <v>05</v>
          </cell>
        </row>
        <row r="95">
          <cell r="E95" t="str">
            <v>SAN FRANCISCO</v>
          </cell>
          <cell r="F95" t="str">
            <v>05652</v>
          </cell>
          <cell r="G95" t="str">
            <v>05</v>
          </cell>
        </row>
        <row r="96">
          <cell r="E96" t="str">
            <v>SAN JERONIMO</v>
          </cell>
          <cell r="F96" t="str">
            <v>05656</v>
          </cell>
          <cell r="G96" t="str">
            <v>05</v>
          </cell>
        </row>
        <row r="97">
          <cell r="E97" t="str">
            <v>SAN JOSE DE LA MONTAÑA</v>
          </cell>
          <cell r="F97" t="str">
            <v>05658</v>
          </cell>
          <cell r="G97" t="str">
            <v>05</v>
          </cell>
        </row>
        <row r="98">
          <cell r="E98" t="str">
            <v>SAN JUAN DE URABA</v>
          </cell>
          <cell r="F98" t="str">
            <v>05659</v>
          </cell>
          <cell r="G98" t="str">
            <v>05</v>
          </cell>
        </row>
        <row r="99">
          <cell r="E99" t="str">
            <v>SAN LUIS</v>
          </cell>
          <cell r="F99" t="str">
            <v>05660</v>
          </cell>
          <cell r="G99" t="str">
            <v>05</v>
          </cell>
        </row>
        <row r="100">
          <cell r="E100" t="str">
            <v>SAN PEDRO</v>
          </cell>
          <cell r="F100" t="str">
            <v>05664</v>
          </cell>
          <cell r="G100" t="str">
            <v>05</v>
          </cell>
        </row>
        <row r="101">
          <cell r="E101" t="str">
            <v>SAN PEDRO DE URABA</v>
          </cell>
          <cell r="F101" t="str">
            <v>05665</v>
          </cell>
          <cell r="G101" t="str">
            <v>05</v>
          </cell>
        </row>
        <row r="102">
          <cell r="E102" t="str">
            <v>SAN RAFAEL</v>
          </cell>
          <cell r="F102" t="str">
            <v>05667</v>
          </cell>
          <cell r="G102" t="str">
            <v>05</v>
          </cell>
        </row>
        <row r="103">
          <cell r="E103" t="str">
            <v>SAN ROQUE</v>
          </cell>
          <cell r="F103" t="str">
            <v>05670</v>
          </cell>
          <cell r="G103" t="str">
            <v>05</v>
          </cell>
        </row>
        <row r="104">
          <cell r="E104" t="str">
            <v>SAN VICENTE</v>
          </cell>
          <cell r="F104" t="str">
            <v>05674</v>
          </cell>
          <cell r="G104" t="str">
            <v>05</v>
          </cell>
        </row>
        <row r="105">
          <cell r="E105" t="str">
            <v>SANTA BARBARA</v>
          </cell>
          <cell r="F105" t="str">
            <v>05679</v>
          </cell>
          <cell r="G105" t="str">
            <v>05</v>
          </cell>
        </row>
        <row r="106">
          <cell r="E106" t="str">
            <v>SANTA ROSA DE OSOS</v>
          </cell>
          <cell r="F106" t="str">
            <v>05686</v>
          </cell>
          <cell r="G106" t="str">
            <v>05</v>
          </cell>
        </row>
        <row r="107">
          <cell r="E107" t="str">
            <v>SANTO DOMINGO</v>
          </cell>
          <cell r="F107" t="str">
            <v>05690</v>
          </cell>
          <cell r="G107" t="str">
            <v>05</v>
          </cell>
        </row>
        <row r="108">
          <cell r="E108" t="str">
            <v>SANTUARIO</v>
          </cell>
          <cell r="F108" t="str">
            <v>05697</v>
          </cell>
          <cell r="G108" t="str">
            <v>05</v>
          </cell>
        </row>
        <row r="109">
          <cell r="E109" t="str">
            <v>SEGOVIA</v>
          </cell>
          <cell r="F109" t="str">
            <v>05736</v>
          </cell>
          <cell r="G109" t="str">
            <v>05</v>
          </cell>
        </row>
        <row r="110">
          <cell r="E110" t="str">
            <v>SONSON</v>
          </cell>
          <cell r="F110" t="str">
            <v>05756</v>
          </cell>
          <cell r="G110" t="str">
            <v>05</v>
          </cell>
        </row>
        <row r="111">
          <cell r="E111" t="str">
            <v>SOPETRAN</v>
          </cell>
          <cell r="F111" t="str">
            <v>05761</v>
          </cell>
          <cell r="G111" t="str">
            <v>05</v>
          </cell>
        </row>
        <row r="112">
          <cell r="E112" t="str">
            <v>TAMESIS</v>
          </cell>
          <cell r="F112" t="str">
            <v>05789</v>
          </cell>
          <cell r="G112" t="str">
            <v>05</v>
          </cell>
        </row>
        <row r="113">
          <cell r="E113" t="str">
            <v>TARAZA</v>
          </cell>
          <cell r="F113" t="str">
            <v>05790</v>
          </cell>
          <cell r="G113" t="str">
            <v>05</v>
          </cell>
        </row>
        <row r="114">
          <cell r="E114" t="str">
            <v>TARSO</v>
          </cell>
          <cell r="F114" t="str">
            <v>05792</v>
          </cell>
          <cell r="G114" t="str">
            <v>05</v>
          </cell>
        </row>
        <row r="115">
          <cell r="E115" t="str">
            <v>TITIRIBI</v>
          </cell>
          <cell r="F115" t="str">
            <v>05809</v>
          </cell>
          <cell r="G115" t="str">
            <v>05</v>
          </cell>
        </row>
        <row r="116">
          <cell r="E116" t="str">
            <v>TOLEDO</v>
          </cell>
          <cell r="F116" t="str">
            <v>05819</v>
          </cell>
          <cell r="G116" t="str">
            <v>05</v>
          </cell>
        </row>
        <row r="117">
          <cell r="E117" t="str">
            <v>TURBO</v>
          </cell>
          <cell r="F117" t="str">
            <v>05837</v>
          </cell>
          <cell r="G117" t="str">
            <v>05</v>
          </cell>
        </row>
        <row r="118">
          <cell r="E118" t="str">
            <v>URAMITA</v>
          </cell>
          <cell r="F118" t="str">
            <v>05842</v>
          </cell>
          <cell r="G118" t="str">
            <v>05</v>
          </cell>
        </row>
        <row r="119">
          <cell r="E119" t="str">
            <v>URRAO</v>
          </cell>
          <cell r="F119" t="str">
            <v>05847</v>
          </cell>
          <cell r="G119" t="str">
            <v>05</v>
          </cell>
        </row>
        <row r="120">
          <cell r="E120" t="str">
            <v>VALDIVIA</v>
          </cell>
          <cell r="F120" t="str">
            <v>05854</v>
          </cell>
          <cell r="G120" t="str">
            <v>05</v>
          </cell>
        </row>
        <row r="121">
          <cell r="E121" t="str">
            <v>VALPARAISO</v>
          </cell>
          <cell r="F121" t="str">
            <v>05856</v>
          </cell>
          <cell r="G121" t="str">
            <v>05</v>
          </cell>
        </row>
        <row r="122">
          <cell r="E122" t="str">
            <v>VEGACHI</v>
          </cell>
          <cell r="F122" t="str">
            <v>05858</v>
          </cell>
          <cell r="G122" t="str">
            <v>05</v>
          </cell>
        </row>
        <row r="123">
          <cell r="E123" t="str">
            <v>VENECIA</v>
          </cell>
          <cell r="F123" t="str">
            <v>05861</v>
          </cell>
          <cell r="G123" t="str">
            <v>05</v>
          </cell>
        </row>
        <row r="124">
          <cell r="E124" t="str">
            <v>VIGIA DEL FUERTE</v>
          </cell>
          <cell r="F124" t="str">
            <v>05873</v>
          </cell>
          <cell r="G124" t="str">
            <v>05</v>
          </cell>
        </row>
        <row r="125">
          <cell r="E125" t="str">
            <v>YALI</v>
          </cell>
          <cell r="F125" t="str">
            <v>05885</v>
          </cell>
          <cell r="G125" t="str">
            <v>05</v>
          </cell>
        </row>
        <row r="126">
          <cell r="E126" t="str">
            <v>YARUMAL</v>
          </cell>
          <cell r="F126" t="str">
            <v>05887</v>
          </cell>
          <cell r="G126" t="str">
            <v>05</v>
          </cell>
        </row>
        <row r="127">
          <cell r="E127" t="str">
            <v>YOLOMBO</v>
          </cell>
          <cell r="F127" t="str">
            <v>05890</v>
          </cell>
          <cell r="G127" t="str">
            <v>05</v>
          </cell>
        </row>
        <row r="128">
          <cell r="E128" t="str">
            <v>YONDO</v>
          </cell>
          <cell r="F128" t="str">
            <v>05893</v>
          </cell>
          <cell r="G128" t="str">
            <v>05</v>
          </cell>
        </row>
        <row r="129">
          <cell r="E129" t="str">
            <v>ZARAGOZA</v>
          </cell>
          <cell r="F129" t="str">
            <v>05895</v>
          </cell>
          <cell r="G129" t="str">
            <v>05</v>
          </cell>
        </row>
        <row r="130">
          <cell r="E130" t="str">
            <v>BARRANQUILLA</v>
          </cell>
          <cell r="F130" t="str">
            <v>08001</v>
          </cell>
          <cell r="G130" t="str">
            <v>08</v>
          </cell>
        </row>
        <row r="131">
          <cell r="E131" t="str">
            <v>BARANOA</v>
          </cell>
          <cell r="F131" t="str">
            <v>08078</v>
          </cell>
          <cell r="G131" t="str">
            <v>08</v>
          </cell>
        </row>
        <row r="132">
          <cell r="E132" t="str">
            <v>CAMPO DE LA CRUZ</v>
          </cell>
          <cell r="F132" t="str">
            <v>08137</v>
          </cell>
          <cell r="G132" t="str">
            <v>08</v>
          </cell>
        </row>
        <row r="133">
          <cell r="E133" t="str">
            <v>CANDELARIA</v>
          </cell>
          <cell r="F133" t="str">
            <v>08141</v>
          </cell>
          <cell r="G133" t="str">
            <v>08</v>
          </cell>
        </row>
        <row r="134">
          <cell r="E134" t="str">
            <v>GALAPA</v>
          </cell>
          <cell r="F134" t="str">
            <v>08296</v>
          </cell>
          <cell r="G134" t="str">
            <v>08</v>
          </cell>
        </row>
        <row r="135">
          <cell r="E135" t="str">
            <v>JUAN DE ACOSTA</v>
          </cell>
          <cell r="F135" t="str">
            <v>08372</v>
          </cell>
          <cell r="G135" t="str">
            <v>08</v>
          </cell>
        </row>
        <row r="136">
          <cell r="E136" t="str">
            <v>LURUACO</v>
          </cell>
          <cell r="F136" t="str">
            <v>08421</v>
          </cell>
          <cell r="G136" t="str">
            <v>08</v>
          </cell>
        </row>
        <row r="137">
          <cell r="E137" t="str">
            <v>MALAMBO</v>
          </cell>
          <cell r="F137" t="str">
            <v>08433</v>
          </cell>
          <cell r="G137" t="str">
            <v>08</v>
          </cell>
        </row>
        <row r="138">
          <cell r="E138" t="str">
            <v>MANATI</v>
          </cell>
          <cell r="F138" t="str">
            <v>08436</v>
          </cell>
          <cell r="G138" t="str">
            <v>08</v>
          </cell>
        </row>
        <row r="139">
          <cell r="E139" t="str">
            <v>PALMAR DE VARELA</v>
          </cell>
          <cell r="F139" t="str">
            <v>08520</v>
          </cell>
          <cell r="G139" t="str">
            <v>08</v>
          </cell>
        </row>
        <row r="140">
          <cell r="E140" t="str">
            <v>PIOJO</v>
          </cell>
          <cell r="F140" t="str">
            <v>08549</v>
          </cell>
          <cell r="G140" t="str">
            <v>08</v>
          </cell>
        </row>
        <row r="141">
          <cell r="E141" t="str">
            <v>POLO NUEVO</v>
          </cell>
          <cell r="F141" t="str">
            <v>08558</v>
          </cell>
          <cell r="G141" t="str">
            <v>08</v>
          </cell>
        </row>
        <row r="142">
          <cell r="E142" t="str">
            <v>PONEDERA</v>
          </cell>
          <cell r="F142" t="str">
            <v>08560</v>
          </cell>
          <cell r="G142" t="str">
            <v>08</v>
          </cell>
        </row>
        <row r="143">
          <cell r="E143" t="str">
            <v>PUERTO COLOMBIA</v>
          </cell>
          <cell r="F143" t="str">
            <v>08573</v>
          </cell>
          <cell r="G143" t="str">
            <v>08</v>
          </cell>
        </row>
        <row r="144">
          <cell r="E144" t="str">
            <v>REPELON</v>
          </cell>
          <cell r="F144" t="str">
            <v>08606</v>
          </cell>
          <cell r="G144" t="str">
            <v>08</v>
          </cell>
        </row>
        <row r="145">
          <cell r="E145" t="str">
            <v>SABANAGRANDE</v>
          </cell>
          <cell r="F145" t="str">
            <v>08634</v>
          </cell>
          <cell r="G145" t="str">
            <v>08</v>
          </cell>
        </row>
        <row r="146">
          <cell r="E146" t="str">
            <v>SABANALARGA</v>
          </cell>
          <cell r="F146" t="str">
            <v>08638</v>
          </cell>
          <cell r="G146" t="str">
            <v>08</v>
          </cell>
        </row>
        <row r="147">
          <cell r="E147" t="str">
            <v>SANTA LUCIA</v>
          </cell>
          <cell r="F147" t="str">
            <v>08675</v>
          </cell>
          <cell r="G147" t="str">
            <v>08</v>
          </cell>
        </row>
        <row r="148">
          <cell r="E148" t="str">
            <v>SANTO TOMAS</v>
          </cell>
          <cell r="F148" t="str">
            <v>08685</v>
          </cell>
          <cell r="G148" t="str">
            <v>08</v>
          </cell>
        </row>
        <row r="149">
          <cell r="E149" t="str">
            <v>SOLEDAD</v>
          </cell>
          <cell r="F149" t="str">
            <v>08758</v>
          </cell>
          <cell r="G149" t="str">
            <v>08</v>
          </cell>
        </row>
        <row r="150">
          <cell r="E150" t="str">
            <v>SUAN</v>
          </cell>
          <cell r="F150" t="str">
            <v>08770</v>
          </cell>
          <cell r="G150" t="str">
            <v>08</v>
          </cell>
        </row>
        <row r="151">
          <cell r="E151" t="str">
            <v>TUBARA</v>
          </cell>
          <cell r="F151" t="str">
            <v>08832</v>
          </cell>
          <cell r="G151" t="str">
            <v>08</v>
          </cell>
        </row>
        <row r="152">
          <cell r="E152" t="str">
            <v>USIACURI</v>
          </cell>
          <cell r="F152" t="str">
            <v>08849</v>
          </cell>
          <cell r="G152" t="str">
            <v>08</v>
          </cell>
        </row>
        <row r="153">
          <cell r="E153" t="str">
            <v>BOGOTA D.C.</v>
          </cell>
          <cell r="F153" t="str">
            <v>11001</v>
          </cell>
          <cell r="G153" t="str">
            <v>11</v>
          </cell>
        </row>
        <row r="154">
          <cell r="E154" t="str">
            <v>CARTAGENA</v>
          </cell>
          <cell r="F154" t="str">
            <v>13001</v>
          </cell>
          <cell r="G154" t="str">
            <v>13</v>
          </cell>
        </row>
        <row r="155">
          <cell r="E155" t="str">
            <v>ACHI</v>
          </cell>
          <cell r="F155" t="str">
            <v>13006</v>
          </cell>
          <cell r="G155" t="str">
            <v>13</v>
          </cell>
        </row>
        <row r="156">
          <cell r="E156" t="str">
            <v>ALTOS DEL ROSARIO</v>
          </cell>
          <cell r="F156" t="str">
            <v>13030</v>
          </cell>
          <cell r="G156" t="str">
            <v>13</v>
          </cell>
        </row>
        <row r="157">
          <cell r="E157" t="str">
            <v>ARENAL</v>
          </cell>
          <cell r="F157" t="str">
            <v>13042</v>
          </cell>
          <cell r="G157" t="str">
            <v>13</v>
          </cell>
        </row>
        <row r="158">
          <cell r="E158" t="str">
            <v>ARJONA</v>
          </cell>
          <cell r="F158" t="str">
            <v>13052</v>
          </cell>
          <cell r="G158" t="str">
            <v>13</v>
          </cell>
        </row>
        <row r="159">
          <cell r="E159" t="str">
            <v>ARROYOHONDO</v>
          </cell>
          <cell r="F159" t="str">
            <v>13062</v>
          </cell>
          <cell r="G159" t="str">
            <v>13</v>
          </cell>
        </row>
        <row r="160">
          <cell r="E160" t="str">
            <v>BARRANCO DE LOBA</v>
          </cell>
          <cell r="F160" t="str">
            <v>13074</v>
          </cell>
          <cell r="G160" t="str">
            <v>13</v>
          </cell>
        </row>
        <row r="161">
          <cell r="E161" t="str">
            <v>CALAMAR</v>
          </cell>
          <cell r="F161" t="str">
            <v>13140</v>
          </cell>
          <cell r="G161" t="str">
            <v>13</v>
          </cell>
        </row>
        <row r="162">
          <cell r="E162" t="str">
            <v>CANTAGALLO</v>
          </cell>
          <cell r="F162" t="str">
            <v>13160</v>
          </cell>
          <cell r="G162" t="str">
            <v>13</v>
          </cell>
        </row>
        <row r="163">
          <cell r="E163" t="str">
            <v>CICUCO</v>
          </cell>
          <cell r="F163" t="str">
            <v>13188</v>
          </cell>
          <cell r="G163" t="str">
            <v>13</v>
          </cell>
        </row>
        <row r="164">
          <cell r="E164" t="str">
            <v>CORDOBA</v>
          </cell>
          <cell r="F164" t="str">
            <v>13212</v>
          </cell>
          <cell r="G164" t="str">
            <v>13</v>
          </cell>
        </row>
        <row r="165">
          <cell r="E165" t="str">
            <v>CLEMENCIA</v>
          </cell>
          <cell r="F165" t="str">
            <v>13222</v>
          </cell>
          <cell r="G165" t="str">
            <v>13</v>
          </cell>
        </row>
        <row r="166">
          <cell r="E166" t="str">
            <v>EL CARMEN DE BOLIVAR</v>
          </cell>
          <cell r="F166" t="str">
            <v>13244</v>
          </cell>
          <cell r="G166" t="str">
            <v>13</v>
          </cell>
        </row>
        <row r="167">
          <cell r="E167" t="str">
            <v>EL GUAMO</v>
          </cell>
          <cell r="F167" t="str">
            <v>13248</v>
          </cell>
          <cell r="G167" t="str">
            <v>13</v>
          </cell>
        </row>
        <row r="168">
          <cell r="E168" t="str">
            <v>EL PEÑON</v>
          </cell>
          <cell r="F168" t="str">
            <v>13268</v>
          </cell>
          <cell r="G168" t="str">
            <v>13</v>
          </cell>
        </row>
        <row r="169">
          <cell r="E169" t="str">
            <v>HATILLO DE LOBA</v>
          </cell>
          <cell r="F169" t="str">
            <v>13300</v>
          </cell>
          <cell r="G169" t="str">
            <v>13</v>
          </cell>
        </row>
        <row r="170">
          <cell r="E170" t="str">
            <v>MAGANGUE</v>
          </cell>
          <cell r="F170" t="str">
            <v>13430</v>
          </cell>
          <cell r="G170" t="str">
            <v>13</v>
          </cell>
        </row>
        <row r="171">
          <cell r="E171" t="str">
            <v>MAHATES</v>
          </cell>
          <cell r="F171" t="str">
            <v>13433</v>
          </cell>
          <cell r="G171" t="str">
            <v>13</v>
          </cell>
        </row>
        <row r="172">
          <cell r="E172" t="str">
            <v>MARGARITA</v>
          </cell>
          <cell r="F172" t="str">
            <v>13440</v>
          </cell>
          <cell r="G172" t="str">
            <v>13</v>
          </cell>
        </row>
        <row r="173">
          <cell r="E173" t="str">
            <v>MARIA LA BAJA</v>
          </cell>
          <cell r="F173" t="str">
            <v>13442</v>
          </cell>
          <cell r="G173" t="str">
            <v>13</v>
          </cell>
        </row>
        <row r="174">
          <cell r="E174" t="str">
            <v>MONTECRISTO</v>
          </cell>
          <cell r="F174" t="str">
            <v>13458</v>
          </cell>
          <cell r="G174" t="str">
            <v>13</v>
          </cell>
        </row>
        <row r="175">
          <cell r="E175" t="str">
            <v>MOMPOS</v>
          </cell>
          <cell r="F175" t="str">
            <v>13468</v>
          </cell>
          <cell r="G175" t="str">
            <v>13</v>
          </cell>
        </row>
        <row r="176">
          <cell r="E176" t="str">
            <v>MORALES</v>
          </cell>
          <cell r="F176" t="str">
            <v>13473</v>
          </cell>
          <cell r="G176" t="str">
            <v>13</v>
          </cell>
        </row>
        <row r="177">
          <cell r="E177" t="str">
            <v>NOROSI</v>
          </cell>
          <cell r="F177" t="str">
            <v>13490</v>
          </cell>
          <cell r="G177" t="str">
            <v>13</v>
          </cell>
        </row>
        <row r="178">
          <cell r="E178" t="str">
            <v>PINILLOS</v>
          </cell>
          <cell r="F178" t="str">
            <v>13549</v>
          </cell>
          <cell r="G178" t="str">
            <v>13</v>
          </cell>
        </row>
        <row r="179">
          <cell r="E179" t="str">
            <v>REGIDOR</v>
          </cell>
          <cell r="F179" t="str">
            <v>13580</v>
          </cell>
          <cell r="G179" t="str">
            <v>13</v>
          </cell>
        </row>
        <row r="180">
          <cell r="E180" t="str">
            <v>RIO VIEJO</v>
          </cell>
          <cell r="F180" t="str">
            <v>13600</v>
          </cell>
          <cell r="G180" t="str">
            <v>13</v>
          </cell>
        </row>
        <row r="181">
          <cell r="E181" t="str">
            <v>SAN CRISTOBAL</v>
          </cell>
          <cell r="F181" t="str">
            <v>13620</v>
          </cell>
          <cell r="G181" t="str">
            <v>13</v>
          </cell>
        </row>
        <row r="182">
          <cell r="E182" t="str">
            <v>SAN ESTANISLAO</v>
          </cell>
          <cell r="F182" t="str">
            <v>13647</v>
          </cell>
          <cell r="G182" t="str">
            <v>13</v>
          </cell>
        </row>
        <row r="183">
          <cell r="E183" t="str">
            <v>SAN FERNANDO</v>
          </cell>
          <cell r="F183" t="str">
            <v>13650</v>
          </cell>
          <cell r="G183" t="str">
            <v>13</v>
          </cell>
        </row>
        <row r="184">
          <cell r="E184" t="str">
            <v>SAN JACINTO</v>
          </cell>
          <cell r="F184" t="str">
            <v>13654</v>
          </cell>
          <cell r="G184" t="str">
            <v>13</v>
          </cell>
        </row>
        <row r="185">
          <cell r="E185" t="str">
            <v>SAN JACINTO DEL CAUCA</v>
          </cell>
          <cell r="F185" t="str">
            <v>13655</v>
          </cell>
          <cell r="G185" t="str">
            <v>13</v>
          </cell>
        </row>
        <row r="186">
          <cell r="E186" t="str">
            <v>SAN JUAN DE NEPOMUCENO</v>
          </cell>
          <cell r="F186" t="str">
            <v>13657</v>
          </cell>
          <cell r="G186" t="str">
            <v>13</v>
          </cell>
        </row>
        <row r="187">
          <cell r="E187" t="str">
            <v>SAN MARTIN DE LOBA</v>
          </cell>
          <cell r="F187" t="str">
            <v>13667</v>
          </cell>
          <cell r="G187" t="str">
            <v>13</v>
          </cell>
        </row>
        <row r="188">
          <cell r="E188" t="str">
            <v>SAN PABLO</v>
          </cell>
          <cell r="F188" t="str">
            <v>13670</v>
          </cell>
          <cell r="G188" t="str">
            <v>13</v>
          </cell>
        </row>
        <row r="189">
          <cell r="E189" t="str">
            <v>SANTA CATALINA</v>
          </cell>
          <cell r="F189" t="str">
            <v>13673</v>
          </cell>
          <cell r="G189" t="str">
            <v>13</v>
          </cell>
        </row>
        <row r="190">
          <cell r="E190" t="str">
            <v>SANTA ROSA</v>
          </cell>
          <cell r="F190" t="str">
            <v>13683</v>
          </cell>
          <cell r="G190" t="str">
            <v>13</v>
          </cell>
        </row>
        <row r="191">
          <cell r="E191" t="str">
            <v>SANTA ROSA DEL SUR</v>
          </cell>
          <cell r="F191" t="str">
            <v>13688</v>
          </cell>
          <cell r="G191" t="str">
            <v>13</v>
          </cell>
        </row>
        <row r="192">
          <cell r="E192" t="str">
            <v>SIMITI</v>
          </cell>
          <cell r="F192" t="str">
            <v>13744</v>
          </cell>
          <cell r="G192" t="str">
            <v>13</v>
          </cell>
        </row>
        <row r="193">
          <cell r="E193" t="str">
            <v>SOPLAVIENTO</v>
          </cell>
          <cell r="F193" t="str">
            <v>13760</v>
          </cell>
          <cell r="G193" t="str">
            <v>13</v>
          </cell>
        </row>
        <row r="194">
          <cell r="E194" t="str">
            <v>TALAIGUA NUEVO</v>
          </cell>
          <cell r="F194" t="str">
            <v>13780</v>
          </cell>
          <cell r="G194" t="str">
            <v>13</v>
          </cell>
        </row>
        <row r="195">
          <cell r="E195" t="str">
            <v>TIQUISIO</v>
          </cell>
          <cell r="F195" t="str">
            <v>13810</v>
          </cell>
          <cell r="G195" t="str">
            <v>13</v>
          </cell>
        </row>
        <row r="196">
          <cell r="E196" t="str">
            <v>TURBACO</v>
          </cell>
          <cell r="F196" t="str">
            <v>13836</v>
          </cell>
          <cell r="G196" t="str">
            <v>13</v>
          </cell>
        </row>
        <row r="197">
          <cell r="E197" t="str">
            <v>TURBANA</v>
          </cell>
          <cell r="F197" t="str">
            <v>13838</v>
          </cell>
          <cell r="G197" t="str">
            <v>13</v>
          </cell>
        </row>
        <row r="198">
          <cell r="E198" t="str">
            <v>VILLANUEVA</v>
          </cell>
          <cell r="F198" t="str">
            <v>13873</v>
          </cell>
          <cell r="G198" t="str">
            <v>13</v>
          </cell>
        </row>
        <row r="199">
          <cell r="E199" t="str">
            <v>ZAMBRANO</v>
          </cell>
          <cell r="F199" t="str">
            <v>13894</v>
          </cell>
          <cell r="G199" t="str">
            <v>13</v>
          </cell>
        </row>
        <row r="200">
          <cell r="E200" t="str">
            <v>ALMEIDA</v>
          </cell>
          <cell r="F200" t="str">
            <v>15022</v>
          </cell>
          <cell r="G200" t="str">
            <v>15</v>
          </cell>
        </row>
        <row r="201">
          <cell r="E201" t="str">
            <v>AQUITANIA</v>
          </cell>
          <cell r="F201" t="str">
            <v>15047</v>
          </cell>
          <cell r="G201" t="str">
            <v>15</v>
          </cell>
        </row>
        <row r="202">
          <cell r="E202" t="str">
            <v>ARCABUCO</v>
          </cell>
          <cell r="F202" t="str">
            <v>15051</v>
          </cell>
          <cell r="G202" t="str">
            <v>15</v>
          </cell>
        </row>
        <row r="203">
          <cell r="E203" t="str">
            <v>BELEN</v>
          </cell>
          <cell r="F203" t="str">
            <v>15087</v>
          </cell>
          <cell r="G203" t="str">
            <v>15</v>
          </cell>
        </row>
        <row r="204">
          <cell r="E204" t="str">
            <v>BERBEO</v>
          </cell>
          <cell r="F204" t="str">
            <v>15090</v>
          </cell>
          <cell r="G204" t="str">
            <v>15</v>
          </cell>
        </row>
        <row r="205">
          <cell r="E205" t="str">
            <v>BETEITIVA</v>
          </cell>
          <cell r="F205" t="str">
            <v>15092</v>
          </cell>
          <cell r="G205" t="str">
            <v>15</v>
          </cell>
        </row>
        <row r="206">
          <cell r="E206" t="str">
            <v>BOAVITA</v>
          </cell>
          <cell r="F206" t="str">
            <v>15097</v>
          </cell>
          <cell r="G206" t="str">
            <v>15</v>
          </cell>
        </row>
        <row r="207">
          <cell r="E207" t="str">
            <v>BOYACA</v>
          </cell>
          <cell r="F207" t="str">
            <v>15104</v>
          </cell>
          <cell r="G207" t="str">
            <v>15</v>
          </cell>
        </row>
        <row r="208">
          <cell r="E208" t="str">
            <v>BRICEÑO</v>
          </cell>
          <cell r="F208" t="str">
            <v>15106</v>
          </cell>
          <cell r="G208" t="str">
            <v>15</v>
          </cell>
        </row>
        <row r="209">
          <cell r="E209" t="str">
            <v>BUENAVISTA</v>
          </cell>
          <cell r="F209" t="str">
            <v>15109</v>
          </cell>
          <cell r="G209" t="str">
            <v>15</v>
          </cell>
        </row>
        <row r="210">
          <cell r="E210" t="str">
            <v>BUSBANZA</v>
          </cell>
          <cell r="F210" t="str">
            <v>15114</v>
          </cell>
          <cell r="G210" t="str">
            <v>15</v>
          </cell>
        </row>
        <row r="211">
          <cell r="E211" t="str">
            <v>CALDAS</v>
          </cell>
          <cell r="F211" t="str">
            <v>15131</v>
          </cell>
          <cell r="G211" t="str">
            <v>15</v>
          </cell>
        </row>
        <row r="212">
          <cell r="E212" t="str">
            <v>CAMPOHERMOSO</v>
          </cell>
          <cell r="F212" t="str">
            <v>15135</v>
          </cell>
          <cell r="G212" t="str">
            <v>15</v>
          </cell>
        </row>
        <row r="213">
          <cell r="E213" t="str">
            <v>CERINZA</v>
          </cell>
          <cell r="F213" t="str">
            <v>15162</v>
          </cell>
          <cell r="G213" t="str">
            <v>15</v>
          </cell>
        </row>
        <row r="214">
          <cell r="E214" t="str">
            <v>CHINAVITA</v>
          </cell>
          <cell r="F214" t="str">
            <v>15172</v>
          </cell>
          <cell r="G214" t="str">
            <v>15</v>
          </cell>
        </row>
        <row r="215">
          <cell r="E215" t="str">
            <v>CHIQUINQUIRA</v>
          </cell>
          <cell r="F215" t="str">
            <v>15176</v>
          </cell>
          <cell r="G215" t="str">
            <v>15</v>
          </cell>
        </row>
        <row r="216">
          <cell r="E216" t="str">
            <v>CHIQUIZA</v>
          </cell>
          <cell r="F216" t="str">
            <v>15232</v>
          </cell>
          <cell r="G216" t="str">
            <v>15</v>
          </cell>
        </row>
        <row r="217">
          <cell r="E217" t="str">
            <v>CHISCAS</v>
          </cell>
          <cell r="F217" t="str">
            <v>15180</v>
          </cell>
          <cell r="G217" t="str">
            <v>15</v>
          </cell>
        </row>
        <row r="218">
          <cell r="E218" t="str">
            <v>CHITA</v>
          </cell>
          <cell r="F218" t="str">
            <v>15183</v>
          </cell>
          <cell r="G218" t="str">
            <v>15</v>
          </cell>
        </row>
        <row r="219">
          <cell r="E219" t="str">
            <v>CHITARAQUE</v>
          </cell>
          <cell r="F219" t="str">
            <v>15185</v>
          </cell>
          <cell r="G219" t="str">
            <v>15</v>
          </cell>
        </row>
        <row r="220">
          <cell r="E220" t="str">
            <v>CHIVATA</v>
          </cell>
          <cell r="F220" t="str">
            <v>15187</v>
          </cell>
          <cell r="G220" t="str">
            <v>15</v>
          </cell>
        </row>
        <row r="221">
          <cell r="E221" t="str">
            <v>CHIVOR</v>
          </cell>
          <cell r="F221" t="str">
            <v>15236</v>
          </cell>
          <cell r="G221" t="str">
            <v>15</v>
          </cell>
        </row>
        <row r="222">
          <cell r="E222" t="str">
            <v>CIENEGA</v>
          </cell>
          <cell r="F222" t="str">
            <v>15189</v>
          </cell>
          <cell r="G222" t="str">
            <v>15</v>
          </cell>
        </row>
        <row r="223">
          <cell r="E223" t="str">
            <v>COMBITA</v>
          </cell>
          <cell r="F223" t="str">
            <v>15204</v>
          </cell>
          <cell r="G223" t="str">
            <v>15</v>
          </cell>
        </row>
        <row r="224">
          <cell r="E224" t="str">
            <v>COPER</v>
          </cell>
          <cell r="F224" t="str">
            <v>15212</v>
          </cell>
          <cell r="G224" t="str">
            <v>15</v>
          </cell>
        </row>
        <row r="225">
          <cell r="E225" t="str">
            <v>CORRALES</v>
          </cell>
          <cell r="F225" t="str">
            <v>15215</v>
          </cell>
          <cell r="G225" t="str">
            <v>15</v>
          </cell>
        </row>
        <row r="226">
          <cell r="E226" t="str">
            <v>COVARACHIA</v>
          </cell>
          <cell r="F226" t="str">
            <v>15218</v>
          </cell>
          <cell r="G226" t="str">
            <v>15</v>
          </cell>
        </row>
        <row r="227">
          <cell r="E227" t="str">
            <v>CUBARA</v>
          </cell>
          <cell r="F227" t="str">
            <v>15223</v>
          </cell>
          <cell r="G227" t="str">
            <v>15</v>
          </cell>
        </row>
        <row r="228">
          <cell r="E228" t="str">
            <v>CUCAITA</v>
          </cell>
          <cell r="F228" t="str">
            <v>15224</v>
          </cell>
          <cell r="G228" t="str">
            <v>15</v>
          </cell>
        </row>
        <row r="229">
          <cell r="E229" t="str">
            <v>CUITIVA</v>
          </cell>
          <cell r="F229" t="str">
            <v>15226</v>
          </cell>
          <cell r="G229" t="str">
            <v>15</v>
          </cell>
        </row>
        <row r="230">
          <cell r="E230" t="str">
            <v>DUITAMA</v>
          </cell>
          <cell r="F230" t="str">
            <v>15238</v>
          </cell>
          <cell r="G230" t="str">
            <v>15</v>
          </cell>
        </row>
        <row r="231">
          <cell r="E231" t="str">
            <v>EL COCUY</v>
          </cell>
          <cell r="F231" t="str">
            <v>15244</v>
          </cell>
          <cell r="G231" t="str">
            <v>15</v>
          </cell>
        </row>
        <row r="232">
          <cell r="E232" t="str">
            <v>EL ESPINO</v>
          </cell>
          <cell r="F232" t="str">
            <v>15248</v>
          </cell>
          <cell r="G232" t="str">
            <v>15</v>
          </cell>
        </row>
        <row r="233">
          <cell r="E233" t="str">
            <v>FIRAVITOBA</v>
          </cell>
          <cell r="F233" t="str">
            <v>15272</v>
          </cell>
          <cell r="G233" t="str">
            <v>15</v>
          </cell>
        </row>
        <row r="234">
          <cell r="E234" t="str">
            <v>FLORESTA</v>
          </cell>
          <cell r="F234" t="str">
            <v>15276</v>
          </cell>
          <cell r="G234" t="str">
            <v>15</v>
          </cell>
        </row>
        <row r="235">
          <cell r="E235" t="str">
            <v>GACHANTIVA</v>
          </cell>
          <cell r="F235" t="str">
            <v>15293</v>
          </cell>
          <cell r="G235" t="str">
            <v>15</v>
          </cell>
        </row>
        <row r="236">
          <cell r="E236" t="str">
            <v>GAMEZA</v>
          </cell>
          <cell r="F236" t="str">
            <v>15296</v>
          </cell>
          <cell r="G236" t="str">
            <v>15</v>
          </cell>
        </row>
        <row r="237">
          <cell r="E237" t="str">
            <v>GARAGOA</v>
          </cell>
          <cell r="F237" t="str">
            <v>15299</v>
          </cell>
          <cell r="G237" t="str">
            <v>15</v>
          </cell>
        </row>
        <row r="238">
          <cell r="E238" t="str">
            <v>GUACAMAYAS</v>
          </cell>
          <cell r="F238" t="str">
            <v>15317</v>
          </cell>
          <cell r="G238" t="str">
            <v>15</v>
          </cell>
        </row>
        <row r="239">
          <cell r="E239" t="str">
            <v>GUATEQUE</v>
          </cell>
          <cell r="F239" t="str">
            <v>15322</v>
          </cell>
          <cell r="G239" t="str">
            <v>15</v>
          </cell>
        </row>
        <row r="240">
          <cell r="E240" t="str">
            <v>GUAYATA</v>
          </cell>
          <cell r="F240" t="str">
            <v>15325</v>
          </cell>
          <cell r="G240" t="str">
            <v>15</v>
          </cell>
        </row>
        <row r="241">
          <cell r="E241" t="str">
            <v>GUICAN</v>
          </cell>
          <cell r="F241" t="str">
            <v>15332</v>
          </cell>
          <cell r="G241" t="str">
            <v>15</v>
          </cell>
        </row>
        <row r="242">
          <cell r="E242" t="str">
            <v>IZA</v>
          </cell>
          <cell r="F242" t="str">
            <v>15362</v>
          </cell>
          <cell r="G242" t="str">
            <v>15</v>
          </cell>
        </row>
        <row r="243">
          <cell r="E243" t="str">
            <v>JENESANO</v>
          </cell>
          <cell r="F243" t="str">
            <v>15367</v>
          </cell>
          <cell r="G243" t="str">
            <v>15</v>
          </cell>
        </row>
        <row r="244">
          <cell r="E244" t="str">
            <v>JERICO</v>
          </cell>
          <cell r="F244" t="str">
            <v>15368</v>
          </cell>
          <cell r="G244" t="str">
            <v>15</v>
          </cell>
        </row>
        <row r="245">
          <cell r="E245" t="str">
            <v>LA CAPILLA</v>
          </cell>
          <cell r="F245" t="str">
            <v>15380</v>
          </cell>
          <cell r="G245" t="str">
            <v>15</v>
          </cell>
        </row>
        <row r="246">
          <cell r="E246" t="str">
            <v>LA UVITA</v>
          </cell>
          <cell r="F246" t="str">
            <v>15403</v>
          </cell>
          <cell r="G246" t="str">
            <v>15</v>
          </cell>
        </row>
        <row r="247">
          <cell r="E247" t="str">
            <v>LA VICTORIA</v>
          </cell>
          <cell r="F247" t="str">
            <v>15401</v>
          </cell>
          <cell r="G247" t="str">
            <v>15</v>
          </cell>
        </row>
        <row r="248">
          <cell r="E248" t="str">
            <v>LABRANZAGRANDE</v>
          </cell>
          <cell r="F248" t="str">
            <v>15377</v>
          </cell>
          <cell r="G248" t="str">
            <v>15</v>
          </cell>
        </row>
        <row r="249">
          <cell r="E249" t="str">
            <v>MACANAL</v>
          </cell>
          <cell r="F249" t="str">
            <v>15425</v>
          </cell>
          <cell r="G249" t="str">
            <v>15</v>
          </cell>
        </row>
        <row r="250">
          <cell r="E250" t="str">
            <v>MARIPI</v>
          </cell>
          <cell r="F250" t="str">
            <v>15442</v>
          </cell>
          <cell r="G250" t="str">
            <v>15</v>
          </cell>
        </row>
        <row r="251">
          <cell r="E251" t="str">
            <v>MIRAFLORES</v>
          </cell>
          <cell r="F251" t="str">
            <v>15455</v>
          </cell>
          <cell r="G251" t="str">
            <v>15</v>
          </cell>
        </row>
        <row r="252">
          <cell r="E252" t="str">
            <v>MONGUA</v>
          </cell>
          <cell r="F252" t="str">
            <v>15464</v>
          </cell>
          <cell r="G252" t="str">
            <v>15</v>
          </cell>
        </row>
        <row r="253">
          <cell r="E253" t="str">
            <v>MONGUI</v>
          </cell>
          <cell r="F253" t="str">
            <v>15466</v>
          </cell>
          <cell r="G253" t="str">
            <v>15</v>
          </cell>
        </row>
        <row r="254">
          <cell r="E254" t="str">
            <v>MONIQUIRA</v>
          </cell>
          <cell r="F254" t="str">
            <v>15469</v>
          </cell>
          <cell r="G254" t="str">
            <v>15</v>
          </cell>
        </row>
        <row r="255">
          <cell r="E255" t="str">
            <v>MOTAVITA</v>
          </cell>
          <cell r="F255" t="str">
            <v>15476</v>
          </cell>
          <cell r="G255" t="str">
            <v>15</v>
          </cell>
        </row>
        <row r="256">
          <cell r="E256" t="str">
            <v>MUZO</v>
          </cell>
          <cell r="F256" t="str">
            <v>15480</v>
          </cell>
          <cell r="G256" t="str">
            <v>15</v>
          </cell>
        </row>
        <row r="257">
          <cell r="E257" t="str">
            <v>NOBSA</v>
          </cell>
          <cell r="F257" t="str">
            <v>15491</v>
          </cell>
          <cell r="G257" t="str">
            <v>15</v>
          </cell>
        </row>
        <row r="258">
          <cell r="E258" t="str">
            <v>NUEVO COLON</v>
          </cell>
          <cell r="F258" t="str">
            <v>15494</v>
          </cell>
          <cell r="G258" t="str">
            <v>15</v>
          </cell>
        </row>
        <row r="259">
          <cell r="E259" t="str">
            <v>OICATA</v>
          </cell>
          <cell r="F259" t="str">
            <v>15500</v>
          </cell>
          <cell r="G259" t="str">
            <v>15</v>
          </cell>
        </row>
        <row r="260">
          <cell r="E260" t="str">
            <v>OTANCHE</v>
          </cell>
          <cell r="F260" t="str">
            <v>15507</v>
          </cell>
          <cell r="G260" t="str">
            <v>15</v>
          </cell>
        </row>
        <row r="261">
          <cell r="E261" t="str">
            <v>PACHAVITA</v>
          </cell>
          <cell r="F261" t="str">
            <v>15511</v>
          </cell>
          <cell r="G261" t="str">
            <v>15</v>
          </cell>
        </row>
        <row r="262">
          <cell r="E262" t="str">
            <v>PAEZ</v>
          </cell>
          <cell r="F262" t="str">
            <v>15514</v>
          </cell>
          <cell r="G262" t="str">
            <v>15</v>
          </cell>
        </row>
        <row r="263">
          <cell r="E263" t="str">
            <v>PAIPA</v>
          </cell>
          <cell r="F263" t="str">
            <v>15516</v>
          </cell>
          <cell r="G263" t="str">
            <v>15</v>
          </cell>
        </row>
        <row r="264">
          <cell r="E264" t="str">
            <v>PAJARITO</v>
          </cell>
          <cell r="F264" t="str">
            <v>15518</v>
          </cell>
          <cell r="G264" t="str">
            <v>15</v>
          </cell>
        </row>
        <row r="265">
          <cell r="E265" t="str">
            <v>PANQUEBA</v>
          </cell>
          <cell r="F265" t="str">
            <v>15522</v>
          </cell>
          <cell r="G265" t="str">
            <v>15</v>
          </cell>
        </row>
        <row r="266">
          <cell r="E266" t="str">
            <v>PAUNA</v>
          </cell>
          <cell r="F266" t="str">
            <v>15531</v>
          </cell>
          <cell r="G266" t="str">
            <v>15</v>
          </cell>
        </row>
        <row r="267">
          <cell r="E267" t="str">
            <v>PAYA</v>
          </cell>
          <cell r="F267" t="str">
            <v>15533</v>
          </cell>
          <cell r="G267" t="str">
            <v>15</v>
          </cell>
        </row>
        <row r="268">
          <cell r="E268" t="str">
            <v>PAZ DE RIO</v>
          </cell>
          <cell r="F268" t="str">
            <v>15537</v>
          </cell>
          <cell r="G268" t="str">
            <v>15</v>
          </cell>
        </row>
        <row r="269">
          <cell r="E269" t="str">
            <v>PESCA</v>
          </cell>
          <cell r="F269" t="str">
            <v>15542</v>
          </cell>
          <cell r="G269" t="str">
            <v>15</v>
          </cell>
        </row>
        <row r="270">
          <cell r="E270" t="str">
            <v>PISBA</v>
          </cell>
          <cell r="F270" t="str">
            <v>15550</v>
          </cell>
          <cell r="G270" t="str">
            <v>15</v>
          </cell>
        </row>
        <row r="271">
          <cell r="E271" t="str">
            <v>PUERTO BOYACA</v>
          </cell>
          <cell r="F271" t="str">
            <v>15572</v>
          </cell>
          <cell r="G271" t="str">
            <v>15</v>
          </cell>
        </row>
        <row r="272">
          <cell r="E272" t="str">
            <v>QUIPAMA</v>
          </cell>
          <cell r="F272" t="str">
            <v>15580</v>
          </cell>
          <cell r="G272" t="str">
            <v>15</v>
          </cell>
        </row>
        <row r="273">
          <cell r="E273" t="str">
            <v>RAMIRIQUI</v>
          </cell>
          <cell r="F273" t="str">
            <v>15599</v>
          </cell>
          <cell r="G273" t="str">
            <v>15</v>
          </cell>
        </row>
        <row r="274">
          <cell r="E274" t="str">
            <v>RAQUIRA</v>
          </cell>
          <cell r="F274" t="str">
            <v>15600</v>
          </cell>
          <cell r="G274" t="str">
            <v>15</v>
          </cell>
        </row>
        <row r="275">
          <cell r="E275" t="str">
            <v>RONDON</v>
          </cell>
          <cell r="F275" t="str">
            <v>15621</v>
          </cell>
          <cell r="G275" t="str">
            <v>15</v>
          </cell>
        </row>
        <row r="276">
          <cell r="E276" t="str">
            <v>SABOYA</v>
          </cell>
          <cell r="F276" t="str">
            <v>15632</v>
          </cell>
          <cell r="G276" t="str">
            <v>15</v>
          </cell>
        </row>
        <row r="277">
          <cell r="E277" t="str">
            <v>SACHICA</v>
          </cell>
          <cell r="F277" t="str">
            <v>15638</v>
          </cell>
          <cell r="G277" t="str">
            <v>15</v>
          </cell>
        </row>
        <row r="278">
          <cell r="E278" t="str">
            <v>SAMACA</v>
          </cell>
          <cell r="F278" t="str">
            <v>15646</v>
          </cell>
          <cell r="G278" t="str">
            <v>15</v>
          </cell>
        </row>
        <row r="279">
          <cell r="E279" t="str">
            <v>SAN EDUARDO</v>
          </cell>
          <cell r="F279" t="str">
            <v>15660</v>
          </cell>
          <cell r="G279" t="str">
            <v>15</v>
          </cell>
        </row>
        <row r="280">
          <cell r="E280" t="str">
            <v>SAN JOSE DE PARE</v>
          </cell>
          <cell r="F280" t="str">
            <v>15664</v>
          </cell>
          <cell r="G280" t="str">
            <v>15</v>
          </cell>
        </row>
        <row r="281">
          <cell r="E281" t="str">
            <v>SAN LUIS DE GACENO</v>
          </cell>
          <cell r="F281" t="str">
            <v>15667</v>
          </cell>
          <cell r="G281" t="str">
            <v>15</v>
          </cell>
        </row>
        <row r="282">
          <cell r="E282" t="str">
            <v>SAN MATEO</v>
          </cell>
          <cell r="F282" t="str">
            <v>15673</v>
          </cell>
          <cell r="G282" t="str">
            <v>15</v>
          </cell>
        </row>
        <row r="283">
          <cell r="E283" t="str">
            <v>SAN MIGUEL DE SEMA</v>
          </cell>
          <cell r="F283" t="str">
            <v>15676</v>
          </cell>
          <cell r="G283" t="str">
            <v>15</v>
          </cell>
        </row>
        <row r="284">
          <cell r="E284" t="str">
            <v>SAN PABLO BORBUR</v>
          </cell>
          <cell r="F284" t="str">
            <v>15681</v>
          </cell>
          <cell r="G284" t="str">
            <v>15</v>
          </cell>
        </row>
        <row r="285">
          <cell r="E285" t="str">
            <v>SANTA MARIA</v>
          </cell>
          <cell r="F285" t="str">
            <v>15690</v>
          </cell>
          <cell r="G285" t="str">
            <v>15</v>
          </cell>
        </row>
        <row r="286">
          <cell r="E286" t="str">
            <v>SANTA ROSA DE VITERBO</v>
          </cell>
          <cell r="F286" t="str">
            <v>15693</v>
          </cell>
          <cell r="G286" t="str">
            <v>15</v>
          </cell>
        </row>
        <row r="287">
          <cell r="E287" t="str">
            <v>SANTA SOFIA</v>
          </cell>
          <cell r="F287" t="str">
            <v>15696</v>
          </cell>
          <cell r="G287" t="str">
            <v>15</v>
          </cell>
        </row>
        <row r="288">
          <cell r="E288" t="str">
            <v>SANTANA</v>
          </cell>
          <cell r="F288" t="str">
            <v>15686</v>
          </cell>
          <cell r="G288" t="str">
            <v>15</v>
          </cell>
        </row>
        <row r="289">
          <cell r="E289" t="str">
            <v>SATIVANORTE</v>
          </cell>
          <cell r="F289" t="str">
            <v>15720</v>
          </cell>
          <cell r="G289" t="str">
            <v>15</v>
          </cell>
        </row>
        <row r="290">
          <cell r="E290" t="str">
            <v>SATIVASUR</v>
          </cell>
          <cell r="F290" t="str">
            <v>15723</v>
          </cell>
          <cell r="G290" t="str">
            <v>15</v>
          </cell>
        </row>
        <row r="291">
          <cell r="E291" t="str">
            <v>SIACHOQUE</v>
          </cell>
          <cell r="F291" t="str">
            <v>15740</v>
          </cell>
          <cell r="G291" t="str">
            <v>15</v>
          </cell>
        </row>
        <row r="292">
          <cell r="E292" t="str">
            <v>SOATA</v>
          </cell>
          <cell r="F292" t="str">
            <v>15753</v>
          </cell>
          <cell r="G292" t="str">
            <v>15</v>
          </cell>
        </row>
        <row r="293">
          <cell r="E293" t="str">
            <v>SOCHA</v>
          </cell>
          <cell r="F293" t="str">
            <v>15757</v>
          </cell>
          <cell r="G293" t="str">
            <v>15</v>
          </cell>
        </row>
        <row r="294">
          <cell r="E294" t="str">
            <v>SOCOTA</v>
          </cell>
          <cell r="F294" t="str">
            <v>15755</v>
          </cell>
          <cell r="G294" t="str">
            <v>15</v>
          </cell>
        </row>
        <row r="295">
          <cell r="E295" t="str">
            <v>SOGAMOSO</v>
          </cell>
          <cell r="F295" t="str">
            <v>15759</v>
          </cell>
          <cell r="G295" t="str">
            <v>15</v>
          </cell>
        </row>
        <row r="296">
          <cell r="E296" t="str">
            <v>SOMONDOCO</v>
          </cell>
          <cell r="F296" t="str">
            <v>15761</v>
          </cell>
          <cell r="G296" t="str">
            <v>15</v>
          </cell>
        </row>
        <row r="297">
          <cell r="E297" t="str">
            <v>SORA</v>
          </cell>
          <cell r="F297" t="str">
            <v>15762</v>
          </cell>
          <cell r="G297" t="str">
            <v>15</v>
          </cell>
        </row>
        <row r="298">
          <cell r="E298" t="str">
            <v>SORACA</v>
          </cell>
          <cell r="F298" t="str">
            <v>15764</v>
          </cell>
          <cell r="G298" t="str">
            <v>15</v>
          </cell>
        </row>
        <row r="299">
          <cell r="E299" t="str">
            <v>SOTAQUIRA</v>
          </cell>
          <cell r="F299" t="str">
            <v>15763</v>
          </cell>
          <cell r="G299" t="str">
            <v>15</v>
          </cell>
        </row>
        <row r="300">
          <cell r="E300" t="str">
            <v>SUSACON</v>
          </cell>
          <cell r="F300" t="str">
            <v>15774</v>
          </cell>
          <cell r="G300" t="str">
            <v>15</v>
          </cell>
        </row>
        <row r="301">
          <cell r="E301" t="str">
            <v>SUTAMARCHAN</v>
          </cell>
          <cell r="F301" t="str">
            <v>15776</v>
          </cell>
          <cell r="G301" t="str">
            <v>15</v>
          </cell>
        </row>
        <row r="302">
          <cell r="E302" t="str">
            <v>SUTATENZA</v>
          </cell>
          <cell r="F302" t="str">
            <v>15778</v>
          </cell>
          <cell r="G302" t="str">
            <v>15</v>
          </cell>
        </row>
        <row r="303">
          <cell r="E303" t="str">
            <v>TASCO</v>
          </cell>
          <cell r="F303" t="str">
            <v>15790</v>
          </cell>
          <cell r="G303" t="str">
            <v>15</v>
          </cell>
        </row>
        <row r="304">
          <cell r="E304" t="str">
            <v>TENZA</v>
          </cell>
          <cell r="F304" t="str">
            <v>15798</v>
          </cell>
          <cell r="G304" t="str">
            <v>15</v>
          </cell>
        </row>
        <row r="305">
          <cell r="E305" t="str">
            <v>TIBANA</v>
          </cell>
          <cell r="F305" t="str">
            <v>15804</v>
          </cell>
          <cell r="G305" t="str">
            <v>15</v>
          </cell>
        </row>
        <row r="306">
          <cell r="E306" t="str">
            <v>TIBASOSA</v>
          </cell>
          <cell r="F306" t="str">
            <v>15806</v>
          </cell>
          <cell r="G306" t="str">
            <v>15</v>
          </cell>
        </row>
        <row r="307">
          <cell r="E307" t="str">
            <v>TINJACA</v>
          </cell>
          <cell r="F307" t="str">
            <v>15808</v>
          </cell>
          <cell r="G307" t="str">
            <v>15</v>
          </cell>
        </row>
        <row r="308">
          <cell r="E308" t="str">
            <v>TIPACOQUE</v>
          </cell>
          <cell r="F308" t="str">
            <v>15810</v>
          </cell>
          <cell r="G308" t="str">
            <v>15</v>
          </cell>
        </row>
        <row r="309">
          <cell r="E309" t="str">
            <v>TOCA</v>
          </cell>
          <cell r="F309" t="str">
            <v>15814</v>
          </cell>
          <cell r="G309" t="str">
            <v>15</v>
          </cell>
        </row>
        <row r="310">
          <cell r="E310" t="str">
            <v>TOGUI</v>
          </cell>
          <cell r="F310" t="str">
            <v>15816</v>
          </cell>
          <cell r="G310" t="str">
            <v>15</v>
          </cell>
        </row>
        <row r="311">
          <cell r="E311" t="str">
            <v>TOPAGA</v>
          </cell>
          <cell r="F311" t="str">
            <v>15820</v>
          </cell>
          <cell r="G311" t="str">
            <v>15</v>
          </cell>
        </row>
        <row r="312">
          <cell r="E312" t="str">
            <v>TOTA</v>
          </cell>
          <cell r="F312" t="str">
            <v>15822</v>
          </cell>
          <cell r="G312" t="str">
            <v>15</v>
          </cell>
        </row>
        <row r="313">
          <cell r="E313" t="str">
            <v>TUNJA</v>
          </cell>
          <cell r="F313" t="str">
            <v>15001</v>
          </cell>
          <cell r="G313" t="str">
            <v>15</v>
          </cell>
        </row>
        <row r="314">
          <cell r="E314" t="str">
            <v>TUNUNGUA</v>
          </cell>
          <cell r="F314" t="str">
            <v>15832</v>
          </cell>
          <cell r="G314" t="str">
            <v>15</v>
          </cell>
        </row>
        <row r="315">
          <cell r="E315" t="str">
            <v>TURMEQUE</v>
          </cell>
          <cell r="F315" t="str">
            <v>15835</v>
          </cell>
          <cell r="G315" t="str">
            <v>15</v>
          </cell>
        </row>
        <row r="316">
          <cell r="E316" t="str">
            <v>TUTA</v>
          </cell>
          <cell r="F316" t="str">
            <v>15837</v>
          </cell>
          <cell r="G316" t="str">
            <v>15</v>
          </cell>
        </row>
        <row r="317">
          <cell r="E317" t="str">
            <v>TUTASA</v>
          </cell>
          <cell r="F317" t="str">
            <v>15839</v>
          </cell>
          <cell r="G317" t="str">
            <v>15</v>
          </cell>
        </row>
        <row r="318">
          <cell r="E318" t="str">
            <v>UMBITA</v>
          </cell>
          <cell r="F318" t="str">
            <v>15842</v>
          </cell>
          <cell r="G318" t="str">
            <v>15</v>
          </cell>
        </row>
        <row r="319">
          <cell r="E319" t="str">
            <v>VENTAQUEMADA</v>
          </cell>
          <cell r="F319" t="str">
            <v>15861</v>
          </cell>
          <cell r="G319" t="str">
            <v>15</v>
          </cell>
        </row>
        <row r="320">
          <cell r="E320" t="str">
            <v>VILLA DE LEYVA</v>
          </cell>
          <cell r="F320" t="str">
            <v>15407</v>
          </cell>
          <cell r="G320" t="str">
            <v>15</v>
          </cell>
        </row>
        <row r="321">
          <cell r="E321" t="str">
            <v>VIRACACHA</v>
          </cell>
          <cell r="F321" t="str">
            <v>15879</v>
          </cell>
          <cell r="G321" t="str">
            <v>15</v>
          </cell>
        </row>
        <row r="322">
          <cell r="E322" t="str">
            <v>ZETAQUIRA</v>
          </cell>
          <cell r="F322" t="str">
            <v>15897</v>
          </cell>
          <cell r="G322" t="str">
            <v>15</v>
          </cell>
        </row>
        <row r="323">
          <cell r="E323" t="str">
            <v>MANIZALES</v>
          </cell>
          <cell r="F323" t="str">
            <v>17001</v>
          </cell>
          <cell r="G323" t="str">
            <v>17</v>
          </cell>
        </row>
        <row r="324">
          <cell r="E324" t="str">
            <v>AGUADAS</v>
          </cell>
          <cell r="F324" t="str">
            <v>17013</v>
          </cell>
          <cell r="G324" t="str">
            <v>17</v>
          </cell>
        </row>
        <row r="325">
          <cell r="E325" t="str">
            <v>ANSERMA</v>
          </cell>
          <cell r="F325" t="str">
            <v>17042</v>
          </cell>
          <cell r="G325" t="str">
            <v>17</v>
          </cell>
        </row>
        <row r="326">
          <cell r="E326" t="str">
            <v>ARANZAZU</v>
          </cell>
          <cell r="F326" t="str">
            <v>17050</v>
          </cell>
          <cell r="G326" t="str">
            <v>17</v>
          </cell>
        </row>
        <row r="327">
          <cell r="E327" t="str">
            <v>BELALCAZAR</v>
          </cell>
          <cell r="F327" t="str">
            <v>17088</v>
          </cell>
          <cell r="G327" t="str">
            <v>17</v>
          </cell>
        </row>
        <row r="328">
          <cell r="E328" t="str">
            <v>CHINCHINA</v>
          </cell>
          <cell r="F328" t="str">
            <v>17174</v>
          </cell>
          <cell r="G328" t="str">
            <v>17</v>
          </cell>
        </row>
        <row r="329">
          <cell r="E329" t="str">
            <v>FILADELFIA</v>
          </cell>
          <cell r="F329" t="str">
            <v>17272</v>
          </cell>
          <cell r="G329" t="str">
            <v>17</v>
          </cell>
        </row>
        <row r="330">
          <cell r="E330" t="str">
            <v>LA DORADA</v>
          </cell>
          <cell r="F330" t="str">
            <v>17380</v>
          </cell>
          <cell r="G330" t="str">
            <v>17</v>
          </cell>
        </row>
        <row r="331">
          <cell r="E331" t="str">
            <v>LA MERCED</v>
          </cell>
          <cell r="F331" t="str">
            <v>17388</v>
          </cell>
          <cell r="G331" t="str">
            <v>17</v>
          </cell>
        </row>
        <row r="332">
          <cell r="E332" t="str">
            <v>MANZANARES</v>
          </cell>
          <cell r="F332" t="str">
            <v>17433</v>
          </cell>
          <cell r="G332" t="str">
            <v>17</v>
          </cell>
        </row>
        <row r="333">
          <cell r="E333" t="str">
            <v>MARMATO</v>
          </cell>
          <cell r="F333" t="str">
            <v>17442</v>
          </cell>
          <cell r="G333" t="str">
            <v>17</v>
          </cell>
        </row>
        <row r="334">
          <cell r="E334" t="str">
            <v>MARQUETALIA</v>
          </cell>
          <cell r="F334" t="str">
            <v>17444</v>
          </cell>
          <cell r="G334" t="str">
            <v>17</v>
          </cell>
        </row>
        <row r="335">
          <cell r="E335" t="str">
            <v>MARULANDA</v>
          </cell>
          <cell r="F335" t="str">
            <v>17446</v>
          </cell>
          <cell r="G335" t="str">
            <v>17</v>
          </cell>
        </row>
        <row r="336">
          <cell r="E336" t="str">
            <v>NEIRA</v>
          </cell>
          <cell r="F336" t="str">
            <v>17486</v>
          </cell>
          <cell r="G336" t="str">
            <v>17</v>
          </cell>
        </row>
        <row r="337">
          <cell r="E337" t="str">
            <v>NORCASIA</v>
          </cell>
          <cell r="F337" t="str">
            <v>17495</v>
          </cell>
          <cell r="G337" t="str">
            <v>17</v>
          </cell>
        </row>
        <row r="338">
          <cell r="E338" t="str">
            <v>PACORA</v>
          </cell>
          <cell r="F338" t="str">
            <v>17513</v>
          </cell>
          <cell r="G338" t="str">
            <v>17</v>
          </cell>
        </row>
        <row r="339">
          <cell r="E339" t="str">
            <v>PALESTINA</v>
          </cell>
          <cell r="F339" t="str">
            <v>17524</v>
          </cell>
          <cell r="G339" t="str">
            <v>17</v>
          </cell>
        </row>
        <row r="340">
          <cell r="E340" t="str">
            <v>PENSILVANIA</v>
          </cell>
          <cell r="F340" t="str">
            <v>17541</v>
          </cell>
          <cell r="G340" t="str">
            <v>17</v>
          </cell>
        </row>
        <row r="341">
          <cell r="E341" t="str">
            <v>RIOSUCIO</v>
          </cell>
          <cell r="F341" t="str">
            <v>17614</v>
          </cell>
          <cell r="G341" t="str">
            <v>17</v>
          </cell>
        </row>
        <row r="342">
          <cell r="E342" t="str">
            <v>RISARALDA</v>
          </cell>
          <cell r="F342" t="str">
            <v>17616</v>
          </cell>
          <cell r="G342" t="str">
            <v>17</v>
          </cell>
        </row>
        <row r="343">
          <cell r="E343" t="str">
            <v>SALAMINA</v>
          </cell>
          <cell r="F343" t="str">
            <v>17653</v>
          </cell>
          <cell r="G343" t="str">
            <v>17</v>
          </cell>
        </row>
        <row r="344">
          <cell r="E344" t="str">
            <v>SAMANA</v>
          </cell>
          <cell r="F344" t="str">
            <v>17662</v>
          </cell>
          <cell r="G344" t="str">
            <v>17</v>
          </cell>
        </row>
        <row r="345">
          <cell r="E345" t="str">
            <v>SAN JOSE</v>
          </cell>
          <cell r="F345" t="str">
            <v>17665</v>
          </cell>
          <cell r="G345" t="str">
            <v>17</v>
          </cell>
        </row>
        <row r="346">
          <cell r="E346" t="str">
            <v>SUPIA</v>
          </cell>
          <cell r="F346" t="str">
            <v>17777</v>
          </cell>
          <cell r="G346" t="str">
            <v>17</v>
          </cell>
        </row>
        <row r="347">
          <cell r="E347" t="str">
            <v>VICTORIA</v>
          </cell>
          <cell r="F347" t="str">
            <v>17867</v>
          </cell>
          <cell r="G347" t="str">
            <v>17</v>
          </cell>
        </row>
        <row r="348">
          <cell r="E348" t="str">
            <v>VILLAMARIA</v>
          </cell>
          <cell r="F348" t="str">
            <v>17873</v>
          </cell>
          <cell r="G348" t="str">
            <v>17</v>
          </cell>
        </row>
        <row r="349">
          <cell r="E349" t="str">
            <v>VITERBO</v>
          </cell>
          <cell r="F349" t="str">
            <v>17877</v>
          </cell>
          <cell r="G349" t="str">
            <v>17</v>
          </cell>
        </row>
        <row r="350">
          <cell r="E350" t="str">
            <v>FLORENCIA</v>
          </cell>
          <cell r="F350" t="str">
            <v>18001</v>
          </cell>
          <cell r="G350" t="str">
            <v>18</v>
          </cell>
        </row>
        <row r="351">
          <cell r="E351" t="str">
            <v>ALBANIA</v>
          </cell>
          <cell r="F351" t="str">
            <v>18029</v>
          </cell>
          <cell r="G351" t="str">
            <v>18</v>
          </cell>
        </row>
        <row r="352">
          <cell r="E352" t="str">
            <v>BELEN ANDAQUIES</v>
          </cell>
          <cell r="F352" t="str">
            <v>18094</v>
          </cell>
          <cell r="G352" t="str">
            <v>18</v>
          </cell>
        </row>
        <row r="353">
          <cell r="E353" t="str">
            <v>CARTAGENA DEL CHAIRA</v>
          </cell>
          <cell r="F353" t="str">
            <v>18150</v>
          </cell>
          <cell r="G353" t="str">
            <v>18</v>
          </cell>
        </row>
        <row r="354">
          <cell r="E354" t="str">
            <v>CURILLO</v>
          </cell>
          <cell r="F354" t="str">
            <v>18205</v>
          </cell>
          <cell r="G354" t="str">
            <v>18</v>
          </cell>
        </row>
        <row r="355">
          <cell r="E355" t="str">
            <v>EL DONCELLO</v>
          </cell>
          <cell r="F355" t="str">
            <v>18247</v>
          </cell>
          <cell r="G355" t="str">
            <v>18</v>
          </cell>
        </row>
        <row r="356">
          <cell r="E356" t="str">
            <v>EL PAUJIL</v>
          </cell>
          <cell r="F356" t="str">
            <v>18256</v>
          </cell>
          <cell r="G356" t="str">
            <v>18</v>
          </cell>
        </row>
        <row r="357">
          <cell r="E357" t="str">
            <v>LA MONTAÑITA</v>
          </cell>
          <cell r="F357" t="str">
            <v>18410</v>
          </cell>
          <cell r="G357" t="str">
            <v>18</v>
          </cell>
        </row>
        <row r="358">
          <cell r="E358" t="str">
            <v>MILAN</v>
          </cell>
          <cell r="F358" t="str">
            <v>18460</v>
          </cell>
          <cell r="G358" t="str">
            <v>18</v>
          </cell>
        </row>
        <row r="359">
          <cell r="E359" t="str">
            <v>MORELIA</v>
          </cell>
          <cell r="F359" t="str">
            <v>18479</v>
          </cell>
          <cell r="G359" t="str">
            <v>18</v>
          </cell>
        </row>
        <row r="360">
          <cell r="E360" t="str">
            <v>PUERTO RICO</v>
          </cell>
          <cell r="F360" t="str">
            <v>18592</v>
          </cell>
          <cell r="G360" t="str">
            <v>18</v>
          </cell>
        </row>
        <row r="361">
          <cell r="E361" t="str">
            <v>SAN JOSE DE FRAGUA</v>
          </cell>
          <cell r="F361" t="str">
            <v>18610</v>
          </cell>
          <cell r="G361" t="str">
            <v>18</v>
          </cell>
        </row>
        <row r="362">
          <cell r="E362" t="str">
            <v>SAN  VICENTE DEL CAGUAN</v>
          </cell>
          <cell r="F362" t="str">
            <v>18753</v>
          </cell>
          <cell r="G362" t="str">
            <v>18</v>
          </cell>
        </row>
        <row r="363">
          <cell r="E363" t="str">
            <v>SOLANO</v>
          </cell>
          <cell r="F363" t="str">
            <v>18756</v>
          </cell>
          <cell r="G363" t="str">
            <v>18</v>
          </cell>
        </row>
        <row r="364">
          <cell r="E364" t="str">
            <v>SOLITA</v>
          </cell>
          <cell r="F364" t="str">
            <v>18785</v>
          </cell>
          <cell r="G364" t="str">
            <v>18</v>
          </cell>
        </row>
        <row r="365">
          <cell r="E365" t="str">
            <v>VALPARAISO</v>
          </cell>
          <cell r="F365" t="str">
            <v>18860</v>
          </cell>
          <cell r="G365" t="str">
            <v>18</v>
          </cell>
        </row>
        <row r="366">
          <cell r="E366" t="str">
            <v>ALMAGUER</v>
          </cell>
          <cell r="F366" t="str">
            <v>19022</v>
          </cell>
          <cell r="G366" t="str">
            <v>19</v>
          </cell>
        </row>
        <row r="367">
          <cell r="E367" t="str">
            <v>ARGELIA</v>
          </cell>
          <cell r="F367" t="str">
            <v>19050</v>
          </cell>
          <cell r="G367" t="str">
            <v>19</v>
          </cell>
        </row>
        <row r="368">
          <cell r="E368" t="str">
            <v>BALBOA</v>
          </cell>
          <cell r="F368" t="str">
            <v>19075</v>
          </cell>
          <cell r="G368" t="str">
            <v>19</v>
          </cell>
        </row>
        <row r="369">
          <cell r="E369" t="str">
            <v>BOLIVAR</v>
          </cell>
          <cell r="F369" t="str">
            <v>19100</v>
          </cell>
          <cell r="G369" t="str">
            <v>19</v>
          </cell>
        </row>
        <row r="370">
          <cell r="E370" t="str">
            <v>BUENOS AIRES</v>
          </cell>
          <cell r="F370" t="str">
            <v>19110</v>
          </cell>
          <cell r="G370" t="str">
            <v>19</v>
          </cell>
        </row>
        <row r="371">
          <cell r="E371" t="str">
            <v>CAJIBIO</v>
          </cell>
          <cell r="F371" t="str">
            <v>19130</v>
          </cell>
          <cell r="G371" t="str">
            <v>19</v>
          </cell>
        </row>
        <row r="372">
          <cell r="E372" t="str">
            <v>CALDONO</v>
          </cell>
          <cell r="F372" t="str">
            <v>19137</v>
          </cell>
          <cell r="G372" t="str">
            <v>19</v>
          </cell>
        </row>
        <row r="373">
          <cell r="E373" t="str">
            <v>CALOTO</v>
          </cell>
          <cell r="F373" t="str">
            <v>19142</v>
          </cell>
          <cell r="G373" t="str">
            <v>19</v>
          </cell>
        </row>
        <row r="374">
          <cell r="E374" t="str">
            <v>CORINTO</v>
          </cell>
          <cell r="F374" t="str">
            <v>19212</v>
          </cell>
          <cell r="G374" t="str">
            <v>19</v>
          </cell>
        </row>
        <row r="375">
          <cell r="E375" t="str">
            <v>EL TAMBO</v>
          </cell>
          <cell r="F375" t="str">
            <v>19256</v>
          </cell>
          <cell r="G375" t="str">
            <v>19</v>
          </cell>
        </row>
        <row r="376">
          <cell r="E376" t="str">
            <v>FLORENCIA</v>
          </cell>
          <cell r="F376" t="str">
            <v>19290</v>
          </cell>
          <cell r="G376" t="str">
            <v>19</v>
          </cell>
        </row>
        <row r="377">
          <cell r="E377" t="str">
            <v>GUACHENÉ</v>
          </cell>
          <cell r="F377" t="str">
            <v>19300</v>
          </cell>
          <cell r="G377" t="str">
            <v>19</v>
          </cell>
        </row>
        <row r="378">
          <cell r="E378" t="str">
            <v>GUAPI</v>
          </cell>
          <cell r="F378" t="str">
            <v>19318</v>
          </cell>
          <cell r="G378" t="str">
            <v>19</v>
          </cell>
        </row>
        <row r="379">
          <cell r="E379" t="str">
            <v>INZA</v>
          </cell>
          <cell r="F379" t="str">
            <v>19355</v>
          </cell>
          <cell r="G379" t="str">
            <v>19</v>
          </cell>
        </row>
        <row r="380">
          <cell r="E380" t="str">
            <v>JAMBALO</v>
          </cell>
          <cell r="F380" t="str">
            <v>19364</v>
          </cell>
          <cell r="G380" t="str">
            <v>19</v>
          </cell>
        </row>
        <row r="381">
          <cell r="E381" t="str">
            <v>LA SIERRA</v>
          </cell>
          <cell r="F381" t="str">
            <v>19392</v>
          </cell>
          <cell r="G381" t="str">
            <v>19</v>
          </cell>
        </row>
        <row r="382">
          <cell r="E382" t="str">
            <v>LA VEGA</v>
          </cell>
          <cell r="F382" t="str">
            <v>19397</v>
          </cell>
          <cell r="G382" t="str">
            <v>19</v>
          </cell>
        </row>
        <row r="383">
          <cell r="E383" t="str">
            <v>LOPEZ</v>
          </cell>
          <cell r="F383" t="str">
            <v>19418</v>
          </cell>
          <cell r="G383" t="str">
            <v>19</v>
          </cell>
        </row>
        <row r="384">
          <cell r="E384" t="str">
            <v>MERCADERES</v>
          </cell>
          <cell r="F384" t="str">
            <v>19450</v>
          </cell>
          <cell r="G384" t="str">
            <v>19</v>
          </cell>
        </row>
        <row r="385">
          <cell r="E385" t="str">
            <v>MIRANDA</v>
          </cell>
          <cell r="F385" t="str">
            <v>19455</v>
          </cell>
          <cell r="G385" t="str">
            <v>19</v>
          </cell>
        </row>
        <row r="386">
          <cell r="E386" t="str">
            <v>MORALES</v>
          </cell>
          <cell r="F386" t="str">
            <v>19473</v>
          </cell>
          <cell r="G386" t="str">
            <v>19</v>
          </cell>
        </row>
        <row r="387">
          <cell r="E387" t="str">
            <v>PADILLA</v>
          </cell>
          <cell r="F387" t="str">
            <v>19513</v>
          </cell>
          <cell r="G387" t="str">
            <v>19</v>
          </cell>
        </row>
        <row r="388">
          <cell r="E388" t="str">
            <v>PAEZ</v>
          </cell>
          <cell r="F388" t="str">
            <v>19517</v>
          </cell>
          <cell r="G388" t="str">
            <v>19</v>
          </cell>
        </row>
        <row r="389">
          <cell r="E389" t="str">
            <v>PATIA</v>
          </cell>
          <cell r="F389" t="str">
            <v>19532</v>
          </cell>
          <cell r="G389" t="str">
            <v>19</v>
          </cell>
        </row>
        <row r="390">
          <cell r="E390" t="str">
            <v>PIAMONTE</v>
          </cell>
          <cell r="F390" t="str">
            <v>19533</v>
          </cell>
          <cell r="G390" t="str">
            <v>19</v>
          </cell>
        </row>
        <row r="391">
          <cell r="E391" t="str">
            <v>PIENDAMO</v>
          </cell>
          <cell r="F391" t="str">
            <v>19548</v>
          </cell>
          <cell r="G391" t="str">
            <v>19</v>
          </cell>
        </row>
        <row r="392">
          <cell r="E392" t="str">
            <v>POPAYAN</v>
          </cell>
          <cell r="F392" t="str">
            <v>19001</v>
          </cell>
          <cell r="G392" t="str">
            <v>19</v>
          </cell>
        </row>
        <row r="393">
          <cell r="E393" t="str">
            <v>PUERTO TEJADA</v>
          </cell>
          <cell r="F393" t="str">
            <v>19573</v>
          </cell>
          <cell r="G393" t="str">
            <v>19</v>
          </cell>
        </row>
        <row r="394">
          <cell r="E394" t="str">
            <v>PURACE</v>
          </cell>
          <cell r="F394" t="str">
            <v>19585</v>
          </cell>
          <cell r="G394" t="str">
            <v>19</v>
          </cell>
        </row>
        <row r="395">
          <cell r="E395" t="str">
            <v>ROSAS</v>
          </cell>
          <cell r="F395" t="str">
            <v>19622</v>
          </cell>
          <cell r="G395" t="str">
            <v>19</v>
          </cell>
        </row>
        <row r="396">
          <cell r="E396" t="str">
            <v>SAN SEBASTIAN</v>
          </cell>
          <cell r="F396" t="str">
            <v>19693</v>
          </cell>
          <cell r="G396" t="str">
            <v>19</v>
          </cell>
        </row>
        <row r="397">
          <cell r="E397" t="str">
            <v>SANTA ROSA</v>
          </cell>
          <cell r="F397" t="str">
            <v>19701</v>
          </cell>
          <cell r="G397" t="str">
            <v>19</v>
          </cell>
        </row>
        <row r="398">
          <cell r="E398" t="str">
            <v>SANTANDER DE QUILICHAO</v>
          </cell>
          <cell r="F398" t="str">
            <v>19698</v>
          </cell>
          <cell r="G398" t="str">
            <v>19</v>
          </cell>
        </row>
        <row r="399">
          <cell r="E399" t="str">
            <v>SILVIA</v>
          </cell>
          <cell r="F399" t="str">
            <v>19743</v>
          </cell>
          <cell r="G399" t="str">
            <v>19</v>
          </cell>
        </row>
        <row r="400">
          <cell r="E400" t="str">
            <v>SOTARA</v>
          </cell>
          <cell r="F400" t="str">
            <v>19760</v>
          </cell>
          <cell r="G400" t="str">
            <v>19</v>
          </cell>
        </row>
        <row r="401">
          <cell r="E401" t="str">
            <v>SUAREZ</v>
          </cell>
          <cell r="F401" t="str">
            <v>19780</v>
          </cell>
          <cell r="G401" t="str">
            <v>19</v>
          </cell>
        </row>
        <row r="402">
          <cell r="E402" t="str">
            <v>SUCRE</v>
          </cell>
          <cell r="F402" t="str">
            <v>19785</v>
          </cell>
          <cell r="G402" t="str">
            <v>19</v>
          </cell>
        </row>
        <row r="403">
          <cell r="E403" t="str">
            <v>TIMBIO</v>
          </cell>
          <cell r="F403" t="str">
            <v>19807</v>
          </cell>
          <cell r="G403" t="str">
            <v>19</v>
          </cell>
        </row>
        <row r="404">
          <cell r="E404" t="str">
            <v>TIMBIQUI</v>
          </cell>
          <cell r="F404" t="str">
            <v>19809</v>
          </cell>
          <cell r="G404" t="str">
            <v>19</v>
          </cell>
        </row>
        <row r="405">
          <cell r="E405" t="str">
            <v>TORIBIO</v>
          </cell>
          <cell r="F405" t="str">
            <v>19821</v>
          </cell>
          <cell r="G405" t="str">
            <v>19</v>
          </cell>
        </row>
        <row r="406">
          <cell r="E406" t="str">
            <v>TOTORO</v>
          </cell>
          <cell r="F406" t="str">
            <v>19824</v>
          </cell>
          <cell r="G406" t="str">
            <v>19</v>
          </cell>
        </row>
        <row r="407">
          <cell r="E407" t="str">
            <v>VILLA RICA</v>
          </cell>
          <cell r="F407" t="str">
            <v>19845</v>
          </cell>
          <cell r="G407" t="str">
            <v>19</v>
          </cell>
        </row>
        <row r="408">
          <cell r="E408" t="str">
            <v>VALLEDUPAR</v>
          </cell>
          <cell r="F408" t="str">
            <v>20001</v>
          </cell>
          <cell r="G408" t="str">
            <v>20</v>
          </cell>
        </row>
        <row r="409">
          <cell r="E409" t="str">
            <v>AGUACHICA</v>
          </cell>
          <cell r="F409" t="str">
            <v>20011</v>
          </cell>
          <cell r="G409" t="str">
            <v>20</v>
          </cell>
        </row>
        <row r="410">
          <cell r="E410" t="str">
            <v>AGUSTIN CODAZZI</v>
          </cell>
          <cell r="F410" t="str">
            <v>20013</v>
          </cell>
          <cell r="G410" t="str">
            <v>20</v>
          </cell>
        </row>
        <row r="411">
          <cell r="E411" t="str">
            <v>ASTREA</v>
          </cell>
          <cell r="F411" t="str">
            <v>20032</v>
          </cell>
          <cell r="G411" t="str">
            <v>20</v>
          </cell>
        </row>
        <row r="412">
          <cell r="E412" t="str">
            <v>BECERRIL</v>
          </cell>
          <cell r="F412" t="str">
            <v>20045</v>
          </cell>
          <cell r="G412" t="str">
            <v>20</v>
          </cell>
        </row>
        <row r="413">
          <cell r="E413" t="str">
            <v>BOSCONIA</v>
          </cell>
          <cell r="F413" t="str">
            <v>20060</v>
          </cell>
          <cell r="G413" t="str">
            <v>20</v>
          </cell>
        </row>
        <row r="414">
          <cell r="E414" t="str">
            <v>CHIMICHAGUA</v>
          </cell>
          <cell r="F414" t="str">
            <v>20175</v>
          </cell>
          <cell r="G414" t="str">
            <v>20</v>
          </cell>
        </row>
        <row r="415">
          <cell r="E415" t="str">
            <v>CHIRIGUANA</v>
          </cell>
          <cell r="F415" t="str">
            <v>20178</v>
          </cell>
          <cell r="G415" t="str">
            <v>20</v>
          </cell>
        </row>
        <row r="416">
          <cell r="E416" t="str">
            <v>CURUMANI</v>
          </cell>
          <cell r="F416" t="str">
            <v>20228</v>
          </cell>
          <cell r="G416" t="str">
            <v>20</v>
          </cell>
        </row>
        <row r="417">
          <cell r="E417" t="str">
            <v>EL COPEY</v>
          </cell>
          <cell r="F417" t="str">
            <v>20238</v>
          </cell>
          <cell r="G417" t="str">
            <v>20</v>
          </cell>
        </row>
        <row r="418">
          <cell r="E418" t="str">
            <v>EL PASO</v>
          </cell>
          <cell r="F418" t="str">
            <v>20250</v>
          </cell>
          <cell r="G418" t="str">
            <v>20</v>
          </cell>
        </row>
        <row r="419">
          <cell r="E419" t="str">
            <v>GAMARRA</v>
          </cell>
          <cell r="F419" t="str">
            <v>20295</v>
          </cell>
          <cell r="G419" t="str">
            <v>20</v>
          </cell>
        </row>
        <row r="420">
          <cell r="E420" t="str">
            <v>GONZALEZ</v>
          </cell>
          <cell r="F420" t="str">
            <v>20310</v>
          </cell>
          <cell r="G420" t="str">
            <v>20</v>
          </cell>
        </row>
        <row r="421">
          <cell r="E421" t="str">
            <v>LA GLORIA</v>
          </cell>
          <cell r="F421" t="str">
            <v>20383</v>
          </cell>
          <cell r="G421" t="str">
            <v>20</v>
          </cell>
        </row>
        <row r="422">
          <cell r="E422" t="str">
            <v>LA JAGUA DE IBIRICO</v>
          </cell>
          <cell r="F422" t="str">
            <v>20400</v>
          </cell>
          <cell r="G422" t="str">
            <v>20</v>
          </cell>
        </row>
        <row r="423">
          <cell r="E423" t="str">
            <v>MANAURE</v>
          </cell>
          <cell r="F423" t="str">
            <v>20443</v>
          </cell>
          <cell r="G423" t="str">
            <v>20</v>
          </cell>
        </row>
        <row r="424">
          <cell r="E424" t="str">
            <v>PAILITAS</v>
          </cell>
          <cell r="F424" t="str">
            <v>20517</v>
          </cell>
          <cell r="G424" t="str">
            <v>20</v>
          </cell>
        </row>
        <row r="425">
          <cell r="E425" t="str">
            <v>PELAYA</v>
          </cell>
          <cell r="F425" t="str">
            <v>20550</v>
          </cell>
          <cell r="G425" t="str">
            <v>20</v>
          </cell>
        </row>
        <row r="426">
          <cell r="E426" t="str">
            <v>PUEBLO BELLO</v>
          </cell>
          <cell r="F426" t="str">
            <v>20570</v>
          </cell>
          <cell r="G426" t="str">
            <v>20</v>
          </cell>
        </row>
        <row r="427">
          <cell r="E427" t="str">
            <v>RIO DE ORO</v>
          </cell>
          <cell r="F427" t="str">
            <v>20614</v>
          </cell>
          <cell r="G427" t="str">
            <v>20</v>
          </cell>
        </row>
        <row r="428">
          <cell r="E428" t="str">
            <v>ROBLES (LA PAZ)</v>
          </cell>
          <cell r="F428" t="str">
            <v>20621</v>
          </cell>
          <cell r="G428" t="str">
            <v>20</v>
          </cell>
        </row>
        <row r="429">
          <cell r="E429" t="str">
            <v>SAN ALBERTO</v>
          </cell>
          <cell r="F429" t="str">
            <v>20710</v>
          </cell>
          <cell r="G429" t="str">
            <v>20</v>
          </cell>
        </row>
        <row r="430">
          <cell r="E430" t="str">
            <v>SAN DIEGO</v>
          </cell>
          <cell r="F430" t="str">
            <v>20750</v>
          </cell>
          <cell r="G430" t="str">
            <v>20</v>
          </cell>
        </row>
        <row r="431">
          <cell r="E431" t="str">
            <v>SAN MARTIN</v>
          </cell>
          <cell r="F431" t="str">
            <v>20770</v>
          </cell>
          <cell r="G431" t="str">
            <v>20</v>
          </cell>
        </row>
        <row r="432">
          <cell r="E432" t="str">
            <v>TAMALAMEQUE</v>
          </cell>
          <cell r="F432" t="str">
            <v>20787</v>
          </cell>
          <cell r="G432" t="str">
            <v>20</v>
          </cell>
        </row>
        <row r="433">
          <cell r="E433" t="str">
            <v>MONTERIA</v>
          </cell>
          <cell r="F433" t="str">
            <v>23001</v>
          </cell>
          <cell r="G433" t="str">
            <v>23</v>
          </cell>
        </row>
        <row r="434">
          <cell r="E434" t="str">
            <v>AYAPEL</v>
          </cell>
          <cell r="F434" t="str">
            <v>23068</v>
          </cell>
          <cell r="G434" t="str">
            <v>23</v>
          </cell>
        </row>
        <row r="435">
          <cell r="E435" t="str">
            <v>BUENAVISTA</v>
          </cell>
          <cell r="F435" t="str">
            <v>23079</v>
          </cell>
          <cell r="G435" t="str">
            <v>23</v>
          </cell>
        </row>
        <row r="436">
          <cell r="E436" t="str">
            <v>CANALETE</v>
          </cell>
          <cell r="F436" t="str">
            <v>23090</v>
          </cell>
          <cell r="G436" t="str">
            <v>23</v>
          </cell>
        </row>
        <row r="437">
          <cell r="E437" t="str">
            <v>CERETE</v>
          </cell>
          <cell r="F437" t="str">
            <v>23162</v>
          </cell>
          <cell r="G437" t="str">
            <v>23</v>
          </cell>
        </row>
        <row r="438">
          <cell r="E438" t="str">
            <v>CHIMA</v>
          </cell>
          <cell r="F438" t="str">
            <v>23168</v>
          </cell>
          <cell r="G438" t="str">
            <v>23</v>
          </cell>
        </row>
        <row r="439">
          <cell r="E439" t="str">
            <v>CHINU</v>
          </cell>
          <cell r="F439" t="str">
            <v>23182</v>
          </cell>
          <cell r="G439" t="str">
            <v>23</v>
          </cell>
        </row>
        <row r="440">
          <cell r="E440" t="str">
            <v>CIENAGA DE ORO</v>
          </cell>
          <cell r="F440" t="str">
            <v>23189</v>
          </cell>
          <cell r="G440" t="str">
            <v>23</v>
          </cell>
        </row>
        <row r="441">
          <cell r="E441" t="str">
            <v>COTORRA</v>
          </cell>
          <cell r="F441" t="str">
            <v>23300</v>
          </cell>
          <cell r="G441" t="str">
            <v>23</v>
          </cell>
        </row>
        <row r="442">
          <cell r="E442" t="str">
            <v>LA APARTADA</v>
          </cell>
          <cell r="F442" t="str">
            <v>23350</v>
          </cell>
          <cell r="G442" t="str">
            <v>23</v>
          </cell>
        </row>
        <row r="443">
          <cell r="E443" t="str">
            <v>LORICA</v>
          </cell>
          <cell r="F443" t="str">
            <v>23417</v>
          </cell>
          <cell r="G443" t="str">
            <v>23</v>
          </cell>
        </row>
        <row r="444">
          <cell r="E444" t="str">
            <v>LOS CORDOBAS</v>
          </cell>
          <cell r="F444" t="str">
            <v>23419</v>
          </cell>
          <cell r="G444" t="str">
            <v>23</v>
          </cell>
        </row>
        <row r="445">
          <cell r="E445" t="str">
            <v>MOMIL</v>
          </cell>
          <cell r="F445" t="str">
            <v>23464</v>
          </cell>
          <cell r="G445" t="str">
            <v>23</v>
          </cell>
        </row>
        <row r="446">
          <cell r="E446" t="str">
            <v>MONTELIBANO</v>
          </cell>
          <cell r="F446" t="str">
            <v>23466</v>
          </cell>
          <cell r="G446" t="str">
            <v>23</v>
          </cell>
        </row>
        <row r="447">
          <cell r="E447" t="str">
            <v>MOÑITOS</v>
          </cell>
          <cell r="F447" t="str">
            <v>23500</v>
          </cell>
          <cell r="G447" t="str">
            <v>23</v>
          </cell>
        </row>
        <row r="448">
          <cell r="E448" t="str">
            <v>PLANETA RICA</v>
          </cell>
          <cell r="F448" t="str">
            <v>23555</v>
          </cell>
          <cell r="G448" t="str">
            <v>23</v>
          </cell>
        </row>
        <row r="449">
          <cell r="E449" t="str">
            <v>PUEBLO NUEVO</v>
          </cell>
          <cell r="F449" t="str">
            <v>23570</v>
          </cell>
          <cell r="G449" t="str">
            <v>23</v>
          </cell>
        </row>
        <row r="450">
          <cell r="E450" t="str">
            <v>PUERTO ESCONDIDO</v>
          </cell>
          <cell r="F450" t="str">
            <v>23574</v>
          </cell>
          <cell r="G450" t="str">
            <v>23</v>
          </cell>
        </row>
        <row r="451">
          <cell r="E451" t="str">
            <v>PUERTO LIBERTADOR</v>
          </cell>
          <cell r="F451" t="str">
            <v>23580</v>
          </cell>
          <cell r="G451" t="str">
            <v>23</v>
          </cell>
        </row>
        <row r="452">
          <cell r="E452" t="str">
            <v>PURISIMA</v>
          </cell>
          <cell r="F452" t="str">
            <v>23586</v>
          </cell>
          <cell r="G452" t="str">
            <v>23</v>
          </cell>
        </row>
        <row r="453">
          <cell r="E453" t="str">
            <v>SAHAGUN</v>
          </cell>
          <cell r="F453" t="str">
            <v>23660</v>
          </cell>
          <cell r="G453" t="str">
            <v>23</v>
          </cell>
        </row>
        <row r="454">
          <cell r="E454" t="str">
            <v>SAN ANDRES SOTAVENTO</v>
          </cell>
          <cell r="F454" t="str">
            <v>23670</v>
          </cell>
          <cell r="G454" t="str">
            <v>23</v>
          </cell>
        </row>
        <row r="455">
          <cell r="E455" t="str">
            <v>SAN ANTERO</v>
          </cell>
          <cell r="F455" t="str">
            <v>23672</v>
          </cell>
          <cell r="G455" t="str">
            <v>23</v>
          </cell>
        </row>
        <row r="456">
          <cell r="E456" t="str">
            <v>SAN BERNARDO VIENTO</v>
          </cell>
          <cell r="F456" t="str">
            <v>23675</v>
          </cell>
          <cell r="G456" t="str">
            <v>23</v>
          </cell>
        </row>
        <row r="457">
          <cell r="E457" t="str">
            <v>SAN CARLOS</v>
          </cell>
          <cell r="F457" t="str">
            <v>23678</v>
          </cell>
          <cell r="G457" t="str">
            <v>23</v>
          </cell>
        </row>
        <row r="458">
          <cell r="E458" t="str">
            <v>SAN JOSE DE URE</v>
          </cell>
          <cell r="F458" t="str">
            <v>23682</v>
          </cell>
          <cell r="G458" t="str">
            <v>23</v>
          </cell>
        </row>
        <row r="459">
          <cell r="E459" t="str">
            <v>SAN PELAYO</v>
          </cell>
          <cell r="F459" t="str">
            <v>23686</v>
          </cell>
          <cell r="G459" t="str">
            <v>23</v>
          </cell>
        </row>
        <row r="460">
          <cell r="E460" t="str">
            <v>TIERRALTA</v>
          </cell>
          <cell r="F460" t="str">
            <v>23807</v>
          </cell>
          <cell r="G460" t="str">
            <v>23</v>
          </cell>
        </row>
        <row r="461">
          <cell r="E461" t="str">
            <v>TUCHIN</v>
          </cell>
          <cell r="F461" t="str">
            <v>23815</v>
          </cell>
          <cell r="G461" t="str">
            <v>23</v>
          </cell>
        </row>
        <row r="462">
          <cell r="E462" t="str">
            <v>VALENCIA</v>
          </cell>
          <cell r="F462" t="str">
            <v>23855</v>
          </cell>
          <cell r="G462" t="str">
            <v>23</v>
          </cell>
        </row>
        <row r="463">
          <cell r="E463" t="str">
            <v>AGUA DE DIOS</v>
          </cell>
          <cell r="F463" t="str">
            <v>25001</v>
          </cell>
          <cell r="G463" t="str">
            <v>25</v>
          </cell>
        </row>
        <row r="464">
          <cell r="E464" t="str">
            <v>ALBAN</v>
          </cell>
          <cell r="F464" t="str">
            <v>25019</v>
          </cell>
          <cell r="G464" t="str">
            <v>25</v>
          </cell>
        </row>
        <row r="465">
          <cell r="E465" t="str">
            <v>ANAPOIMA</v>
          </cell>
          <cell r="F465" t="str">
            <v>25035</v>
          </cell>
          <cell r="G465" t="str">
            <v>25</v>
          </cell>
        </row>
        <row r="466">
          <cell r="E466" t="str">
            <v>ANOLAIMA</v>
          </cell>
          <cell r="F466" t="str">
            <v>25040</v>
          </cell>
          <cell r="G466" t="str">
            <v>25</v>
          </cell>
        </row>
        <row r="467">
          <cell r="E467" t="str">
            <v>ARBELAEZ</v>
          </cell>
          <cell r="F467" t="str">
            <v>25053</v>
          </cell>
          <cell r="G467" t="str">
            <v>25</v>
          </cell>
        </row>
        <row r="468">
          <cell r="E468" t="str">
            <v>BELTRAN</v>
          </cell>
          <cell r="F468" t="str">
            <v>25086</v>
          </cell>
          <cell r="G468" t="str">
            <v>25</v>
          </cell>
        </row>
        <row r="469">
          <cell r="E469" t="str">
            <v>BITUIMA</v>
          </cell>
          <cell r="F469" t="str">
            <v>25095</v>
          </cell>
          <cell r="G469" t="str">
            <v>25</v>
          </cell>
        </row>
        <row r="470">
          <cell r="E470" t="str">
            <v>BOJACA</v>
          </cell>
          <cell r="F470" t="str">
            <v>25099</v>
          </cell>
          <cell r="G470" t="str">
            <v>25</v>
          </cell>
        </row>
        <row r="471">
          <cell r="E471" t="str">
            <v>CABRERA</v>
          </cell>
          <cell r="F471" t="str">
            <v>25120</v>
          </cell>
          <cell r="G471" t="str">
            <v>25</v>
          </cell>
        </row>
        <row r="472">
          <cell r="E472" t="str">
            <v>CACHIPAY</v>
          </cell>
          <cell r="F472" t="str">
            <v>25123</v>
          </cell>
          <cell r="G472" t="str">
            <v>25</v>
          </cell>
        </row>
        <row r="473">
          <cell r="E473" t="str">
            <v>CAJICA</v>
          </cell>
          <cell r="F473" t="str">
            <v>25126</v>
          </cell>
          <cell r="G473" t="str">
            <v>25</v>
          </cell>
        </row>
        <row r="474">
          <cell r="E474" t="str">
            <v>CAPARRAPI</v>
          </cell>
          <cell r="F474" t="str">
            <v>25148</v>
          </cell>
          <cell r="G474" t="str">
            <v>25</v>
          </cell>
        </row>
        <row r="475">
          <cell r="E475" t="str">
            <v>CAQUEZA</v>
          </cell>
          <cell r="F475" t="str">
            <v>25151</v>
          </cell>
          <cell r="G475" t="str">
            <v>25</v>
          </cell>
        </row>
        <row r="476">
          <cell r="E476" t="str">
            <v>CARMEN DE CARUPA</v>
          </cell>
          <cell r="F476" t="str">
            <v>25154</v>
          </cell>
          <cell r="G476" t="str">
            <v>25</v>
          </cell>
        </row>
        <row r="477">
          <cell r="E477" t="str">
            <v>CHAGUANI</v>
          </cell>
          <cell r="F477" t="str">
            <v>25168</v>
          </cell>
          <cell r="G477" t="str">
            <v>25</v>
          </cell>
        </row>
        <row r="478">
          <cell r="E478" t="str">
            <v>CHIA</v>
          </cell>
          <cell r="F478" t="str">
            <v>25175</v>
          </cell>
          <cell r="G478" t="str">
            <v>25</v>
          </cell>
        </row>
        <row r="479">
          <cell r="E479" t="str">
            <v>CHIPAQUE</v>
          </cell>
          <cell r="F479" t="str">
            <v>25178</v>
          </cell>
          <cell r="G479" t="str">
            <v>25</v>
          </cell>
        </row>
        <row r="480">
          <cell r="E480" t="str">
            <v>CHOACHI</v>
          </cell>
          <cell r="F480" t="str">
            <v>25181</v>
          </cell>
          <cell r="G480" t="str">
            <v>25</v>
          </cell>
        </row>
        <row r="481">
          <cell r="E481" t="str">
            <v>CHOCONTA</v>
          </cell>
          <cell r="F481" t="str">
            <v>25183</v>
          </cell>
          <cell r="G481" t="str">
            <v>25</v>
          </cell>
        </row>
        <row r="482">
          <cell r="E482" t="str">
            <v>COGUA</v>
          </cell>
          <cell r="F482" t="str">
            <v>25200</v>
          </cell>
          <cell r="G482" t="str">
            <v>25</v>
          </cell>
        </row>
        <row r="483">
          <cell r="E483" t="str">
            <v>COTA</v>
          </cell>
          <cell r="F483" t="str">
            <v>25214</v>
          </cell>
          <cell r="G483" t="str">
            <v>25</v>
          </cell>
        </row>
        <row r="484">
          <cell r="E484" t="str">
            <v>CUCUNUBA</v>
          </cell>
          <cell r="F484" t="str">
            <v>25224</v>
          </cell>
          <cell r="G484" t="str">
            <v>25</v>
          </cell>
        </row>
        <row r="485">
          <cell r="E485" t="str">
            <v>EL COLEGIO</v>
          </cell>
          <cell r="F485" t="str">
            <v>25245</v>
          </cell>
          <cell r="G485" t="str">
            <v>25</v>
          </cell>
        </row>
        <row r="486">
          <cell r="E486" t="str">
            <v>EL PEÑON</v>
          </cell>
          <cell r="F486" t="str">
            <v>25258</v>
          </cell>
          <cell r="G486" t="str">
            <v>25</v>
          </cell>
        </row>
        <row r="487">
          <cell r="E487" t="str">
            <v>EL ROSAL</v>
          </cell>
          <cell r="F487" t="str">
            <v>25260</v>
          </cell>
          <cell r="G487" t="str">
            <v>25</v>
          </cell>
        </row>
        <row r="488">
          <cell r="E488" t="str">
            <v>FACATATIVA</v>
          </cell>
          <cell r="F488" t="str">
            <v>25269</v>
          </cell>
          <cell r="G488" t="str">
            <v>25</v>
          </cell>
        </row>
        <row r="489">
          <cell r="E489" t="str">
            <v>FOMEQUE</v>
          </cell>
          <cell r="F489" t="str">
            <v>25279</v>
          </cell>
          <cell r="G489" t="str">
            <v>25</v>
          </cell>
        </row>
        <row r="490">
          <cell r="E490" t="str">
            <v>FOSCA</v>
          </cell>
          <cell r="F490" t="str">
            <v>25281</v>
          </cell>
          <cell r="G490" t="str">
            <v>25</v>
          </cell>
        </row>
        <row r="491">
          <cell r="E491" t="str">
            <v>FUNZA</v>
          </cell>
          <cell r="F491" t="str">
            <v>25286</v>
          </cell>
          <cell r="G491" t="str">
            <v>25</v>
          </cell>
        </row>
        <row r="492">
          <cell r="E492" t="str">
            <v>FUQUENE</v>
          </cell>
          <cell r="F492" t="str">
            <v>25288</v>
          </cell>
          <cell r="G492" t="str">
            <v>25</v>
          </cell>
        </row>
        <row r="493">
          <cell r="E493" t="str">
            <v>FUSAGASUGA</v>
          </cell>
          <cell r="F493" t="str">
            <v>25290</v>
          </cell>
          <cell r="G493" t="str">
            <v>25</v>
          </cell>
        </row>
        <row r="494">
          <cell r="E494" t="str">
            <v>GACHALA</v>
          </cell>
          <cell r="F494" t="str">
            <v>25293</v>
          </cell>
          <cell r="G494" t="str">
            <v>25</v>
          </cell>
        </row>
        <row r="495">
          <cell r="E495" t="str">
            <v>GACHANCIPA</v>
          </cell>
          <cell r="F495" t="str">
            <v>25295</v>
          </cell>
          <cell r="G495" t="str">
            <v>25</v>
          </cell>
        </row>
        <row r="496">
          <cell r="E496" t="str">
            <v>GACHETA</v>
          </cell>
          <cell r="F496" t="str">
            <v>25297</v>
          </cell>
          <cell r="G496" t="str">
            <v>25</v>
          </cell>
        </row>
        <row r="497">
          <cell r="E497" t="str">
            <v>GAMA</v>
          </cell>
          <cell r="F497" t="str">
            <v>25299</v>
          </cell>
          <cell r="G497" t="str">
            <v>25</v>
          </cell>
        </row>
        <row r="498">
          <cell r="E498" t="str">
            <v>GIRARDOT</v>
          </cell>
          <cell r="F498" t="str">
            <v>25307</v>
          </cell>
          <cell r="G498" t="str">
            <v>25</v>
          </cell>
        </row>
        <row r="499">
          <cell r="E499" t="str">
            <v>GRANADA</v>
          </cell>
          <cell r="F499" t="str">
            <v>25312</v>
          </cell>
          <cell r="G499" t="str">
            <v>25</v>
          </cell>
        </row>
        <row r="500">
          <cell r="E500" t="str">
            <v>GUACHETA</v>
          </cell>
          <cell r="F500" t="str">
            <v>25317</v>
          </cell>
          <cell r="G500" t="str">
            <v>25</v>
          </cell>
        </row>
        <row r="501">
          <cell r="E501" t="str">
            <v>GUADUAS</v>
          </cell>
          <cell r="F501" t="str">
            <v>25320</v>
          </cell>
          <cell r="G501" t="str">
            <v>25</v>
          </cell>
        </row>
        <row r="502">
          <cell r="E502" t="str">
            <v>GUASCA</v>
          </cell>
          <cell r="F502" t="str">
            <v>25322</v>
          </cell>
          <cell r="G502" t="str">
            <v>25</v>
          </cell>
        </row>
        <row r="503">
          <cell r="E503" t="str">
            <v>GUATAQUI</v>
          </cell>
          <cell r="F503" t="str">
            <v>25324</v>
          </cell>
          <cell r="G503" t="str">
            <v>25</v>
          </cell>
        </row>
        <row r="504">
          <cell r="E504" t="str">
            <v>GUATAVITA</v>
          </cell>
          <cell r="F504" t="str">
            <v>25326</v>
          </cell>
          <cell r="G504" t="str">
            <v>25</v>
          </cell>
        </row>
        <row r="505">
          <cell r="E505" t="str">
            <v>GUAYABAL DE SIQUIMA</v>
          </cell>
          <cell r="F505" t="str">
            <v>25328</v>
          </cell>
          <cell r="G505" t="str">
            <v>25</v>
          </cell>
        </row>
        <row r="506">
          <cell r="E506" t="str">
            <v>GUAYABETAL</v>
          </cell>
          <cell r="F506" t="str">
            <v>25335</v>
          </cell>
          <cell r="G506" t="str">
            <v>25</v>
          </cell>
        </row>
        <row r="507">
          <cell r="E507" t="str">
            <v>GUTIERREZ</v>
          </cell>
          <cell r="F507" t="str">
            <v>25339</v>
          </cell>
          <cell r="G507" t="str">
            <v>25</v>
          </cell>
        </row>
        <row r="508">
          <cell r="E508" t="str">
            <v>JERUSALEN</v>
          </cell>
          <cell r="F508" t="str">
            <v>25368</v>
          </cell>
          <cell r="G508" t="str">
            <v>25</v>
          </cell>
        </row>
        <row r="509">
          <cell r="E509" t="str">
            <v>JUNIN</v>
          </cell>
          <cell r="F509" t="str">
            <v>25372</v>
          </cell>
          <cell r="G509" t="str">
            <v>25</v>
          </cell>
        </row>
        <row r="510">
          <cell r="E510" t="str">
            <v>LA CALERA</v>
          </cell>
          <cell r="F510" t="str">
            <v>25377</v>
          </cell>
          <cell r="G510" t="str">
            <v>25</v>
          </cell>
        </row>
        <row r="511">
          <cell r="E511" t="str">
            <v>LA MESA</v>
          </cell>
          <cell r="F511" t="str">
            <v>25386</v>
          </cell>
          <cell r="G511" t="str">
            <v>25</v>
          </cell>
        </row>
        <row r="512">
          <cell r="E512" t="str">
            <v>LA PALMA</v>
          </cell>
          <cell r="F512" t="str">
            <v>25394</v>
          </cell>
          <cell r="G512" t="str">
            <v>25</v>
          </cell>
        </row>
        <row r="513">
          <cell r="E513" t="str">
            <v>LA PEÑA</v>
          </cell>
          <cell r="F513" t="str">
            <v>25398</v>
          </cell>
          <cell r="G513" t="str">
            <v>25</v>
          </cell>
        </row>
        <row r="514">
          <cell r="E514" t="str">
            <v>LA VEGA</v>
          </cell>
          <cell r="F514" t="str">
            <v>25402</v>
          </cell>
          <cell r="G514" t="str">
            <v>25</v>
          </cell>
        </row>
        <row r="515">
          <cell r="E515" t="str">
            <v>LENGUAZAQUE</v>
          </cell>
          <cell r="F515" t="str">
            <v>25407</v>
          </cell>
          <cell r="G515" t="str">
            <v>25</v>
          </cell>
        </row>
        <row r="516">
          <cell r="E516" t="str">
            <v>MACHETA</v>
          </cell>
          <cell r="F516" t="str">
            <v>25426</v>
          </cell>
          <cell r="G516" t="str">
            <v>25</v>
          </cell>
        </row>
        <row r="517">
          <cell r="E517" t="str">
            <v>MADRID</v>
          </cell>
          <cell r="F517" t="str">
            <v>25430</v>
          </cell>
          <cell r="G517" t="str">
            <v>25</v>
          </cell>
        </row>
        <row r="518">
          <cell r="E518" t="str">
            <v>MANTA</v>
          </cell>
          <cell r="F518" t="str">
            <v>25436</v>
          </cell>
          <cell r="G518" t="str">
            <v>25</v>
          </cell>
        </row>
        <row r="519">
          <cell r="E519" t="str">
            <v>MEDINA</v>
          </cell>
          <cell r="F519" t="str">
            <v>25438</v>
          </cell>
          <cell r="G519" t="str">
            <v>25</v>
          </cell>
        </row>
        <row r="520">
          <cell r="E520" t="str">
            <v>MOSQUERA</v>
          </cell>
          <cell r="F520" t="str">
            <v>25473</v>
          </cell>
          <cell r="G520" t="str">
            <v>25</v>
          </cell>
        </row>
        <row r="521">
          <cell r="E521" t="str">
            <v>NARIÑO</v>
          </cell>
          <cell r="F521" t="str">
            <v>25483</v>
          </cell>
          <cell r="G521" t="str">
            <v>25</v>
          </cell>
        </row>
        <row r="522">
          <cell r="E522" t="str">
            <v>NEMOCON</v>
          </cell>
          <cell r="F522" t="str">
            <v>25486</v>
          </cell>
          <cell r="G522" t="str">
            <v>25</v>
          </cell>
        </row>
        <row r="523">
          <cell r="E523" t="str">
            <v>NILO</v>
          </cell>
          <cell r="F523" t="str">
            <v>25488</v>
          </cell>
          <cell r="G523" t="str">
            <v>25</v>
          </cell>
        </row>
        <row r="524">
          <cell r="E524" t="str">
            <v>NIMAIMA</v>
          </cell>
          <cell r="F524" t="str">
            <v>25489</v>
          </cell>
          <cell r="G524" t="str">
            <v>25</v>
          </cell>
        </row>
        <row r="525">
          <cell r="E525" t="str">
            <v>NOCAIMA</v>
          </cell>
          <cell r="F525" t="str">
            <v>25491</v>
          </cell>
          <cell r="G525" t="str">
            <v>25</v>
          </cell>
        </row>
        <row r="526">
          <cell r="E526" t="str">
            <v>VENECIA (OSPINA PEREZ)</v>
          </cell>
          <cell r="F526" t="str">
            <v>25506</v>
          </cell>
          <cell r="G526" t="str">
            <v>25</v>
          </cell>
        </row>
        <row r="527">
          <cell r="E527" t="str">
            <v>PACHO</v>
          </cell>
          <cell r="F527" t="str">
            <v>25513</v>
          </cell>
          <cell r="G527" t="str">
            <v>25</v>
          </cell>
        </row>
        <row r="528">
          <cell r="E528" t="str">
            <v>PAIME</v>
          </cell>
          <cell r="F528" t="str">
            <v>25518</v>
          </cell>
          <cell r="G528" t="str">
            <v>25</v>
          </cell>
        </row>
        <row r="529">
          <cell r="E529" t="str">
            <v>PANDI</v>
          </cell>
          <cell r="F529" t="str">
            <v>25524</v>
          </cell>
          <cell r="G529" t="str">
            <v>25</v>
          </cell>
        </row>
        <row r="530">
          <cell r="E530" t="str">
            <v>PARATEBUENO</v>
          </cell>
          <cell r="F530" t="str">
            <v>25530</v>
          </cell>
          <cell r="G530" t="str">
            <v>25</v>
          </cell>
        </row>
        <row r="531">
          <cell r="E531" t="str">
            <v>PASCA</v>
          </cell>
          <cell r="F531" t="str">
            <v>25535</v>
          </cell>
          <cell r="G531" t="str">
            <v>25</v>
          </cell>
        </row>
        <row r="532">
          <cell r="E532" t="str">
            <v>PUERTO SALGAR</v>
          </cell>
          <cell r="F532" t="str">
            <v>25572</v>
          </cell>
          <cell r="G532" t="str">
            <v>25</v>
          </cell>
        </row>
        <row r="533">
          <cell r="E533" t="str">
            <v>PULI</v>
          </cell>
          <cell r="F533" t="str">
            <v>25580</v>
          </cell>
          <cell r="G533" t="str">
            <v>25</v>
          </cell>
        </row>
        <row r="534">
          <cell r="E534" t="str">
            <v>QUEBRADANEGRA</v>
          </cell>
          <cell r="F534" t="str">
            <v>25592</v>
          </cell>
          <cell r="G534" t="str">
            <v>25</v>
          </cell>
        </row>
        <row r="535">
          <cell r="E535" t="str">
            <v>QUETAME</v>
          </cell>
          <cell r="F535" t="str">
            <v>25594</v>
          </cell>
          <cell r="G535" t="str">
            <v>25</v>
          </cell>
        </row>
        <row r="536">
          <cell r="E536" t="str">
            <v>QUIPILE</v>
          </cell>
          <cell r="F536" t="str">
            <v>25596</v>
          </cell>
          <cell r="G536" t="str">
            <v>25</v>
          </cell>
        </row>
        <row r="537">
          <cell r="E537" t="str">
            <v>APULO</v>
          </cell>
          <cell r="F537" t="str">
            <v>25599</v>
          </cell>
          <cell r="G537" t="str">
            <v>25</v>
          </cell>
        </row>
        <row r="538">
          <cell r="E538" t="str">
            <v>RICAURTE</v>
          </cell>
          <cell r="F538" t="str">
            <v>25612</v>
          </cell>
          <cell r="G538" t="str">
            <v>25</v>
          </cell>
        </row>
        <row r="539">
          <cell r="E539" t="str">
            <v>SAN  ANTONIO DEL  TEQUENDAMA</v>
          </cell>
          <cell r="F539" t="str">
            <v>25645</v>
          </cell>
          <cell r="G539" t="str">
            <v>25</v>
          </cell>
        </row>
        <row r="540">
          <cell r="E540" t="str">
            <v>SAN BERNARDO</v>
          </cell>
          <cell r="F540" t="str">
            <v>25649</v>
          </cell>
          <cell r="G540" t="str">
            <v>25</v>
          </cell>
        </row>
        <row r="541">
          <cell r="E541" t="str">
            <v>SAN CAYETANO</v>
          </cell>
          <cell r="F541" t="str">
            <v>25653</v>
          </cell>
          <cell r="G541" t="str">
            <v>25</v>
          </cell>
        </row>
        <row r="542">
          <cell r="E542" t="str">
            <v>SAN FRANCISCO</v>
          </cell>
          <cell r="F542" t="str">
            <v>25658</v>
          </cell>
          <cell r="G542" t="str">
            <v>25</v>
          </cell>
        </row>
        <row r="543">
          <cell r="E543" t="str">
            <v>SAN JUAN DE RIOSECO</v>
          </cell>
          <cell r="F543" t="str">
            <v>25662</v>
          </cell>
          <cell r="G543" t="str">
            <v>25</v>
          </cell>
        </row>
        <row r="544">
          <cell r="E544" t="str">
            <v>SASAIMA</v>
          </cell>
          <cell r="F544" t="str">
            <v>25718</v>
          </cell>
          <cell r="G544" t="str">
            <v>25</v>
          </cell>
        </row>
        <row r="545">
          <cell r="E545" t="str">
            <v>SESQUILE</v>
          </cell>
          <cell r="F545" t="str">
            <v>25736</v>
          </cell>
          <cell r="G545" t="str">
            <v>25</v>
          </cell>
        </row>
        <row r="546">
          <cell r="E546" t="str">
            <v>SIBATE</v>
          </cell>
          <cell r="F546" t="str">
            <v>25740</v>
          </cell>
          <cell r="G546" t="str">
            <v>25</v>
          </cell>
        </row>
        <row r="547">
          <cell r="E547" t="str">
            <v>SILVANIA</v>
          </cell>
          <cell r="F547" t="str">
            <v>25743</v>
          </cell>
          <cell r="G547" t="str">
            <v>25</v>
          </cell>
        </row>
        <row r="548">
          <cell r="E548" t="str">
            <v>SIMIJACA</v>
          </cell>
          <cell r="F548" t="str">
            <v>25745</v>
          </cell>
          <cell r="G548" t="str">
            <v>25</v>
          </cell>
        </row>
        <row r="549">
          <cell r="E549" t="str">
            <v>SOACHA</v>
          </cell>
          <cell r="F549" t="str">
            <v>25754</v>
          </cell>
          <cell r="G549" t="str">
            <v>25</v>
          </cell>
        </row>
        <row r="550">
          <cell r="E550" t="str">
            <v>SOPO</v>
          </cell>
          <cell r="F550" t="str">
            <v>25758</v>
          </cell>
          <cell r="G550" t="str">
            <v>25</v>
          </cell>
        </row>
        <row r="551">
          <cell r="E551" t="str">
            <v>SUBACHOQUE</v>
          </cell>
          <cell r="F551" t="str">
            <v>25769</v>
          </cell>
          <cell r="G551" t="str">
            <v>25</v>
          </cell>
        </row>
        <row r="552">
          <cell r="E552" t="str">
            <v>SUESCA</v>
          </cell>
          <cell r="F552" t="str">
            <v>25772</v>
          </cell>
          <cell r="G552" t="str">
            <v>25</v>
          </cell>
        </row>
        <row r="553">
          <cell r="E553" t="str">
            <v>SUPATA</v>
          </cell>
          <cell r="F553" t="str">
            <v>25777</v>
          </cell>
          <cell r="G553" t="str">
            <v>25</v>
          </cell>
        </row>
        <row r="554">
          <cell r="E554" t="str">
            <v>SUSA</v>
          </cell>
          <cell r="F554" t="str">
            <v>25779</v>
          </cell>
          <cell r="G554" t="str">
            <v>25</v>
          </cell>
        </row>
        <row r="555">
          <cell r="E555" t="str">
            <v>SUTATAUSA</v>
          </cell>
          <cell r="F555" t="str">
            <v>25781</v>
          </cell>
          <cell r="G555" t="str">
            <v>25</v>
          </cell>
        </row>
        <row r="556">
          <cell r="E556" t="str">
            <v>TABIO</v>
          </cell>
          <cell r="F556" t="str">
            <v>25785</v>
          </cell>
          <cell r="G556" t="str">
            <v>25</v>
          </cell>
        </row>
        <row r="557">
          <cell r="E557" t="str">
            <v>TAUSA</v>
          </cell>
          <cell r="F557" t="str">
            <v>25793</v>
          </cell>
          <cell r="G557" t="str">
            <v>25</v>
          </cell>
        </row>
        <row r="558">
          <cell r="E558" t="str">
            <v>TENA</v>
          </cell>
          <cell r="F558" t="str">
            <v>25797</v>
          </cell>
          <cell r="G558" t="str">
            <v>25</v>
          </cell>
        </row>
        <row r="559">
          <cell r="E559" t="str">
            <v>TENJO</v>
          </cell>
          <cell r="F559" t="str">
            <v>25799</v>
          </cell>
          <cell r="G559" t="str">
            <v>25</v>
          </cell>
        </row>
        <row r="560">
          <cell r="E560" t="str">
            <v>TIBACUY</v>
          </cell>
          <cell r="F560" t="str">
            <v>25805</v>
          </cell>
          <cell r="G560" t="str">
            <v>25</v>
          </cell>
        </row>
        <row r="561">
          <cell r="E561" t="str">
            <v>TIBIRITA</v>
          </cell>
          <cell r="F561" t="str">
            <v>25807</v>
          </cell>
          <cell r="G561" t="str">
            <v>25</v>
          </cell>
        </row>
        <row r="562">
          <cell r="E562" t="str">
            <v>TOCAIMA</v>
          </cell>
          <cell r="F562" t="str">
            <v>25815</v>
          </cell>
          <cell r="G562" t="str">
            <v>25</v>
          </cell>
        </row>
        <row r="563">
          <cell r="E563" t="str">
            <v>TOCANCIPA</v>
          </cell>
          <cell r="F563" t="str">
            <v>25817</v>
          </cell>
          <cell r="G563" t="str">
            <v>25</v>
          </cell>
        </row>
        <row r="564">
          <cell r="E564" t="str">
            <v>TOPAIPI</v>
          </cell>
          <cell r="F564" t="str">
            <v>25823</v>
          </cell>
          <cell r="G564" t="str">
            <v>25</v>
          </cell>
        </row>
        <row r="565">
          <cell r="E565" t="str">
            <v>UBALA</v>
          </cell>
          <cell r="F565" t="str">
            <v>25839</v>
          </cell>
          <cell r="G565" t="str">
            <v>25</v>
          </cell>
        </row>
        <row r="566">
          <cell r="E566" t="str">
            <v>UBAQUE</v>
          </cell>
          <cell r="F566" t="str">
            <v>25841</v>
          </cell>
          <cell r="G566" t="str">
            <v>25</v>
          </cell>
        </row>
        <row r="567">
          <cell r="E567" t="str">
            <v>UBATE</v>
          </cell>
          <cell r="F567" t="str">
            <v>25843</v>
          </cell>
          <cell r="G567" t="str">
            <v>25</v>
          </cell>
        </row>
        <row r="568">
          <cell r="E568" t="str">
            <v>UNE</v>
          </cell>
          <cell r="F568" t="str">
            <v>25845</v>
          </cell>
          <cell r="G568" t="str">
            <v>25</v>
          </cell>
        </row>
        <row r="569">
          <cell r="E569" t="str">
            <v>UTICA</v>
          </cell>
          <cell r="F569" t="str">
            <v>25851</v>
          </cell>
          <cell r="G569" t="str">
            <v>25</v>
          </cell>
        </row>
        <row r="570">
          <cell r="E570" t="str">
            <v>VERGARA</v>
          </cell>
          <cell r="F570" t="str">
            <v>25862</v>
          </cell>
          <cell r="G570" t="str">
            <v>25</v>
          </cell>
        </row>
        <row r="571">
          <cell r="E571" t="str">
            <v>VIANI</v>
          </cell>
          <cell r="F571" t="str">
            <v>25867</v>
          </cell>
          <cell r="G571" t="str">
            <v>25</v>
          </cell>
        </row>
        <row r="572">
          <cell r="E572" t="str">
            <v>VILLAGOMEZ</v>
          </cell>
          <cell r="F572" t="str">
            <v>25871</v>
          </cell>
          <cell r="G572" t="str">
            <v>25</v>
          </cell>
        </row>
        <row r="573">
          <cell r="E573" t="str">
            <v>VILLAPINZON</v>
          </cell>
          <cell r="F573" t="str">
            <v>25873</v>
          </cell>
          <cell r="G573" t="str">
            <v>25</v>
          </cell>
        </row>
        <row r="574">
          <cell r="E574" t="str">
            <v>VILLETA</v>
          </cell>
          <cell r="F574" t="str">
            <v>25875</v>
          </cell>
          <cell r="G574" t="str">
            <v>25</v>
          </cell>
        </row>
        <row r="575">
          <cell r="E575" t="str">
            <v>VIOTA</v>
          </cell>
          <cell r="F575" t="str">
            <v>25878</v>
          </cell>
          <cell r="G575" t="str">
            <v>25</v>
          </cell>
        </row>
        <row r="576">
          <cell r="E576" t="str">
            <v>YACOPI</v>
          </cell>
          <cell r="F576" t="str">
            <v>25885</v>
          </cell>
          <cell r="G576" t="str">
            <v>25</v>
          </cell>
        </row>
        <row r="577">
          <cell r="E577" t="str">
            <v>ZIPACON</v>
          </cell>
          <cell r="F577" t="str">
            <v>25898</v>
          </cell>
          <cell r="G577" t="str">
            <v>25</v>
          </cell>
        </row>
        <row r="578">
          <cell r="E578" t="str">
            <v>ZIPAQUIRA</v>
          </cell>
          <cell r="F578" t="str">
            <v>25899</v>
          </cell>
          <cell r="G578" t="str">
            <v>25</v>
          </cell>
        </row>
        <row r="579">
          <cell r="E579" t="str">
            <v>QUIBDO</v>
          </cell>
          <cell r="F579" t="str">
            <v>27001</v>
          </cell>
          <cell r="G579" t="str">
            <v>27</v>
          </cell>
        </row>
        <row r="580">
          <cell r="E580" t="str">
            <v>ACANDI</v>
          </cell>
          <cell r="F580" t="str">
            <v>27006</v>
          </cell>
          <cell r="G580" t="str">
            <v>27</v>
          </cell>
        </row>
        <row r="581">
          <cell r="E581" t="str">
            <v>ALTO BAUDO</v>
          </cell>
          <cell r="F581" t="str">
            <v>27025</v>
          </cell>
          <cell r="G581" t="str">
            <v>27</v>
          </cell>
        </row>
        <row r="582">
          <cell r="E582" t="str">
            <v>ATRATO</v>
          </cell>
          <cell r="F582" t="str">
            <v>27050</v>
          </cell>
          <cell r="G582" t="str">
            <v>27</v>
          </cell>
        </row>
        <row r="583">
          <cell r="E583" t="str">
            <v>BAGADO</v>
          </cell>
          <cell r="F583" t="str">
            <v>27073</v>
          </cell>
          <cell r="G583" t="str">
            <v>27</v>
          </cell>
        </row>
        <row r="584">
          <cell r="E584" t="str">
            <v>BAHIA SOLANO (MUTIS)</v>
          </cell>
          <cell r="F584" t="str">
            <v>27075</v>
          </cell>
          <cell r="G584" t="str">
            <v>27</v>
          </cell>
        </row>
        <row r="585">
          <cell r="E585" t="str">
            <v>BAJO BAUDO (PIZARRO)</v>
          </cell>
          <cell r="F585" t="str">
            <v>27077</v>
          </cell>
          <cell r="G585" t="str">
            <v>27</v>
          </cell>
        </row>
        <row r="586">
          <cell r="E586" t="str">
            <v>BOJAYA (BELLAVISTA)</v>
          </cell>
          <cell r="F586" t="str">
            <v>27099</v>
          </cell>
          <cell r="G586" t="str">
            <v>27</v>
          </cell>
        </row>
        <row r="587">
          <cell r="E587" t="str">
            <v>CANTON DE SAN PABLO</v>
          </cell>
          <cell r="F587" t="str">
            <v>27135</v>
          </cell>
          <cell r="G587" t="str">
            <v>27</v>
          </cell>
        </row>
        <row r="588">
          <cell r="E588" t="str">
            <v>CARMEN DEL DARIEN</v>
          </cell>
          <cell r="F588" t="str">
            <v>27150</v>
          </cell>
          <cell r="G588" t="str">
            <v>27</v>
          </cell>
        </row>
        <row r="589">
          <cell r="E589" t="str">
            <v>CERTEGUI</v>
          </cell>
          <cell r="F589" t="str">
            <v>27160</v>
          </cell>
          <cell r="G589" t="str">
            <v>27</v>
          </cell>
        </row>
        <row r="590">
          <cell r="E590" t="str">
            <v>CONDOTO</v>
          </cell>
          <cell r="F590" t="str">
            <v>27205</v>
          </cell>
          <cell r="G590" t="str">
            <v>27</v>
          </cell>
        </row>
        <row r="591">
          <cell r="E591" t="str">
            <v>EL CARMEN</v>
          </cell>
          <cell r="F591" t="str">
            <v>27245</v>
          </cell>
          <cell r="G591" t="str">
            <v>27</v>
          </cell>
        </row>
        <row r="592">
          <cell r="E592" t="str">
            <v>LITORAL DEL SAN JUAN</v>
          </cell>
          <cell r="F592" t="str">
            <v>27250</v>
          </cell>
          <cell r="G592" t="str">
            <v>27</v>
          </cell>
        </row>
        <row r="593">
          <cell r="E593" t="str">
            <v>ITSMINA</v>
          </cell>
          <cell r="F593" t="str">
            <v>27361</v>
          </cell>
          <cell r="G593" t="str">
            <v>27</v>
          </cell>
        </row>
        <row r="594">
          <cell r="E594" t="str">
            <v>JURADO</v>
          </cell>
          <cell r="F594" t="str">
            <v>27372</v>
          </cell>
          <cell r="G594" t="str">
            <v>27</v>
          </cell>
        </row>
        <row r="595">
          <cell r="E595" t="str">
            <v>LLORO</v>
          </cell>
          <cell r="F595" t="str">
            <v>27413</v>
          </cell>
          <cell r="G595" t="str">
            <v>27</v>
          </cell>
        </row>
        <row r="596">
          <cell r="E596" t="str">
            <v>MEDIO ATRATO</v>
          </cell>
          <cell r="F596" t="str">
            <v>27425</v>
          </cell>
          <cell r="G596" t="str">
            <v>27</v>
          </cell>
        </row>
        <row r="597">
          <cell r="E597" t="str">
            <v>MEDIO BAUDO</v>
          </cell>
          <cell r="F597" t="str">
            <v>27430</v>
          </cell>
          <cell r="G597" t="str">
            <v>27</v>
          </cell>
        </row>
        <row r="598">
          <cell r="E598" t="str">
            <v>MEDIO SAN JUAN</v>
          </cell>
          <cell r="F598" t="str">
            <v>27450</v>
          </cell>
          <cell r="G598" t="str">
            <v>27</v>
          </cell>
        </row>
        <row r="599">
          <cell r="E599" t="str">
            <v>NOVITA</v>
          </cell>
          <cell r="F599" t="str">
            <v>27491</v>
          </cell>
          <cell r="G599" t="str">
            <v>27</v>
          </cell>
        </row>
        <row r="600">
          <cell r="E600" t="str">
            <v>NUQUI</v>
          </cell>
          <cell r="F600" t="str">
            <v>27495</v>
          </cell>
          <cell r="G600" t="str">
            <v>27</v>
          </cell>
        </row>
        <row r="601">
          <cell r="E601" t="str">
            <v>RIO IRO</v>
          </cell>
          <cell r="F601" t="str">
            <v>27580</v>
          </cell>
          <cell r="G601" t="str">
            <v>27</v>
          </cell>
        </row>
        <row r="602">
          <cell r="E602" t="str">
            <v>RIO QUITO</v>
          </cell>
          <cell r="F602" t="str">
            <v>27600</v>
          </cell>
          <cell r="G602" t="str">
            <v>27</v>
          </cell>
        </row>
        <row r="603">
          <cell r="E603" t="str">
            <v>RIOSUCIO</v>
          </cell>
          <cell r="F603" t="str">
            <v>27615</v>
          </cell>
          <cell r="G603" t="str">
            <v>27</v>
          </cell>
        </row>
        <row r="604">
          <cell r="E604" t="str">
            <v>SAN JOSE DEL PALMAR</v>
          </cell>
          <cell r="F604" t="str">
            <v>27660</v>
          </cell>
          <cell r="G604" t="str">
            <v>27</v>
          </cell>
        </row>
        <row r="605">
          <cell r="E605" t="str">
            <v>SIPI</v>
          </cell>
          <cell r="F605" t="str">
            <v>27745</v>
          </cell>
          <cell r="G605" t="str">
            <v>27</v>
          </cell>
        </row>
        <row r="606">
          <cell r="E606" t="str">
            <v>TADO</v>
          </cell>
          <cell r="F606" t="str">
            <v>27787</v>
          </cell>
          <cell r="G606" t="str">
            <v>27</v>
          </cell>
        </row>
        <row r="607">
          <cell r="E607" t="str">
            <v>UNGUIA</v>
          </cell>
          <cell r="F607" t="str">
            <v>27800</v>
          </cell>
          <cell r="G607" t="str">
            <v>27</v>
          </cell>
        </row>
        <row r="608">
          <cell r="E608" t="str">
            <v>UNION PANAMERICANA</v>
          </cell>
          <cell r="F608" t="str">
            <v>27810</v>
          </cell>
          <cell r="G608" t="str">
            <v>27</v>
          </cell>
        </row>
        <row r="609">
          <cell r="E609" t="str">
            <v>NEIVA</v>
          </cell>
          <cell r="F609" t="str">
            <v>41001</v>
          </cell>
          <cell r="G609" t="str">
            <v>41</v>
          </cell>
        </row>
        <row r="610">
          <cell r="E610" t="str">
            <v>ACEVEDO</v>
          </cell>
          <cell r="F610" t="str">
            <v>41006</v>
          </cell>
          <cell r="G610" t="str">
            <v>41</v>
          </cell>
        </row>
        <row r="611">
          <cell r="E611" t="str">
            <v>AGRADO</v>
          </cell>
          <cell r="F611" t="str">
            <v>41013</v>
          </cell>
          <cell r="G611" t="str">
            <v>41</v>
          </cell>
        </row>
        <row r="612">
          <cell r="E612" t="str">
            <v>AIPE</v>
          </cell>
          <cell r="F612" t="str">
            <v>41016</v>
          </cell>
          <cell r="G612" t="str">
            <v>41</v>
          </cell>
        </row>
        <row r="613">
          <cell r="E613" t="str">
            <v>ALGECIRAS</v>
          </cell>
          <cell r="F613" t="str">
            <v>41020</v>
          </cell>
          <cell r="G613" t="str">
            <v>41</v>
          </cell>
        </row>
        <row r="614">
          <cell r="E614" t="str">
            <v>ALTAMIRA</v>
          </cell>
          <cell r="F614" t="str">
            <v>41026</v>
          </cell>
          <cell r="G614" t="str">
            <v>41</v>
          </cell>
        </row>
        <row r="615">
          <cell r="E615" t="str">
            <v>BARAYA</v>
          </cell>
          <cell r="F615" t="str">
            <v>41078</v>
          </cell>
          <cell r="G615" t="str">
            <v>41</v>
          </cell>
        </row>
        <row r="616">
          <cell r="E616" t="str">
            <v>CAMPOALEGRE</v>
          </cell>
          <cell r="F616" t="str">
            <v>41132</v>
          </cell>
          <cell r="G616" t="str">
            <v>41</v>
          </cell>
        </row>
        <row r="617">
          <cell r="E617" t="str">
            <v>COLOMBIA</v>
          </cell>
          <cell r="F617" t="str">
            <v>41206</v>
          </cell>
          <cell r="G617" t="str">
            <v>41</v>
          </cell>
        </row>
        <row r="618">
          <cell r="E618" t="str">
            <v>ELIAS</v>
          </cell>
          <cell r="F618" t="str">
            <v>41244</v>
          </cell>
          <cell r="G618" t="str">
            <v>41</v>
          </cell>
        </row>
        <row r="619">
          <cell r="E619" t="str">
            <v>GARZON</v>
          </cell>
          <cell r="F619" t="str">
            <v>41298</v>
          </cell>
          <cell r="G619" t="str">
            <v>41</v>
          </cell>
        </row>
        <row r="620">
          <cell r="E620" t="str">
            <v>GIGANTE</v>
          </cell>
          <cell r="F620" t="str">
            <v>41306</v>
          </cell>
          <cell r="G620" t="str">
            <v>41</v>
          </cell>
        </row>
        <row r="621">
          <cell r="E621" t="str">
            <v>GUADALUPE</v>
          </cell>
          <cell r="F621" t="str">
            <v>41319</v>
          </cell>
          <cell r="G621" t="str">
            <v>41</v>
          </cell>
        </row>
        <row r="622">
          <cell r="E622" t="str">
            <v>HOBO</v>
          </cell>
          <cell r="F622" t="str">
            <v>41349</v>
          </cell>
          <cell r="G622" t="str">
            <v>41</v>
          </cell>
        </row>
        <row r="623">
          <cell r="E623" t="str">
            <v>IQUIRA</v>
          </cell>
          <cell r="F623" t="str">
            <v>41357</v>
          </cell>
          <cell r="G623" t="str">
            <v>41</v>
          </cell>
        </row>
        <row r="624">
          <cell r="E624" t="str">
            <v>ISNOS</v>
          </cell>
          <cell r="F624" t="str">
            <v>41359</v>
          </cell>
          <cell r="G624" t="str">
            <v>41</v>
          </cell>
        </row>
        <row r="625">
          <cell r="E625" t="str">
            <v>LA ARGENTINA</v>
          </cell>
          <cell r="F625" t="str">
            <v>41378</v>
          </cell>
          <cell r="G625" t="str">
            <v>41</v>
          </cell>
        </row>
        <row r="626">
          <cell r="E626" t="str">
            <v>LA PLATA</v>
          </cell>
          <cell r="F626" t="str">
            <v>41396</v>
          </cell>
          <cell r="G626" t="str">
            <v>41</v>
          </cell>
        </row>
        <row r="627">
          <cell r="E627" t="str">
            <v>NATAGA</v>
          </cell>
          <cell r="F627" t="str">
            <v>41483</v>
          </cell>
          <cell r="G627" t="str">
            <v>41</v>
          </cell>
        </row>
        <row r="628">
          <cell r="E628" t="str">
            <v>OPORAPA</v>
          </cell>
          <cell r="F628" t="str">
            <v>41503</v>
          </cell>
          <cell r="G628" t="str">
            <v>41</v>
          </cell>
        </row>
        <row r="629">
          <cell r="E629" t="str">
            <v>PAICOL</v>
          </cell>
          <cell r="F629" t="str">
            <v>41518</v>
          </cell>
          <cell r="G629" t="str">
            <v>41</v>
          </cell>
        </row>
        <row r="630">
          <cell r="E630" t="str">
            <v>PALERMO</v>
          </cell>
          <cell r="F630" t="str">
            <v>41524</v>
          </cell>
          <cell r="G630" t="str">
            <v>41</v>
          </cell>
        </row>
        <row r="631">
          <cell r="E631" t="str">
            <v>PALESTINA</v>
          </cell>
          <cell r="F631" t="str">
            <v>41530</v>
          </cell>
          <cell r="G631" t="str">
            <v>41</v>
          </cell>
        </row>
        <row r="632">
          <cell r="E632" t="str">
            <v>PITAL</v>
          </cell>
          <cell r="F632" t="str">
            <v>41548</v>
          </cell>
          <cell r="G632" t="str">
            <v>41</v>
          </cell>
        </row>
        <row r="633">
          <cell r="E633" t="str">
            <v>PITALITO</v>
          </cell>
          <cell r="F633" t="str">
            <v>41551</v>
          </cell>
          <cell r="G633" t="str">
            <v>41</v>
          </cell>
        </row>
        <row r="634">
          <cell r="E634" t="str">
            <v>RIVERA</v>
          </cell>
          <cell r="F634" t="str">
            <v>41615</v>
          </cell>
          <cell r="G634" t="str">
            <v>41</v>
          </cell>
        </row>
        <row r="635">
          <cell r="E635" t="str">
            <v>SALADOBLANCO</v>
          </cell>
          <cell r="F635" t="str">
            <v>41660</v>
          </cell>
          <cell r="G635" t="str">
            <v>41</v>
          </cell>
        </row>
        <row r="636">
          <cell r="E636" t="str">
            <v>SAN AGUSTIN</v>
          </cell>
          <cell r="F636" t="str">
            <v>41668</v>
          </cell>
          <cell r="G636" t="str">
            <v>41</v>
          </cell>
        </row>
        <row r="637">
          <cell r="E637" t="str">
            <v>SANTA MARIA</v>
          </cell>
          <cell r="F637" t="str">
            <v>41676</v>
          </cell>
          <cell r="G637" t="str">
            <v>41</v>
          </cell>
        </row>
        <row r="638">
          <cell r="E638" t="str">
            <v>SUAZA</v>
          </cell>
          <cell r="F638" t="str">
            <v>41770</v>
          </cell>
          <cell r="G638" t="str">
            <v>41</v>
          </cell>
        </row>
        <row r="639">
          <cell r="E639" t="str">
            <v>TARQUI</v>
          </cell>
          <cell r="F639" t="str">
            <v>41791</v>
          </cell>
          <cell r="G639" t="str">
            <v>41</v>
          </cell>
        </row>
        <row r="640">
          <cell r="E640" t="str">
            <v>TESALIA</v>
          </cell>
          <cell r="F640" t="str">
            <v>41797</v>
          </cell>
          <cell r="G640" t="str">
            <v>41</v>
          </cell>
        </row>
        <row r="641">
          <cell r="E641" t="str">
            <v>TELLO</v>
          </cell>
          <cell r="F641" t="str">
            <v>41799</v>
          </cell>
          <cell r="G641" t="str">
            <v>41</v>
          </cell>
        </row>
        <row r="642">
          <cell r="E642" t="str">
            <v>TERUEL</v>
          </cell>
          <cell r="F642" t="str">
            <v>41801</v>
          </cell>
          <cell r="G642" t="str">
            <v>41</v>
          </cell>
        </row>
        <row r="643">
          <cell r="E643" t="str">
            <v>TIMANA</v>
          </cell>
          <cell r="F643" t="str">
            <v>41807</v>
          </cell>
          <cell r="G643" t="str">
            <v>41</v>
          </cell>
        </row>
        <row r="644">
          <cell r="E644" t="str">
            <v>VILLAVIEJA</v>
          </cell>
          <cell r="F644" t="str">
            <v>41872</v>
          </cell>
          <cell r="G644" t="str">
            <v>41</v>
          </cell>
        </row>
        <row r="645">
          <cell r="E645" t="str">
            <v>YAGUARA</v>
          </cell>
          <cell r="F645" t="str">
            <v>41885</v>
          </cell>
          <cell r="G645" t="str">
            <v>41</v>
          </cell>
        </row>
        <row r="646">
          <cell r="E646" t="str">
            <v>RIOHACHA</v>
          </cell>
          <cell r="F646" t="str">
            <v>44001</v>
          </cell>
          <cell r="G646" t="str">
            <v>44</v>
          </cell>
        </row>
        <row r="647">
          <cell r="E647" t="str">
            <v>ALBANIA</v>
          </cell>
          <cell r="F647" t="str">
            <v>44035</v>
          </cell>
          <cell r="G647" t="str">
            <v>44</v>
          </cell>
        </row>
        <row r="648">
          <cell r="E648" t="str">
            <v>BARRANCAS</v>
          </cell>
          <cell r="F648" t="str">
            <v>44078</v>
          </cell>
          <cell r="G648" t="str">
            <v>44</v>
          </cell>
        </row>
        <row r="649">
          <cell r="E649" t="str">
            <v>DIBULLA</v>
          </cell>
          <cell r="F649" t="str">
            <v>44090</v>
          </cell>
          <cell r="G649" t="str">
            <v>44</v>
          </cell>
        </row>
        <row r="650">
          <cell r="E650" t="str">
            <v>DISTRACCION</v>
          </cell>
          <cell r="F650" t="str">
            <v>44098</v>
          </cell>
          <cell r="G650" t="str">
            <v>44</v>
          </cell>
        </row>
        <row r="651">
          <cell r="E651" t="str">
            <v>EL MOLINO</v>
          </cell>
          <cell r="F651" t="str">
            <v>44110</v>
          </cell>
          <cell r="G651" t="str">
            <v>44</v>
          </cell>
        </row>
        <row r="652">
          <cell r="E652" t="str">
            <v>FONSECA</v>
          </cell>
          <cell r="F652" t="str">
            <v>44279</v>
          </cell>
          <cell r="G652" t="str">
            <v>44</v>
          </cell>
        </row>
        <row r="653">
          <cell r="E653" t="str">
            <v>HATO NUEVO</v>
          </cell>
          <cell r="F653" t="str">
            <v>44378</v>
          </cell>
          <cell r="G653" t="str">
            <v>44</v>
          </cell>
        </row>
        <row r="654">
          <cell r="E654" t="str">
            <v>LA JAGUA DEL PILAR</v>
          </cell>
          <cell r="F654" t="str">
            <v>44420</v>
          </cell>
          <cell r="G654" t="str">
            <v>44</v>
          </cell>
        </row>
        <row r="655">
          <cell r="E655" t="str">
            <v>MAICAO</v>
          </cell>
          <cell r="F655" t="str">
            <v>44430</v>
          </cell>
          <cell r="G655" t="str">
            <v>44</v>
          </cell>
        </row>
        <row r="656">
          <cell r="E656" t="str">
            <v>MANAURE</v>
          </cell>
          <cell r="F656" t="str">
            <v>44560</v>
          </cell>
          <cell r="G656" t="str">
            <v>44</v>
          </cell>
        </row>
        <row r="657">
          <cell r="E657" t="str">
            <v>SAN JUAN DEL CESAR</v>
          </cell>
          <cell r="F657" t="str">
            <v>44650</v>
          </cell>
          <cell r="G657" t="str">
            <v>44</v>
          </cell>
        </row>
        <row r="658">
          <cell r="E658" t="str">
            <v>URIBIA</v>
          </cell>
          <cell r="F658" t="str">
            <v>44847</v>
          </cell>
          <cell r="G658" t="str">
            <v>44</v>
          </cell>
        </row>
        <row r="659">
          <cell r="E659" t="str">
            <v>URUMITA</v>
          </cell>
          <cell r="F659" t="str">
            <v>44855</v>
          </cell>
          <cell r="G659" t="str">
            <v>44</v>
          </cell>
        </row>
        <row r="660">
          <cell r="E660" t="str">
            <v>VILLANUEVA</v>
          </cell>
          <cell r="F660" t="str">
            <v>44874</v>
          </cell>
          <cell r="G660" t="str">
            <v>44</v>
          </cell>
        </row>
        <row r="661">
          <cell r="E661" t="str">
            <v>SANTA MARTA</v>
          </cell>
          <cell r="F661" t="str">
            <v>47001</v>
          </cell>
          <cell r="G661" t="str">
            <v>47</v>
          </cell>
        </row>
        <row r="662">
          <cell r="E662" t="str">
            <v>ALGARROBO</v>
          </cell>
          <cell r="F662" t="str">
            <v>47030</v>
          </cell>
          <cell r="G662" t="str">
            <v>47</v>
          </cell>
        </row>
        <row r="663">
          <cell r="E663" t="str">
            <v>ARACATACA</v>
          </cell>
          <cell r="F663" t="str">
            <v>47053</v>
          </cell>
          <cell r="G663" t="str">
            <v>47</v>
          </cell>
        </row>
        <row r="664">
          <cell r="E664" t="str">
            <v>ARIGUANI</v>
          </cell>
          <cell r="F664" t="str">
            <v>47058</v>
          </cell>
          <cell r="G664" t="str">
            <v>47</v>
          </cell>
        </row>
        <row r="665">
          <cell r="E665" t="str">
            <v>CERRO SAN ANTONIO</v>
          </cell>
          <cell r="F665" t="str">
            <v>47161</v>
          </cell>
          <cell r="G665" t="str">
            <v>47</v>
          </cell>
        </row>
        <row r="666">
          <cell r="E666" t="str">
            <v>CHIVOLO</v>
          </cell>
          <cell r="F666" t="str">
            <v>47170</v>
          </cell>
          <cell r="G666" t="str">
            <v>47</v>
          </cell>
        </row>
        <row r="667">
          <cell r="E667" t="str">
            <v>CIENAGA</v>
          </cell>
          <cell r="F667" t="str">
            <v>47189</v>
          </cell>
          <cell r="G667" t="str">
            <v>47</v>
          </cell>
        </row>
        <row r="668">
          <cell r="E668" t="str">
            <v>CONCORDIA</v>
          </cell>
          <cell r="F668" t="str">
            <v>47205</v>
          </cell>
          <cell r="G668" t="str">
            <v>47</v>
          </cell>
        </row>
        <row r="669">
          <cell r="E669" t="str">
            <v>EL BANCO</v>
          </cell>
          <cell r="F669" t="str">
            <v>47245</v>
          </cell>
          <cell r="G669" t="str">
            <v>47</v>
          </cell>
        </row>
        <row r="670">
          <cell r="E670" t="str">
            <v>EL PIÑON</v>
          </cell>
          <cell r="F670" t="str">
            <v>47258</v>
          </cell>
          <cell r="G670" t="str">
            <v>47</v>
          </cell>
        </row>
        <row r="671">
          <cell r="E671" t="str">
            <v>EL RETEN</v>
          </cell>
          <cell r="F671" t="str">
            <v>47268</v>
          </cell>
          <cell r="G671" t="str">
            <v>47</v>
          </cell>
        </row>
        <row r="672">
          <cell r="E672" t="str">
            <v>FUNDACION</v>
          </cell>
          <cell r="F672" t="str">
            <v>47288</v>
          </cell>
          <cell r="G672" t="str">
            <v>47</v>
          </cell>
        </row>
        <row r="673">
          <cell r="E673" t="str">
            <v>GUAMAL</v>
          </cell>
          <cell r="F673" t="str">
            <v>47318</v>
          </cell>
          <cell r="G673" t="str">
            <v>47</v>
          </cell>
        </row>
        <row r="674">
          <cell r="E674" t="str">
            <v>NUEVA GRANADA</v>
          </cell>
          <cell r="F674" t="str">
            <v>47460</v>
          </cell>
          <cell r="G674" t="str">
            <v>47</v>
          </cell>
        </row>
        <row r="675">
          <cell r="E675" t="str">
            <v>PEDRAZA</v>
          </cell>
          <cell r="F675" t="str">
            <v>47541</v>
          </cell>
          <cell r="G675" t="str">
            <v>47</v>
          </cell>
        </row>
        <row r="676">
          <cell r="E676" t="str">
            <v>PIJIÑO DEL CARMEN</v>
          </cell>
          <cell r="F676" t="str">
            <v>47545</v>
          </cell>
          <cell r="G676" t="str">
            <v>47</v>
          </cell>
        </row>
        <row r="677">
          <cell r="E677" t="str">
            <v>PIVIJAY</v>
          </cell>
          <cell r="F677" t="str">
            <v>47551</v>
          </cell>
          <cell r="G677" t="str">
            <v>47</v>
          </cell>
        </row>
        <row r="678">
          <cell r="E678" t="str">
            <v>PLATO</v>
          </cell>
          <cell r="F678" t="str">
            <v>47555</v>
          </cell>
          <cell r="G678" t="str">
            <v>47</v>
          </cell>
        </row>
        <row r="679">
          <cell r="E679" t="str">
            <v>PUEBLOVIEJO</v>
          </cell>
          <cell r="F679" t="str">
            <v>47570</v>
          </cell>
          <cell r="G679" t="str">
            <v>47</v>
          </cell>
        </row>
        <row r="680">
          <cell r="E680" t="str">
            <v>REMOLINO</v>
          </cell>
          <cell r="F680" t="str">
            <v>47605</v>
          </cell>
          <cell r="G680" t="str">
            <v>47</v>
          </cell>
        </row>
        <row r="681">
          <cell r="E681" t="str">
            <v>SABANAS DE SAN ANGEL</v>
          </cell>
          <cell r="F681" t="str">
            <v>47660</v>
          </cell>
          <cell r="G681" t="str">
            <v>47</v>
          </cell>
        </row>
        <row r="682">
          <cell r="E682" t="str">
            <v>SALAMINA</v>
          </cell>
          <cell r="F682" t="str">
            <v>47675</v>
          </cell>
          <cell r="G682" t="str">
            <v>47</v>
          </cell>
        </row>
        <row r="683">
          <cell r="E683" t="str">
            <v>SAN SEBASTIAN DE BUENAVISTA</v>
          </cell>
          <cell r="F683" t="str">
            <v>47692</v>
          </cell>
          <cell r="G683" t="str">
            <v>47</v>
          </cell>
        </row>
        <row r="684">
          <cell r="E684" t="str">
            <v>SAN ZENON</v>
          </cell>
          <cell r="F684" t="str">
            <v>47703</v>
          </cell>
          <cell r="G684" t="str">
            <v>47</v>
          </cell>
        </row>
        <row r="685">
          <cell r="E685" t="str">
            <v>SANTA ANA</v>
          </cell>
          <cell r="F685" t="str">
            <v>47707</v>
          </cell>
          <cell r="G685" t="str">
            <v>47</v>
          </cell>
        </row>
        <row r="686">
          <cell r="E686" t="str">
            <v>SANTA BARBARA DE PINTO</v>
          </cell>
          <cell r="F686" t="str">
            <v>47720</v>
          </cell>
          <cell r="G686" t="str">
            <v>47</v>
          </cell>
        </row>
        <row r="687">
          <cell r="E687" t="str">
            <v>SITIONUEVO</v>
          </cell>
          <cell r="F687" t="str">
            <v>47745</v>
          </cell>
          <cell r="G687" t="str">
            <v>47</v>
          </cell>
        </row>
        <row r="688">
          <cell r="E688" t="str">
            <v>TENERIFE</v>
          </cell>
          <cell r="F688" t="str">
            <v>47798</v>
          </cell>
          <cell r="G688" t="str">
            <v>47</v>
          </cell>
        </row>
        <row r="689">
          <cell r="E689" t="str">
            <v>ZAPAYAN</v>
          </cell>
          <cell r="F689" t="str">
            <v>47960</v>
          </cell>
          <cell r="G689" t="str">
            <v>47</v>
          </cell>
        </row>
        <row r="690">
          <cell r="E690" t="str">
            <v>ZONA BANANERA</v>
          </cell>
          <cell r="F690" t="str">
            <v>47980</v>
          </cell>
          <cell r="G690" t="str">
            <v>47</v>
          </cell>
        </row>
        <row r="691">
          <cell r="E691" t="str">
            <v>VILLAVICENCIO</v>
          </cell>
          <cell r="F691" t="str">
            <v>50001</v>
          </cell>
          <cell r="G691" t="str">
            <v>50</v>
          </cell>
        </row>
        <row r="692">
          <cell r="E692" t="str">
            <v>ACACIAS</v>
          </cell>
          <cell r="F692" t="str">
            <v>50006</v>
          </cell>
          <cell r="G692" t="str">
            <v>50</v>
          </cell>
        </row>
        <row r="693">
          <cell r="E693" t="str">
            <v>BARRANCA DE UPIA</v>
          </cell>
          <cell r="F693" t="str">
            <v>50110</v>
          </cell>
          <cell r="G693" t="str">
            <v>50</v>
          </cell>
        </row>
        <row r="694">
          <cell r="E694" t="str">
            <v>CABUYARO</v>
          </cell>
          <cell r="F694" t="str">
            <v>50124</v>
          </cell>
          <cell r="G694" t="str">
            <v>50</v>
          </cell>
        </row>
        <row r="695">
          <cell r="E695" t="str">
            <v>CASTILLA LA NUEVA</v>
          </cell>
          <cell r="F695" t="str">
            <v>50150</v>
          </cell>
          <cell r="G695" t="str">
            <v>50</v>
          </cell>
        </row>
        <row r="696">
          <cell r="E696" t="str">
            <v>CUBARRAL</v>
          </cell>
          <cell r="F696" t="str">
            <v>50223</v>
          </cell>
          <cell r="G696" t="str">
            <v>50</v>
          </cell>
        </row>
        <row r="697">
          <cell r="E697" t="str">
            <v>CUMARAL</v>
          </cell>
          <cell r="F697" t="str">
            <v>50226</v>
          </cell>
          <cell r="G697" t="str">
            <v>50</v>
          </cell>
        </row>
        <row r="698">
          <cell r="E698" t="str">
            <v>EL CALVARIO</v>
          </cell>
          <cell r="F698" t="str">
            <v>50245</v>
          </cell>
          <cell r="G698" t="str">
            <v>50</v>
          </cell>
        </row>
        <row r="699">
          <cell r="E699" t="str">
            <v>EL CASTILLO</v>
          </cell>
          <cell r="F699" t="str">
            <v>50251</v>
          </cell>
          <cell r="G699" t="str">
            <v>50</v>
          </cell>
        </row>
        <row r="700">
          <cell r="E700" t="str">
            <v>EL DORADO</v>
          </cell>
          <cell r="F700" t="str">
            <v>50270</v>
          </cell>
          <cell r="G700" t="str">
            <v>50</v>
          </cell>
        </row>
        <row r="701">
          <cell r="E701" t="str">
            <v>FUENTE DE ORO</v>
          </cell>
          <cell r="F701" t="str">
            <v>50287</v>
          </cell>
          <cell r="G701" t="str">
            <v>50</v>
          </cell>
        </row>
        <row r="702">
          <cell r="E702" t="str">
            <v>GRANADA</v>
          </cell>
          <cell r="F702" t="str">
            <v>50313</v>
          </cell>
          <cell r="G702" t="str">
            <v>50</v>
          </cell>
        </row>
        <row r="703">
          <cell r="E703" t="str">
            <v>GUAMAL</v>
          </cell>
          <cell r="F703" t="str">
            <v>50318</v>
          </cell>
          <cell r="G703" t="str">
            <v>50</v>
          </cell>
        </row>
        <row r="704">
          <cell r="E704" t="str">
            <v>MAPIRIPAN</v>
          </cell>
          <cell r="F704" t="str">
            <v>50325</v>
          </cell>
          <cell r="G704" t="str">
            <v>50</v>
          </cell>
        </row>
        <row r="705">
          <cell r="E705" t="str">
            <v>MESETAS</v>
          </cell>
          <cell r="F705" t="str">
            <v>50330</v>
          </cell>
          <cell r="G705" t="str">
            <v>50</v>
          </cell>
        </row>
        <row r="706">
          <cell r="E706" t="str">
            <v>LA MACARENA</v>
          </cell>
          <cell r="F706" t="str">
            <v>50350</v>
          </cell>
          <cell r="G706" t="str">
            <v>50</v>
          </cell>
        </row>
        <row r="707">
          <cell r="E707" t="str">
            <v>LA URIBE</v>
          </cell>
          <cell r="F707" t="str">
            <v>50370</v>
          </cell>
          <cell r="G707" t="str">
            <v>50</v>
          </cell>
        </row>
        <row r="708">
          <cell r="E708" t="str">
            <v>LEJANIAS</v>
          </cell>
          <cell r="F708" t="str">
            <v>50400</v>
          </cell>
          <cell r="G708" t="str">
            <v>50</v>
          </cell>
        </row>
        <row r="709">
          <cell r="E709" t="str">
            <v>PUERTO CONCORDIA</v>
          </cell>
          <cell r="F709" t="str">
            <v>50450</v>
          </cell>
          <cell r="G709" t="str">
            <v>50</v>
          </cell>
        </row>
        <row r="710">
          <cell r="E710" t="str">
            <v>PUERTO GAITAN</v>
          </cell>
          <cell r="F710" t="str">
            <v>50568</v>
          </cell>
          <cell r="G710" t="str">
            <v>50</v>
          </cell>
        </row>
        <row r="711">
          <cell r="E711" t="str">
            <v>PUERTO LOPEZ</v>
          </cell>
          <cell r="F711" t="str">
            <v>50573</v>
          </cell>
          <cell r="G711" t="str">
            <v>50</v>
          </cell>
        </row>
        <row r="712">
          <cell r="E712" t="str">
            <v>PUERTO LLERAS</v>
          </cell>
          <cell r="F712" t="str">
            <v>50577</v>
          </cell>
          <cell r="G712" t="str">
            <v>50</v>
          </cell>
        </row>
        <row r="713">
          <cell r="E713" t="str">
            <v>PUERTO RICO</v>
          </cell>
          <cell r="F713" t="str">
            <v>50590</v>
          </cell>
          <cell r="G713" t="str">
            <v>50</v>
          </cell>
        </row>
        <row r="714">
          <cell r="E714" t="str">
            <v>RESTREPO</v>
          </cell>
          <cell r="F714" t="str">
            <v>50606</v>
          </cell>
          <cell r="G714" t="str">
            <v>50</v>
          </cell>
        </row>
        <row r="715">
          <cell r="E715" t="str">
            <v>SAN CARLOS DE GUAROA</v>
          </cell>
          <cell r="F715" t="str">
            <v>50680</v>
          </cell>
          <cell r="G715" t="str">
            <v>50</v>
          </cell>
        </row>
        <row r="716">
          <cell r="E716" t="str">
            <v>SAN JUAN DE ARAMA</v>
          </cell>
          <cell r="F716" t="str">
            <v>50683</v>
          </cell>
          <cell r="G716" t="str">
            <v>50</v>
          </cell>
        </row>
        <row r="717">
          <cell r="E717" t="str">
            <v>SAN JUANITO</v>
          </cell>
          <cell r="F717" t="str">
            <v>50686</v>
          </cell>
          <cell r="G717" t="str">
            <v>50</v>
          </cell>
        </row>
        <row r="718">
          <cell r="E718" t="str">
            <v>SAN MARTIN</v>
          </cell>
          <cell r="F718" t="str">
            <v>50689</v>
          </cell>
          <cell r="G718" t="str">
            <v>50</v>
          </cell>
        </row>
        <row r="719">
          <cell r="E719" t="str">
            <v>VISTA HERMOSA</v>
          </cell>
          <cell r="F719" t="str">
            <v>50711</v>
          </cell>
          <cell r="G719" t="str">
            <v>50</v>
          </cell>
        </row>
        <row r="720">
          <cell r="E720" t="str">
            <v>ALBAN</v>
          </cell>
          <cell r="F720" t="str">
            <v>52019</v>
          </cell>
          <cell r="G720" t="str">
            <v>52</v>
          </cell>
        </row>
        <row r="721">
          <cell r="E721" t="str">
            <v>ALDANA</v>
          </cell>
          <cell r="F721" t="str">
            <v>52022</v>
          </cell>
          <cell r="G721" t="str">
            <v>52</v>
          </cell>
        </row>
        <row r="722">
          <cell r="E722" t="str">
            <v>ANCUYA</v>
          </cell>
          <cell r="F722" t="str">
            <v>52036</v>
          </cell>
          <cell r="G722" t="str">
            <v>52</v>
          </cell>
        </row>
        <row r="723">
          <cell r="E723" t="str">
            <v>ARBOLEDA</v>
          </cell>
          <cell r="F723" t="str">
            <v>52051</v>
          </cell>
          <cell r="G723" t="str">
            <v>52</v>
          </cell>
        </row>
        <row r="724">
          <cell r="E724" t="str">
            <v>BARBACOAS</v>
          </cell>
          <cell r="F724" t="str">
            <v>52079</v>
          </cell>
          <cell r="G724" t="str">
            <v>52</v>
          </cell>
        </row>
        <row r="725">
          <cell r="E725" t="str">
            <v>BELEN</v>
          </cell>
          <cell r="F725" t="str">
            <v>52083</v>
          </cell>
          <cell r="G725" t="str">
            <v>52</v>
          </cell>
        </row>
        <row r="726">
          <cell r="E726" t="str">
            <v>BUESACO</v>
          </cell>
          <cell r="F726" t="str">
            <v>52110</v>
          </cell>
          <cell r="G726" t="str">
            <v>52</v>
          </cell>
        </row>
        <row r="727">
          <cell r="E727" t="str">
            <v>CHACHAGUI</v>
          </cell>
          <cell r="F727" t="str">
            <v>52240</v>
          </cell>
          <cell r="G727" t="str">
            <v>52</v>
          </cell>
        </row>
        <row r="728">
          <cell r="E728" t="str">
            <v>COLON-GENOVA</v>
          </cell>
          <cell r="F728" t="str">
            <v>52203</v>
          </cell>
          <cell r="G728" t="str">
            <v>52</v>
          </cell>
        </row>
        <row r="729">
          <cell r="E729" t="str">
            <v>CONSACA</v>
          </cell>
          <cell r="F729" t="str">
            <v>52207</v>
          </cell>
          <cell r="G729" t="str">
            <v>52</v>
          </cell>
        </row>
        <row r="730">
          <cell r="E730" t="str">
            <v>CONTADERO</v>
          </cell>
          <cell r="F730" t="str">
            <v>52210</v>
          </cell>
          <cell r="G730" t="str">
            <v>52</v>
          </cell>
        </row>
        <row r="731">
          <cell r="E731" t="str">
            <v>CORDOBA</v>
          </cell>
          <cell r="F731" t="str">
            <v>52215</v>
          </cell>
          <cell r="G731" t="str">
            <v>52</v>
          </cell>
        </row>
        <row r="732">
          <cell r="E732" t="str">
            <v>CUASPUD-CARLOSAMA</v>
          </cell>
          <cell r="F732" t="str">
            <v>52224</v>
          </cell>
          <cell r="G732" t="str">
            <v>52</v>
          </cell>
        </row>
        <row r="733">
          <cell r="E733" t="str">
            <v>CUMBAL</v>
          </cell>
          <cell r="F733" t="str">
            <v>52227</v>
          </cell>
          <cell r="G733" t="str">
            <v>52</v>
          </cell>
        </row>
        <row r="734">
          <cell r="E734" t="str">
            <v>CUMBITARA</v>
          </cell>
          <cell r="F734" t="str">
            <v>52233</v>
          </cell>
          <cell r="G734" t="str">
            <v>52</v>
          </cell>
        </row>
        <row r="735">
          <cell r="E735" t="str">
            <v>EL CHARCO</v>
          </cell>
          <cell r="F735" t="str">
            <v>52250</v>
          </cell>
          <cell r="G735" t="str">
            <v>52</v>
          </cell>
        </row>
        <row r="736">
          <cell r="E736" t="str">
            <v>EL PEÑOL</v>
          </cell>
          <cell r="F736" t="str">
            <v>52254</v>
          </cell>
          <cell r="G736" t="str">
            <v>52</v>
          </cell>
        </row>
        <row r="737">
          <cell r="E737" t="str">
            <v>EL ROSARIO</v>
          </cell>
          <cell r="F737" t="str">
            <v>52256</v>
          </cell>
          <cell r="G737" t="str">
            <v>52</v>
          </cell>
        </row>
        <row r="738">
          <cell r="E738" t="str">
            <v>EL TABLON</v>
          </cell>
          <cell r="F738" t="str">
            <v>52258</v>
          </cell>
          <cell r="G738" t="str">
            <v>52</v>
          </cell>
        </row>
        <row r="739">
          <cell r="E739" t="str">
            <v>EL TAMBO</v>
          </cell>
          <cell r="F739" t="str">
            <v>52260</v>
          </cell>
          <cell r="G739" t="str">
            <v>52</v>
          </cell>
        </row>
        <row r="740">
          <cell r="E740" t="str">
            <v>FRANCISCO PIZARRO</v>
          </cell>
          <cell r="F740" t="str">
            <v>52520</v>
          </cell>
          <cell r="G740" t="str">
            <v>52</v>
          </cell>
        </row>
        <row r="741">
          <cell r="E741" t="str">
            <v>FUNES</v>
          </cell>
          <cell r="F741" t="str">
            <v>52287</v>
          </cell>
          <cell r="G741" t="str">
            <v>52</v>
          </cell>
        </row>
        <row r="742">
          <cell r="E742" t="str">
            <v>GUACHUCAL</v>
          </cell>
          <cell r="F742" t="str">
            <v>52317</v>
          </cell>
          <cell r="G742" t="str">
            <v>52</v>
          </cell>
        </row>
        <row r="743">
          <cell r="E743" t="str">
            <v>GUAITARILLA</v>
          </cell>
          <cell r="F743" t="str">
            <v>52320</v>
          </cell>
          <cell r="G743" t="str">
            <v>52</v>
          </cell>
        </row>
        <row r="744">
          <cell r="E744" t="str">
            <v>GUALMATAN</v>
          </cell>
          <cell r="F744" t="str">
            <v>52323</v>
          </cell>
          <cell r="G744" t="str">
            <v>52</v>
          </cell>
        </row>
        <row r="745">
          <cell r="E745" t="str">
            <v>ILES</v>
          </cell>
          <cell r="F745" t="str">
            <v>52352</v>
          </cell>
          <cell r="G745" t="str">
            <v>52</v>
          </cell>
        </row>
        <row r="746">
          <cell r="E746" t="str">
            <v>IMUES</v>
          </cell>
          <cell r="F746" t="str">
            <v>52354</v>
          </cell>
          <cell r="G746" t="str">
            <v>52</v>
          </cell>
        </row>
        <row r="747">
          <cell r="E747" t="str">
            <v>IPIALES</v>
          </cell>
          <cell r="F747" t="str">
            <v>52356</v>
          </cell>
          <cell r="G747" t="str">
            <v>52</v>
          </cell>
        </row>
        <row r="748">
          <cell r="E748" t="str">
            <v>LA CRUZ</v>
          </cell>
          <cell r="F748" t="str">
            <v>52378</v>
          </cell>
          <cell r="G748" t="str">
            <v>52</v>
          </cell>
        </row>
        <row r="749">
          <cell r="E749" t="str">
            <v>LA FLORIDA</v>
          </cell>
          <cell r="F749" t="str">
            <v>52381</v>
          </cell>
          <cell r="G749" t="str">
            <v>52</v>
          </cell>
        </row>
        <row r="750">
          <cell r="E750" t="str">
            <v>LA LLANADA</v>
          </cell>
          <cell r="F750" t="str">
            <v>52385</v>
          </cell>
          <cell r="G750" t="str">
            <v>52</v>
          </cell>
        </row>
        <row r="751">
          <cell r="E751" t="str">
            <v>LA TOLA</v>
          </cell>
          <cell r="F751" t="str">
            <v>52390</v>
          </cell>
          <cell r="G751" t="str">
            <v>52</v>
          </cell>
        </row>
        <row r="752">
          <cell r="E752" t="str">
            <v>LA UNION</v>
          </cell>
          <cell r="F752" t="str">
            <v>52399</v>
          </cell>
          <cell r="G752" t="str">
            <v>52</v>
          </cell>
        </row>
        <row r="753">
          <cell r="E753" t="str">
            <v>LEIVA</v>
          </cell>
          <cell r="F753" t="str">
            <v>52405</v>
          </cell>
          <cell r="G753" t="str">
            <v>52</v>
          </cell>
        </row>
        <row r="754">
          <cell r="E754" t="str">
            <v>LINARES</v>
          </cell>
          <cell r="F754" t="str">
            <v>52411</v>
          </cell>
          <cell r="G754" t="str">
            <v>52</v>
          </cell>
        </row>
        <row r="755">
          <cell r="E755" t="str">
            <v>LOS ANDES</v>
          </cell>
          <cell r="F755" t="str">
            <v>52418</v>
          </cell>
          <cell r="G755" t="str">
            <v>52</v>
          </cell>
        </row>
        <row r="756">
          <cell r="E756" t="str">
            <v>MAGUI</v>
          </cell>
          <cell r="F756" t="str">
            <v>52427</v>
          </cell>
          <cell r="G756" t="str">
            <v>52</v>
          </cell>
        </row>
        <row r="757">
          <cell r="E757" t="str">
            <v>MALLAMA</v>
          </cell>
          <cell r="F757" t="str">
            <v>52435</v>
          </cell>
          <cell r="G757" t="str">
            <v>52</v>
          </cell>
        </row>
        <row r="758">
          <cell r="E758" t="str">
            <v>MOSQUERA</v>
          </cell>
          <cell r="F758" t="str">
            <v>52473</v>
          </cell>
          <cell r="G758" t="str">
            <v>52</v>
          </cell>
        </row>
        <row r="759">
          <cell r="E759" t="str">
            <v>NARIÑO</v>
          </cell>
          <cell r="F759" t="str">
            <v>52480</v>
          </cell>
          <cell r="G759" t="str">
            <v>52</v>
          </cell>
        </row>
        <row r="760">
          <cell r="E760" t="str">
            <v>OLAYA HERRERA</v>
          </cell>
          <cell r="F760" t="str">
            <v>52490</v>
          </cell>
          <cell r="G760" t="str">
            <v>52</v>
          </cell>
        </row>
        <row r="761">
          <cell r="E761" t="str">
            <v>OSPINA</v>
          </cell>
          <cell r="F761" t="str">
            <v>52506</v>
          </cell>
          <cell r="G761" t="str">
            <v>52</v>
          </cell>
        </row>
        <row r="762">
          <cell r="E762" t="str">
            <v>PASTO</v>
          </cell>
          <cell r="F762" t="str">
            <v>52001</v>
          </cell>
          <cell r="G762" t="str">
            <v>52</v>
          </cell>
        </row>
        <row r="763">
          <cell r="E763" t="str">
            <v>POLICARPA</v>
          </cell>
          <cell r="F763" t="str">
            <v>52540</v>
          </cell>
          <cell r="G763" t="str">
            <v>52</v>
          </cell>
        </row>
        <row r="764">
          <cell r="E764" t="str">
            <v>POTOSI</v>
          </cell>
          <cell r="F764" t="str">
            <v>52560</v>
          </cell>
          <cell r="G764" t="str">
            <v>52</v>
          </cell>
        </row>
        <row r="765">
          <cell r="E765" t="str">
            <v>PROVIDENCIA</v>
          </cell>
          <cell r="F765" t="str">
            <v>52565</v>
          </cell>
          <cell r="G765" t="str">
            <v>52</v>
          </cell>
        </row>
        <row r="766">
          <cell r="E766" t="str">
            <v>PUERRES</v>
          </cell>
          <cell r="F766" t="str">
            <v>52573</v>
          </cell>
          <cell r="G766" t="str">
            <v>52</v>
          </cell>
        </row>
        <row r="767">
          <cell r="E767" t="str">
            <v>PUPIALES</v>
          </cell>
          <cell r="F767" t="str">
            <v>52585</v>
          </cell>
          <cell r="G767" t="str">
            <v>52</v>
          </cell>
        </row>
        <row r="768">
          <cell r="E768" t="str">
            <v>RICAURTE</v>
          </cell>
          <cell r="F768" t="str">
            <v>52612</v>
          </cell>
          <cell r="G768" t="str">
            <v>52</v>
          </cell>
        </row>
        <row r="769">
          <cell r="E769" t="str">
            <v>ROBERTO PAYAN</v>
          </cell>
          <cell r="F769" t="str">
            <v>52621</v>
          </cell>
          <cell r="G769" t="str">
            <v>52</v>
          </cell>
        </row>
        <row r="770">
          <cell r="E770" t="str">
            <v>SAMANIEGO</v>
          </cell>
          <cell r="F770" t="str">
            <v>52678</v>
          </cell>
          <cell r="G770" t="str">
            <v>52</v>
          </cell>
        </row>
        <row r="771">
          <cell r="E771" t="str">
            <v>SAN BERNARDO</v>
          </cell>
          <cell r="F771" t="str">
            <v>52685</v>
          </cell>
          <cell r="G771" t="str">
            <v>52</v>
          </cell>
        </row>
        <row r="772">
          <cell r="E772" t="str">
            <v>SAN LORENZO</v>
          </cell>
          <cell r="F772" t="str">
            <v>52687</v>
          </cell>
          <cell r="G772" t="str">
            <v>52</v>
          </cell>
        </row>
        <row r="773">
          <cell r="E773" t="str">
            <v>SAN PABLO</v>
          </cell>
          <cell r="F773" t="str">
            <v>52693</v>
          </cell>
          <cell r="G773" t="str">
            <v>52</v>
          </cell>
        </row>
        <row r="774">
          <cell r="E774" t="str">
            <v>SAN PEDRO DE CARTAGO</v>
          </cell>
          <cell r="F774" t="str">
            <v>52694</v>
          </cell>
          <cell r="G774" t="str">
            <v>52</v>
          </cell>
        </row>
        <row r="775">
          <cell r="E775" t="str">
            <v>SANDONA</v>
          </cell>
          <cell r="F775" t="str">
            <v>52683</v>
          </cell>
          <cell r="G775" t="str">
            <v>52</v>
          </cell>
        </row>
        <row r="776">
          <cell r="E776" t="str">
            <v>SANTA BARBARA</v>
          </cell>
          <cell r="F776" t="str">
            <v>52696</v>
          </cell>
          <cell r="G776" t="str">
            <v>52</v>
          </cell>
        </row>
        <row r="777">
          <cell r="E777" t="str">
            <v>SANTACRUZ</v>
          </cell>
          <cell r="F777" t="str">
            <v>52699</v>
          </cell>
          <cell r="G777" t="str">
            <v>52</v>
          </cell>
        </row>
        <row r="778">
          <cell r="E778" t="str">
            <v>SAPUYES</v>
          </cell>
          <cell r="F778" t="str">
            <v>52720</v>
          </cell>
          <cell r="G778" t="str">
            <v>52</v>
          </cell>
        </row>
        <row r="779">
          <cell r="E779" t="str">
            <v>TAMINANGO</v>
          </cell>
          <cell r="F779" t="str">
            <v>52786</v>
          </cell>
          <cell r="G779" t="str">
            <v>52</v>
          </cell>
        </row>
        <row r="780">
          <cell r="E780" t="str">
            <v>TANGUA</v>
          </cell>
          <cell r="F780" t="str">
            <v>52788</v>
          </cell>
          <cell r="G780" t="str">
            <v>52</v>
          </cell>
        </row>
        <row r="781">
          <cell r="E781" t="str">
            <v>TUMACO</v>
          </cell>
          <cell r="F781" t="str">
            <v>52835</v>
          </cell>
          <cell r="G781" t="str">
            <v>52</v>
          </cell>
        </row>
        <row r="782">
          <cell r="E782" t="str">
            <v>TUQUERRES</v>
          </cell>
          <cell r="F782" t="str">
            <v>52838</v>
          </cell>
          <cell r="G782" t="str">
            <v>52</v>
          </cell>
        </row>
        <row r="783">
          <cell r="E783" t="str">
            <v>YACUANQUER</v>
          </cell>
          <cell r="F783" t="str">
            <v>52885</v>
          </cell>
          <cell r="G783" t="str">
            <v>52</v>
          </cell>
        </row>
        <row r="784">
          <cell r="E784" t="str">
            <v>CUCUTA</v>
          </cell>
          <cell r="F784" t="str">
            <v>54001</v>
          </cell>
          <cell r="G784" t="str">
            <v>54</v>
          </cell>
        </row>
        <row r="785">
          <cell r="E785" t="str">
            <v>ABREGO</v>
          </cell>
          <cell r="F785" t="str">
            <v>54003</v>
          </cell>
          <cell r="G785" t="str">
            <v>54</v>
          </cell>
        </row>
        <row r="786">
          <cell r="E786" t="str">
            <v>ARBOLEDAS</v>
          </cell>
          <cell r="F786" t="str">
            <v>54051</v>
          </cell>
          <cell r="G786" t="str">
            <v>54</v>
          </cell>
        </row>
        <row r="787">
          <cell r="E787" t="str">
            <v>BOCHALEMA</v>
          </cell>
          <cell r="F787" t="str">
            <v>54099</v>
          </cell>
          <cell r="G787" t="str">
            <v>54</v>
          </cell>
        </row>
        <row r="788">
          <cell r="E788" t="str">
            <v>BUCARASICA</v>
          </cell>
          <cell r="F788" t="str">
            <v>54109</v>
          </cell>
          <cell r="G788" t="str">
            <v>54</v>
          </cell>
        </row>
        <row r="789">
          <cell r="E789" t="str">
            <v>CACOTA</v>
          </cell>
          <cell r="F789" t="str">
            <v>54125</v>
          </cell>
          <cell r="G789" t="str">
            <v>54</v>
          </cell>
        </row>
        <row r="790">
          <cell r="E790" t="str">
            <v>CACHIRA</v>
          </cell>
          <cell r="F790" t="str">
            <v>54128</v>
          </cell>
          <cell r="G790" t="str">
            <v>54</v>
          </cell>
        </row>
        <row r="791">
          <cell r="E791" t="str">
            <v>CHINACOTA</v>
          </cell>
          <cell r="F791" t="str">
            <v>54172</v>
          </cell>
          <cell r="G791" t="str">
            <v>54</v>
          </cell>
        </row>
        <row r="792">
          <cell r="E792" t="str">
            <v>CHITAGA</v>
          </cell>
          <cell r="F792" t="str">
            <v>54174</v>
          </cell>
          <cell r="G792" t="str">
            <v>54</v>
          </cell>
        </row>
        <row r="793">
          <cell r="E793" t="str">
            <v>CONVENCION</v>
          </cell>
          <cell r="F793" t="str">
            <v>54206</v>
          </cell>
          <cell r="G793" t="str">
            <v>54</v>
          </cell>
        </row>
        <row r="794">
          <cell r="E794" t="str">
            <v>CUCUTILLA</v>
          </cell>
          <cell r="F794" t="str">
            <v>54223</v>
          </cell>
          <cell r="G794" t="str">
            <v>54</v>
          </cell>
        </row>
        <row r="795">
          <cell r="E795" t="str">
            <v>DURANIA</v>
          </cell>
          <cell r="F795" t="str">
            <v>54239</v>
          </cell>
          <cell r="G795" t="str">
            <v>54</v>
          </cell>
        </row>
        <row r="796">
          <cell r="E796" t="str">
            <v>EL CARMEN</v>
          </cell>
          <cell r="F796" t="str">
            <v>54245</v>
          </cell>
          <cell r="G796" t="str">
            <v>54</v>
          </cell>
        </row>
        <row r="797">
          <cell r="E797" t="str">
            <v>EL TARRA</v>
          </cell>
          <cell r="F797" t="str">
            <v>54250</v>
          </cell>
          <cell r="G797" t="str">
            <v>54</v>
          </cell>
        </row>
        <row r="798">
          <cell r="E798" t="str">
            <v>EL ZULIA</v>
          </cell>
          <cell r="F798" t="str">
            <v>54261</v>
          </cell>
          <cell r="G798" t="str">
            <v>54</v>
          </cell>
        </row>
        <row r="799">
          <cell r="E799" t="str">
            <v>GRAMALOTE</v>
          </cell>
          <cell r="F799" t="str">
            <v>54313</v>
          </cell>
          <cell r="G799" t="str">
            <v>54</v>
          </cell>
        </row>
        <row r="800">
          <cell r="E800" t="str">
            <v>HACARI</v>
          </cell>
          <cell r="F800" t="str">
            <v>54344</v>
          </cell>
          <cell r="G800" t="str">
            <v>54</v>
          </cell>
        </row>
        <row r="801">
          <cell r="E801" t="str">
            <v>HERRAN</v>
          </cell>
          <cell r="F801" t="str">
            <v>54347</v>
          </cell>
          <cell r="G801" t="str">
            <v>54</v>
          </cell>
        </row>
        <row r="802">
          <cell r="E802" t="str">
            <v>LABATECA</v>
          </cell>
          <cell r="F802" t="str">
            <v>54377</v>
          </cell>
          <cell r="G802" t="str">
            <v>54</v>
          </cell>
        </row>
        <row r="803">
          <cell r="E803" t="str">
            <v>LA ESPERANZA</v>
          </cell>
          <cell r="F803" t="str">
            <v>54385</v>
          </cell>
          <cell r="G803" t="str">
            <v>54</v>
          </cell>
        </row>
        <row r="804">
          <cell r="E804" t="str">
            <v>LA PLAYA</v>
          </cell>
          <cell r="F804" t="str">
            <v>54398</v>
          </cell>
          <cell r="G804" t="str">
            <v>54</v>
          </cell>
        </row>
        <row r="805">
          <cell r="E805" t="str">
            <v>LOS PATIOS</v>
          </cell>
          <cell r="F805" t="str">
            <v>54405</v>
          </cell>
          <cell r="G805" t="str">
            <v>54</v>
          </cell>
        </row>
        <row r="806">
          <cell r="E806" t="str">
            <v>LOURDES</v>
          </cell>
          <cell r="F806" t="str">
            <v>54418</v>
          </cell>
          <cell r="G806" t="str">
            <v>54</v>
          </cell>
        </row>
        <row r="807">
          <cell r="E807" t="str">
            <v>MUTISCUA</v>
          </cell>
          <cell r="F807" t="str">
            <v>54480</v>
          </cell>
          <cell r="G807" t="str">
            <v>54</v>
          </cell>
        </row>
        <row r="808">
          <cell r="E808" t="str">
            <v>OCAÑA</v>
          </cell>
          <cell r="F808" t="str">
            <v>54498</v>
          </cell>
          <cell r="G808" t="str">
            <v>54</v>
          </cell>
        </row>
        <row r="809">
          <cell r="E809" t="str">
            <v>PAMPLONA</v>
          </cell>
          <cell r="F809" t="str">
            <v>54518</v>
          </cell>
          <cell r="G809" t="str">
            <v>54</v>
          </cell>
        </row>
        <row r="810">
          <cell r="E810" t="str">
            <v>PAMPLONITA</v>
          </cell>
          <cell r="F810" t="str">
            <v>54520</v>
          </cell>
          <cell r="G810" t="str">
            <v>54</v>
          </cell>
        </row>
        <row r="811">
          <cell r="E811" t="str">
            <v>PUERTO SANTANDER</v>
          </cell>
          <cell r="F811" t="str">
            <v>54553</v>
          </cell>
          <cell r="G811" t="str">
            <v>54</v>
          </cell>
        </row>
        <row r="812">
          <cell r="E812" t="str">
            <v>RAGONVALIA</v>
          </cell>
          <cell r="F812" t="str">
            <v>54599</v>
          </cell>
          <cell r="G812" t="str">
            <v>54</v>
          </cell>
        </row>
        <row r="813">
          <cell r="E813" t="str">
            <v>SALAZAR</v>
          </cell>
          <cell r="F813" t="str">
            <v>54660</v>
          </cell>
          <cell r="G813" t="str">
            <v>54</v>
          </cell>
        </row>
        <row r="814">
          <cell r="E814" t="str">
            <v>SAN CALIXTO</v>
          </cell>
          <cell r="F814" t="str">
            <v>54670</v>
          </cell>
          <cell r="G814" t="str">
            <v>54</v>
          </cell>
        </row>
        <row r="815">
          <cell r="E815" t="str">
            <v>SAN CAYETANO</v>
          </cell>
          <cell r="F815" t="str">
            <v>54673</v>
          </cell>
          <cell r="G815" t="str">
            <v>54</v>
          </cell>
        </row>
        <row r="816">
          <cell r="E816" t="str">
            <v>SANTIAGO</v>
          </cell>
          <cell r="F816" t="str">
            <v>54680</v>
          </cell>
          <cell r="G816" t="str">
            <v>54</v>
          </cell>
        </row>
        <row r="817">
          <cell r="E817" t="str">
            <v>SARDINATA</v>
          </cell>
          <cell r="F817" t="str">
            <v>54720</v>
          </cell>
          <cell r="G817" t="str">
            <v>54</v>
          </cell>
        </row>
        <row r="818">
          <cell r="E818" t="str">
            <v>SILOS</v>
          </cell>
          <cell r="F818" t="str">
            <v>54743</v>
          </cell>
          <cell r="G818" t="str">
            <v>54</v>
          </cell>
        </row>
        <row r="819">
          <cell r="E819" t="str">
            <v>TEORAMA</v>
          </cell>
          <cell r="F819" t="str">
            <v>54800</v>
          </cell>
          <cell r="G819" t="str">
            <v>54</v>
          </cell>
        </row>
        <row r="820">
          <cell r="E820" t="str">
            <v>TIBU</v>
          </cell>
          <cell r="F820" t="str">
            <v>54810</v>
          </cell>
          <cell r="G820" t="str">
            <v>54</v>
          </cell>
        </row>
        <row r="821">
          <cell r="E821" t="str">
            <v>TOLEDO</v>
          </cell>
          <cell r="F821" t="str">
            <v>54820</v>
          </cell>
          <cell r="G821" t="str">
            <v>54</v>
          </cell>
        </row>
        <row r="822">
          <cell r="E822" t="str">
            <v>VILLACARO</v>
          </cell>
          <cell r="F822" t="str">
            <v>54871</v>
          </cell>
          <cell r="G822" t="str">
            <v>54</v>
          </cell>
        </row>
        <row r="823">
          <cell r="E823" t="str">
            <v>VILLA DEL ROSARIO</v>
          </cell>
          <cell r="F823" t="str">
            <v>54874</v>
          </cell>
          <cell r="G823" t="str">
            <v>54</v>
          </cell>
        </row>
        <row r="824">
          <cell r="E824" t="str">
            <v>ARMENIA</v>
          </cell>
          <cell r="F824" t="str">
            <v>63001</v>
          </cell>
          <cell r="G824" t="str">
            <v>63</v>
          </cell>
        </row>
        <row r="825">
          <cell r="E825" t="str">
            <v>BUENAVISTA</v>
          </cell>
          <cell r="F825" t="str">
            <v>63111</v>
          </cell>
          <cell r="G825" t="str">
            <v>63</v>
          </cell>
        </row>
        <row r="826">
          <cell r="E826" t="str">
            <v>CALARCA</v>
          </cell>
          <cell r="F826" t="str">
            <v>63130</v>
          </cell>
          <cell r="G826" t="str">
            <v>63</v>
          </cell>
        </row>
        <row r="827">
          <cell r="E827" t="str">
            <v>CIRCASIA</v>
          </cell>
          <cell r="F827" t="str">
            <v>63190</v>
          </cell>
          <cell r="G827" t="str">
            <v>63</v>
          </cell>
        </row>
        <row r="828">
          <cell r="E828" t="str">
            <v>CORDOBA</v>
          </cell>
          <cell r="F828" t="str">
            <v>63212</v>
          </cell>
          <cell r="G828" t="str">
            <v>63</v>
          </cell>
        </row>
        <row r="829">
          <cell r="E829" t="str">
            <v>FILANDIA</v>
          </cell>
          <cell r="F829" t="str">
            <v>63272</v>
          </cell>
          <cell r="G829" t="str">
            <v>63</v>
          </cell>
        </row>
        <row r="830">
          <cell r="E830" t="str">
            <v>GENOVA</v>
          </cell>
          <cell r="F830" t="str">
            <v>63302</v>
          </cell>
          <cell r="G830" t="str">
            <v>63</v>
          </cell>
        </row>
        <row r="831">
          <cell r="E831" t="str">
            <v>LA TEBAIDA</v>
          </cell>
          <cell r="F831" t="str">
            <v>63401</v>
          </cell>
          <cell r="G831" t="str">
            <v>63</v>
          </cell>
        </row>
        <row r="832">
          <cell r="E832" t="str">
            <v>MONTENEGRO</v>
          </cell>
          <cell r="F832" t="str">
            <v>63470</v>
          </cell>
          <cell r="G832" t="str">
            <v>63</v>
          </cell>
        </row>
        <row r="833">
          <cell r="E833" t="str">
            <v>PIJAO</v>
          </cell>
          <cell r="F833" t="str">
            <v>63548</v>
          </cell>
          <cell r="G833" t="str">
            <v>63</v>
          </cell>
        </row>
        <row r="834">
          <cell r="E834" t="str">
            <v>QUIMBAYA</v>
          </cell>
          <cell r="F834" t="str">
            <v>63594</v>
          </cell>
          <cell r="G834" t="str">
            <v>63</v>
          </cell>
        </row>
        <row r="835">
          <cell r="E835" t="str">
            <v>SALENTO</v>
          </cell>
          <cell r="F835" t="str">
            <v>63690</v>
          </cell>
          <cell r="G835" t="str">
            <v>63</v>
          </cell>
        </row>
        <row r="836">
          <cell r="E836" t="str">
            <v>PEREIRA</v>
          </cell>
          <cell r="F836" t="str">
            <v>66001</v>
          </cell>
          <cell r="G836" t="str">
            <v>66</v>
          </cell>
        </row>
        <row r="837">
          <cell r="E837" t="str">
            <v>APIA</v>
          </cell>
          <cell r="F837" t="str">
            <v>66045</v>
          </cell>
          <cell r="G837" t="str">
            <v>66</v>
          </cell>
        </row>
        <row r="838">
          <cell r="E838" t="str">
            <v>BALBOA</v>
          </cell>
          <cell r="F838" t="str">
            <v>66075</v>
          </cell>
          <cell r="G838" t="str">
            <v>66</v>
          </cell>
        </row>
        <row r="839">
          <cell r="E839" t="str">
            <v>BELEN DE UMBRIA</v>
          </cell>
          <cell r="F839" t="str">
            <v>66088</v>
          </cell>
          <cell r="G839" t="str">
            <v>66</v>
          </cell>
        </row>
        <row r="840">
          <cell r="E840" t="str">
            <v>DOSQUEBRADAS</v>
          </cell>
          <cell r="F840" t="str">
            <v>66170</v>
          </cell>
          <cell r="G840" t="str">
            <v>66</v>
          </cell>
        </row>
        <row r="841">
          <cell r="E841" t="str">
            <v>GUATICA</v>
          </cell>
          <cell r="F841" t="str">
            <v>66318</v>
          </cell>
          <cell r="G841" t="str">
            <v>66</v>
          </cell>
        </row>
        <row r="842">
          <cell r="E842" t="str">
            <v>LA CELIA</v>
          </cell>
          <cell r="F842" t="str">
            <v>66383</v>
          </cell>
          <cell r="G842" t="str">
            <v>66</v>
          </cell>
        </row>
        <row r="843">
          <cell r="E843" t="str">
            <v>LA VIRGINIA</v>
          </cell>
          <cell r="F843" t="str">
            <v>66400</v>
          </cell>
          <cell r="G843" t="str">
            <v>66</v>
          </cell>
        </row>
        <row r="844">
          <cell r="E844" t="str">
            <v>MARSELLA</v>
          </cell>
          <cell r="F844" t="str">
            <v>66440</v>
          </cell>
          <cell r="G844" t="str">
            <v>66</v>
          </cell>
        </row>
        <row r="845">
          <cell r="E845" t="str">
            <v>MISTRATO</v>
          </cell>
          <cell r="F845" t="str">
            <v>66456</v>
          </cell>
          <cell r="G845" t="str">
            <v>66</v>
          </cell>
        </row>
        <row r="846">
          <cell r="E846" t="str">
            <v>PUEBLO RICO</v>
          </cell>
          <cell r="F846" t="str">
            <v>66572</v>
          </cell>
          <cell r="G846" t="str">
            <v>66</v>
          </cell>
        </row>
        <row r="847">
          <cell r="E847" t="str">
            <v>QUINCHIA</v>
          </cell>
          <cell r="F847" t="str">
            <v>66594</v>
          </cell>
          <cell r="G847" t="str">
            <v>66</v>
          </cell>
        </row>
        <row r="848">
          <cell r="E848" t="str">
            <v>SANTA ROSA DE CABAL</v>
          </cell>
          <cell r="F848" t="str">
            <v>66682</v>
          </cell>
          <cell r="G848" t="str">
            <v>66</v>
          </cell>
        </row>
        <row r="849">
          <cell r="E849" t="str">
            <v>SANTUARIO</v>
          </cell>
          <cell r="F849" t="str">
            <v>66687</v>
          </cell>
          <cell r="G849" t="str">
            <v>66</v>
          </cell>
        </row>
        <row r="850">
          <cell r="E850" t="str">
            <v>AGUADA</v>
          </cell>
          <cell r="F850" t="str">
            <v>68013</v>
          </cell>
          <cell r="G850" t="str">
            <v>68</v>
          </cell>
        </row>
        <row r="851">
          <cell r="E851" t="str">
            <v>ALBANIA</v>
          </cell>
          <cell r="F851" t="str">
            <v>68020</v>
          </cell>
          <cell r="G851" t="str">
            <v>68</v>
          </cell>
        </row>
        <row r="852">
          <cell r="E852" t="str">
            <v>ARATOCA</v>
          </cell>
          <cell r="F852" t="str">
            <v>68051</v>
          </cell>
          <cell r="G852" t="str">
            <v>68</v>
          </cell>
        </row>
        <row r="853">
          <cell r="E853" t="str">
            <v>BARBOSA</v>
          </cell>
          <cell r="F853" t="str">
            <v>68077</v>
          </cell>
          <cell r="G853" t="str">
            <v>68</v>
          </cell>
        </row>
        <row r="854">
          <cell r="E854" t="str">
            <v>BARICHARA</v>
          </cell>
          <cell r="F854" t="str">
            <v>68079</v>
          </cell>
          <cell r="G854" t="str">
            <v>68</v>
          </cell>
        </row>
        <row r="855">
          <cell r="E855" t="str">
            <v>BARRANCABERMEJA</v>
          </cell>
          <cell r="F855" t="str">
            <v>68081</v>
          </cell>
          <cell r="G855" t="str">
            <v>68</v>
          </cell>
        </row>
        <row r="856">
          <cell r="E856" t="str">
            <v>BETULIA</v>
          </cell>
          <cell r="F856" t="str">
            <v>68092</v>
          </cell>
          <cell r="G856" t="str">
            <v>68</v>
          </cell>
        </row>
        <row r="857">
          <cell r="E857" t="str">
            <v>BOLIVAR</v>
          </cell>
          <cell r="F857" t="str">
            <v>68101</v>
          </cell>
          <cell r="G857" t="str">
            <v>68</v>
          </cell>
        </row>
        <row r="858">
          <cell r="E858" t="str">
            <v>BUCARAMANGA</v>
          </cell>
          <cell r="F858" t="str">
            <v>68001</v>
          </cell>
          <cell r="G858" t="str">
            <v>68</v>
          </cell>
        </row>
        <row r="859">
          <cell r="E859" t="str">
            <v>CABRERA</v>
          </cell>
          <cell r="F859" t="str">
            <v>68121</v>
          </cell>
          <cell r="G859" t="str">
            <v>68</v>
          </cell>
        </row>
        <row r="860">
          <cell r="E860" t="str">
            <v>CALIFORNIA</v>
          </cell>
          <cell r="F860" t="str">
            <v>68132</v>
          </cell>
          <cell r="G860" t="str">
            <v>68</v>
          </cell>
        </row>
        <row r="861">
          <cell r="E861" t="str">
            <v>CAPITANEJO</v>
          </cell>
          <cell r="F861" t="str">
            <v>68147</v>
          </cell>
          <cell r="G861" t="str">
            <v>68</v>
          </cell>
        </row>
        <row r="862">
          <cell r="E862" t="str">
            <v>CARCASI</v>
          </cell>
          <cell r="F862" t="str">
            <v>68152</v>
          </cell>
          <cell r="G862" t="str">
            <v>68</v>
          </cell>
        </row>
        <row r="863">
          <cell r="E863" t="str">
            <v>CEPITA</v>
          </cell>
          <cell r="F863" t="str">
            <v>68160</v>
          </cell>
          <cell r="G863" t="str">
            <v>68</v>
          </cell>
        </row>
        <row r="864">
          <cell r="E864" t="str">
            <v>CERRITO</v>
          </cell>
          <cell r="F864" t="str">
            <v>68162</v>
          </cell>
          <cell r="G864" t="str">
            <v>68</v>
          </cell>
        </row>
        <row r="865">
          <cell r="E865" t="str">
            <v>CHARALA</v>
          </cell>
          <cell r="F865" t="str">
            <v>68167</v>
          </cell>
          <cell r="G865" t="str">
            <v>68</v>
          </cell>
        </row>
        <row r="866">
          <cell r="E866" t="str">
            <v>CHARTA</v>
          </cell>
          <cell r="F866" t="str">
            <v>68169</v>
          </cell>
          <cell r="G866" t="str">
            <v>68</v>
          </cell>
        </row>
        <row r="867">
          <cell r="E867" t="str">
            <v>CHIMA</v>
          </cell>
          <cell r="F867" t="str">
            <v>68176</v>
          </cell>
          <cell r="G867" t="str">
            <v>68</v>
          </cell>
        </row>
        <row r="868">
          <cell r="E868" t="str">
            <v>CHIPATA</v>
          </cell>
          <cell r="F868" t="str">
            <v>68179</v>
          </cell>
          <cell r="G868" t="str">
            <v>68</v>
          </cell>
        </row>
        <row r="869">
          <cell r="E869" t="str">
            <v>CIMITARRA</v>
          </cell>
          <cell r="F869" t="str">
            <v>68190</v>
          </cell>
          <cell r="G869" t="str">
            <v>68</v>
          </cell>
        </row>
        <row r="870">
          <cell r="E870" t="str">
            <v>CONCEPCION</v>
          </cell>
          <cell r="F870" t="str">
            <v>68207</v>
          </cell>
          <cell r="G870" t="str">
            <v>68</v>
          </cell>
        </row>
        <row r="871">
          <cell r="E871" t="str">
            <v>CONFINES</v>
          </cell>
          <cell r="F871" t="str">
            <v>68209</v>
          </cell>
          <cell r="G871" t="str">
            <v>68</v>
          </cell>
        </row>
        <row r="872">
          <cell r="E872" t="str">
            <v>CONTRATACION</v>
          </cell>
          <cell r="F872" t="str">
            <v>68211</v>
          </cell>
          <cell r="G872" t="str">
            <v>68</v>
          </cell>
        </row>
        <row r="873">
          <cell r="E873" t="str">
            <v>COROMORO</v>
          </cell>
          <cell r="F873" t="str">
            <v>68217</v>
          </cell>
          <cell r="G873" t="str">
            <v>68</v>
          </cell>
        </row>
        <row r="874">
          <cell r="E874" t="str">
            <v>CURITI</v>
          </cell>
          <cell r="F874" t="str">
            <v>68229</v>
          </cell>
          <cell r="G874" t="str">
            <v>68</v>
          </cell>
        </row>
        <row r="875">
          <cell r="E875" t="str">
            <v>EL CARMEN DE CHUCURI</v>
          </cell>
          <cell r="F875" t="str">
            <v>68235</v>
          </cell>
          <cell r="G875" t="str">
            <v>68</v>
          </cell>
        </row>
        <row r="876">
          <cell r="E876" t="str">
            <v>EL GUACAMAYO</v>
          </cell>
          <cell r="F876" t="str">
            <v>68245</v>
          </cell>
          <cell r="G876" t="str">
            <v>68</v>
          </cell>
        </row>
        <row r="877">
          <cell r="E877" t="str">
            <v>EL PEÑON</v>
          </cell>
          <cell r="F877" t="str">
            <v>68250</v>
          </cell>
          <cell r="G877" t="str">
            <v>68</v>
          </cell>
        </row>
        <row r="878">
          <cell r="E878" t="str">
            <v>EL PLAYON</v>
          </cell>
          <cell r="F878" t="str">
            <v>68255</v>
          </cell>
          <cell r="G878" t="str">
            <v>68</v>
          </cell>
        </row>
        <row r="879">
          <cell r="E879" t="str">
            <v>ENCINO</v>
          </cell>
          <cell r="F879" t="str">
            <v>68264</v>
          </cell>
          <cell r="G879" t="str">
            <v>68</v>
          </cell>
        </row>
        <row r="880">
          <cell r="E880" t="str">
            <v>ENCISO</v>
          </cell>
          <cell r="F880" t="str">
            <v>68266</v>
          </cell>
          <cell r="G880" t="str">
            <v>68</v>
          </cell>
        </row>
        <row r="881">
          <cell r="E881" t="str">
            <v>FLORIAN</v>
          </cell>
          <cell r="F881" t="str">
            <v>68271</v>
          </cell>
          <cell r="G881" t="str">
            <v>68</v>
          </cell>
        </row>
        <row r="882">
          <cell r="E882" t="str">
            <v>FLORIDABLANCA</v>
          </cell>
          <cell r="F882" t="str">
            <v>68276</v>
          </cell>
          <cell r="G882" t="str">
            <v>68</v>
          </cell>
        </row>
        <row r="883">
          <cell r="E883" t="str">
            <v>GALAN</v>
          </cell>
          <cell r="F883" t="str">
            <v>68296</v>
          </cell>
          <cell r="G883" t="str">
            <v>68</v>
          </cell>
        </row>
        <row r="884">
          <cell r="E884" t="str">
            <v>GAMBITA</v>
          </cell>
          <cell r="F884" t="str">
            <v>68298</v>
          </cell>
          <cell r="G884" t="str">
            <v>68</v>
          </cell>
        </row>
        <row r="885">
          <cell r="E885" t="str">
            <v>GIRON</v>
          </cell>
          <cell r="F885" t="str">
            <v>68307</v>
          </cell>
          <cell r="G885" t="str">
            <v>68</v>
          </cell>
        </row>
        <row r="886">
          <cell r="E886" t="str">
            <v>GUACA</v>
          </cell>
          <cell r="F886" t="str">
            <v>68318</v>
          </cell>
          <cell r="G886" t="str">
            <v>68</v>
          </cell>
        </row>
        <row r="887">
          <cell r="E887" t="str">
            <v>GUADALUPE</v>
          </cell>
          <cell r="F887" t="str">
            <v>68320</v>
          </cell>
          <cell r="G887" t="str">
            <v>68</v>
          </cell>
        </row>
        <row r="888">
          <cell r="E888" t="str">
            <v>GUAPOTA</v>
          </cell>
          <cell r="F888" t="str">
            <v>68322</v>
          </cell>
          <cell r="G888" t="str">
            <v>68</v>
          </cell>
        </row>
        <row r="889">
          <cell r="E889" t="str">
            <v>GUAVATA</v>
          </cell>
          <cell r="F889" t="str">
            <v>68324</v>
          </cell>
          <cell r="G889" t="str">
            <v>68</v>
          </cell>
        </row>
        <row r="890">
          <cell r="E890" t="str">
            <v>GUEPSA</v>
          </cell>
          <cell r="F890" t="str">
            <v>68327</v>
          </cell>
          <cell r="G890" t="str">
            <v>68</v>
          </cell>
        </row>
        <row r="891">
          <cell r="E891" t="str">
            <v>HATO</v>
          </cell>
          <cell r="F891" t="str">
            <v>68344</v>
          </cell>
          <cell r="G891" t="str">
            <v>68</v>
          </cell>
        </row>
        <row r="892">
          <cell r="E892" t="str">
            <v>JESUS MARIA</v>
          </cell>
          <cell r="F892" t="str">
            <v>68368</v>
          </cell>
          <cell r="G892" t="str">
            <v>68</v>
          </cell>
        </row>
        <row r="893">
          <cell r="E893" t="str">
            <v>JORDAN</v>
          </cell>
          <cell r="F893" t="str">
            <v>68370</v>
          </cell>
          <cell r="G893" t="str">
            <v>68</v>
          </cell>
        </row>
        <row r="894">
          <cell r="E894" t="str">
            <v>LA BELLEZA</v>
          </cell>
          <cell r="F894" t="str">
            <v>68377</v>
          </cell>
          <cell r="G894" t="str">
            <v>68</v>
          </cell>
        </row>
        <row r="895">
          <cell r="E895" t="str">
            <v>LA PAZ</v>
          </cell>
          <cell r="F895" t="str">
            <v>68397</v>
          </cell>
          <cell r="G895" t="str">
            <v>68</v>
          </cell>
        </row>
        <row r="896">
          <cell r="E896" t="str">
            <v>LANDAZURI</v>
          </cell>
          <cell r="F896" t="str">
            <v>68385</v>
          </cell>
          <cell r="G896" t="str">
            <v>68</v>
          </cell>
        </row>
        <row r="897">
          <cell r="E897" t="str">
            <v>LEBRIJA</v>
          </cell>
          <cell r="F897" t="str">
            <v>68406</v>
          </cell>
          <cell r="G897" t="str">
            <v>68</v>
          </cell>
        </row>
        <row r="898">
          <cell r="E898" t="str">
            <v>LOS SANTOS</v>
          </cell>
          <cell r="F898" t="str">
            <v>68418</v>
          </cell>
          <cell r="G898" t="str">
            <v>68</v>
          </cell>
        </row>
        <row r="899">
          <cell r="E899" t="str">
            <v>MACARAVITA</v>
          </cell>
          <cell r="F899" t="str">
            <v>68425</v>
          </cell>
          <cell r="G899" t="str">
            <v>68</v>
          </cell>
        </row>
        <row r="900">
          <cell r="E900" t="str">
            <v>MALAGA</v>
          </cell>
          <cell r="F900" t="str">
            <v>68432</v>
          </cell>
          <cell r="G900" t="str">
            <v>68</v>
          </cell>
        </row>
        <row r="901">
          <cell r="E901" t="str">
            <v>MATANZA</v>
          </cell>
          <cell r="F901" t="str">
            <v>68444</v>
          </cell>
          <cell r="G901" t="str">
            <v>68</v>
          </cell>
        </row>
        <row r="902">
          <cell r="E902" t="str">
            <v>MOGOTES</v>
          </cell>
          <cell r="F902" t="str">
            <v>68464</v>
          </cell>
          <cell r="G902" t="str">
            <v>68</v>
          </cell>
        </row>
        <row r="903">
          <cell r="E903" t="str">
            <v>MOLAGAVITA</v>
          </cell>
          <cell r="F903" t="str">
            <v>68468</v>
          </cell>
          <cell r="G903" t="str">
            <v>68</v>
          </cell>
        </row>
        <row r="904">
          <cell r="E904" t="str">
            <v>OCAMONTE</v>
          </cell>
          <cell r="F904" t="str">
            <v>68498</v>
          </cell>
          <cell r="G904" t="str">
            <v>68</v>
          </cell>
        </row>
        <row r="905">
          <cell r="E905" t="str">
            <v>OIBA</v>
          </cell>
          <cell r="F905" t="str">
            <v>68500</v>
          </cell>
          <cell r="G905" t="str">
            <v>68</v>
          </cell>
        </row>
        <row r="906">
          <cell r="E906" t="str">
            <v>ONZAGA</v>
          </cell>
          <cell r="F906" t="str">
            <v>68502</v>
          </cell>
          <cell r="G906" t="str">
            <v>68</v>
          </cell>
        </row>
        <row r="907">
          <cell r="E907" t="str">
            <v>PALMAR</v>
          </cell>
          <cell r="F907" t="str">
            <v>68522</v>
          </cell>
          <cell r="G907" t="str">
            <v>68</v>
          </cell>
        </row>
        <row r="908">
          <cell r="E908" t="str">
            <v>PALMAS DEL SOCORRO</v>
          </cell>
          <cell r="F908" t="str">
            <v>68524</v>
          </cell>
          <cell r="G908" t="str">
            <v>68</v>
          </cell>
        </row>
        <row r="909">
          <cell r="E909" t="str">
            <v>PARAMO</v>
          </cell>
          <cell r="F909" t="str">
            <v>68533</v>
          </cell>
          <cell r="G909" t="str">
            <v>68</v>
          </cell>
        </row>
        <row r="910">
          <cell r="E910" t="str">
            <v>PIEDECUESTA</v>
          </cell>
          <cell r="F910" t="str">
            <v>68547</v>
          </cell>
          <cell r="G910" t="str">
            <v>68</v>
          </cell>
        </row>
        <row r="911">
          <cell r="E911" t="str">
            <v>PINCHOTE</v>
          </cell>
          <cell r="F911" t="str">
            <v>68549</v>
          </cell>
          <cell r="G911" t="str">
            <v>68</v>
          </cell>
        </row>
        <row r="912">
          <cell r="E912" t="str">
            <v>PUENTE NACIONAL</v>
          </cell>
          <cell r="F912" t="str">
            <v>68572</v>
          </cell>
          <cell r="G912" t="str">
            <v>68</v>
          </cell>
        </row>
        <row r="913">
          <cell r="E913" t="str">
            <v>PUERTO PARRA</v>
          </cell>
          <cell r="F913" t="str">
            <v>68573</v>
          </cell>
          <cell r="G913" t="str">
            <v>68</v>
          </cell>
        </row>
        <row r="914">
          <cell r="E914" t="str">
            <v>PUERTO WILCHES</v>
          </cell>
          <cell r="F914" t="str">
            <v>68575</v>
          </cell>
          <cell r="G914" t="str">
            <v>68</v>
          </cell>
        </row>
        <row r="915">
          <cell r="E915" t="str">
            <v>RIONEGRO</v>
          </cell>
          <cell r="F915" t="str">
            <v>68615</v>
          </cell>
          <cell r="G915" t="str">
            <v>68</v>
          </cell>
        </row>
        <row r="916">
          <cell r="E916" t="str">
            <v>SABANA DE TORRES</v>
          </cell>
          <cell r="F916" t="str">
            <v>68655</v>
          </cell>
          <cell r="G916" t="str">
            <v>68</v>
          </cell>
        </row>
        <row r="917">
          <cell r="E917" t="str">
            <v>SAN ANDRES</v>
          </cell>
          <cell r="F917" t="str">
            <v>68669</v>
          </cell>
          <cell r="G917" t="str">
            <v>68</v>
          </cell>
        </row>
        <row r="918">
          <cell r="E918" t="str">
            <v>SAN BENITO</v>
          </cell>
          <cell r="F918" t="str">
            <v>68673</v>
          </cell>
          <cell r="G918" t="str">
            <v>68</v>
          </cell>
        </row>
        <row r="919">
          <cell r="E919" t="str">
            <v>SAN GIL</v>
          </cell>
          <cell r="F919" t="str">
            <v>68679</v>
          </cell>
          <cell r="G919" t="str">
            <v>68</v>
          </cell>
        </row>
        <row r="920">
          <cell r="E920" t="str">
            <v>SAN JOAQUIN</v>
          </cell>
          <cell r="F920" t="str">
            <v>68682</v>
          </cell>
          <cell r="G920" t="str">
            <v>68</v>
          </cell>
        </row>
        <row r="921">
          <cell r="E921" t="str">
            <v>SAN JOSE DE MIRANDA</v>
          </cell>
          <cell r="F921" t="str">
            <v>68684</v>
          </cell>
          <cell r="G921" t="str">
            <v>68</v>
          </cell>
        </row>
        <row r="922">
          <cell r="E922" t="str">
            <v>SAN MIGUEL</v>
          </cell>
          <cell r="F922" t="str">
            <v>68686</v>
          </cell>
          <cell r="G922" t="str">
            <v>68</v>
          </cell>
        </row>
        <row r="923">
          <cell r="E923" t="str">
            <v>SAN VICENTE DE CHUCURI</v>
          </cell>
          <cell r="F923" t="str">
            <v>68689</v>
          </cell>
          <cell r="G923" t="str">
            <v>68</v>
          </cell>
        </row>
        <row r="924">
          <cell r="E924" t="str">
            <v>SANTA BARBARA</v>
          </cell>
          <cell r="F924" t="str">
            <v>68705</v>
          </cell>
          <cell r="G924" t="str">
            <v>68</v>
          </cell>
        </row>
        <row r="925">
          <cell r="E925" t="str">
            <v>SANTA HELENA</v>
          </cell>
          <cell r="F925" t="str">
            <v>68720</v>
          </cell>
          <cell r="G925" t="str">
            <v>68</v>
          </cell>
        </row>
        <row r="926">
          <cell r="E926" t="str">
            <v>SIMACOTA</v>
          </cell>
          <cell r="F926" t="str">
            <v>68745</v>
          </cell>
          <cell r="G926" t="str">
            <v>68</v>
          </cell>
        </row>
        <row r="927">
          <cell r="E927" t="str">
            <v>SOCORRO</v>
          </cell>
          <cell r="F927" t="str">
            <v>68755</v>
          </cell>
          <cell r="G927" t="str">
            <v>68</v>
          </cell>
        </row>
        <row r="928">
          <cell r="E928" t="str">
            <v>SUAITA</v>
          </cell>
          <cell r="F928" t="str">
            <v>68770</v>
          </cell>
          <cell r="G928" t="str">
            <v>68</v>
          </cell>
        </row>
        <row r="929">
          <cell r="E929" t="str">
            <v>SUCRE</v>
          </cell>
          <cell r="F929" t="str">
            <v>68773</v>
          </cell>
          <cell r="G929" t="str">
            <v>68</v>
          </cell>
        </row>
        <row r="930">
          <cell r="E930" t="str">
            <v>SURATA</v>
          </cell>
          <cell r="F930" t="str">
            <v>68780</v>
          </cell>
          <cell r="G930" t="str">
            <v>68</v>
          </cell>
        </row>
        <row r="931">
          <cell r="E931" t="str">
            <v>TONA</v>
          </cell>
          <cell r="F931" t="str">
            <v>68820</v>
          </cell>
          <cell r="G931" t="str">
            <v>68</v>
          </cell>
        </row>
        <row r="932">
          <cell r="E932" t="str">
            <v>VALLE SAN JOSE</v>
          </cell>
          <cell r="F932" t="str">
            <v>68855</v>
          </cell>
          <cell r="G932" t="str">
            <v>68</v>
          </cell>
        </row>
        <row r="933">
          <cell r="E933" t="str">
            <v>VELEZ</v>
          </cell>
          <cell r="F933" t="str">
            <v>68861</v>
          </cell>
          <cell r="G933" t="str">
            <v>68</v>
          </cell>
        </row>
        <row r="934">
          <cell r="E934" t="str">
            <v>VETAS</v>
          </cell>
          <cell r="F934" t="str">
            <v>68867</v>
          </cell>
          <cell r="G934" t="str">
            <v>68</v>
          </cell>
        </row>
        <row r="935">
          <cell r="E935" t="str">
            <v>VILLANUEVA</v>
          </cell>
          <cell r="F935" t="str">
            <v>68872</v>
          </cell>
          <cell r="G935" t="str">
            <v>68</v>
          </cell>
        </row>
        <row r="936">
          <cell r="E936" t="str">
            <v>ZAPATOCA</v>
          </cell>
          <cell r="F936" t="str">
            <v>68895</v>
          </cell>
          <cell r="G936" t="str">
            <v>68</v>
          </cell>
        </row>
        <row r="937">
          <cell r="E937" t="str">
            <v>SINCELEJO</v>
          </cell>
          <cell r="F937" t="str">
            <v>70001</v>
          </cell>
          <cell r="G937" t="str">
            <v>70</v>
          </cell>
        </row>
        <row r="938">
          <cell r="E938" t="str">
            <v>BUENAVISTA</v>
          </cell>
          <cell r="F938" t="str">
            <v>70110</v>
          </cell>
          <cell r="G938" t="str">
            <v>70</v>
          </cell>
        </row>
        <row r="939">
          <cell r="E939" t="str">
            <v>CAIMITO</v>
          </cell>
          <cell r="F939" t="str">
            <v>70124</v>
          </cell>
          <cell r="G939" t="str">
            <v>70</v>
          </cell>
        </row>
        <row r="940">
          <cell r="E940" t="str">
            <v>COLOSO</v>
          </cell>
          <cell r="F940" t="str">
            <v>70204</v>
          </cell>
          <cell r="G940" t="str">
            <v>70</v>
          </cell>
        </row>
        <row r="941">
          <cell r="E941" t="str">
            <v>COROZAL</v>
          </cell>
          <cell r="F941" t="str">
            <v>70215</v>
          </cell>
          <cell r="G941" t="str">
            <v>70</v>
          </cell>
        </row>
        <row r="942">
          <cell r="E942" t="str">
            <v>COVEÑAS</v>
          </cell>
          <cell r="F942" t="str">
            <v>70221</v>
          </cell>
          <cell r="G942" t="str">
            <v>70</v>
          </cell>
        </row>
        <row r="943">
          <cell r="E943" t="str">
            <v>CHALAN</v>
          </cell>
          <cell r="F943" t="str">
            <v>70230</v>
          </cell>
          <cell r="G943" t="str">
            <v>70</v>
          </cell>
        </row>
        <row r="944">
          <cell r="E944" t="str">
            <v>EL ROBLE</v>
          </cell>
          <cell r="F944" t="str">
            <v>70233</v>
          </cell>
          <cell r="G944" t="str">
            <v>70</v>
          </cell>
        </row>
        <row r="945">
          <cell r="E945" t="str">
            <v>GALERAS</v>
          </cell>
          <cell r="F945" t="str">
            <v>70235</v>
          </cell>
          <cell r="G945" t="str">
            <v>70</v>
          </cell>
        </row>
        <row r="946">
          <cell r="E946" t="str">
            <v>GUARANDA</v>
          </cell>
          <cell r="F946" t="str">
            <v>70265</v>
          </cell>
          <cell r="G946" t="str">
            <v>70</v>
          </cell>
        </row>
        <row r="947">
          <cell r="E947" t="str">
            <v>LA UNION</v>
          </cell>
          <cell r="F947" t="str">
            <v>70400</v>
          </cell>
          <cell r="G947" t="str">
            <v>70</v>
          </cell>
        </row>
        <row r="948">
          <cell r="E948" t="str">
            <v>LOS PALMITOS</v>
          </cell>
          <cell r="F948" t="str">
            <v>70418</v>
          </cell>
          <cell r="G948" t="str">
            <v>70</v>
          </cell>
        </row>
        <row r="949">
          <cell r="E949" t="str">
            <v>MAJAGUAL</v>
          </cell>
          <cell r="F949" t="str">
            <v>70429</v>
          </cell>
          <cell r="G949" t="str">
            <v>70</v>
          </cell>
        </row>
        <row r="950">
          <cell r="E950" t="str">
            <v>MORROA</v>
          </cell>
          <cell r="F950" t="str">
            <v>70473</v>
          </cell>
          <cell r="G950" t="str">
            <v>70</v>
          </cell>
        </row>
        <row r="951">
          <cell r="E951" t="str">
            <v>OVEJAS</v>
          </cell>
          <cell r="F951" t="str">
            <v>70508</v>
          </cell>
          <cell r="G951" t="str">
            <v>70</v>
          </cell>
        </row>
        <row r="952">
          <cell r="E952" t="str">
            <v>PALMITO</v>
          </cell>
          <cell r="F952" t="str">
            <v>70523</v>
          </cell>
          <cell r="G952" t="str">
            <v>70</v>
          </cell>
        </row>
        <row r="953">
          <cell r="E953" t="str">
            <v>SAMPUES</v>
          </cell>
          <cell r="F953" t="str">
            <v>70670</v>
          </cell>
          <cell r="G953" t="str">
            <v>70</v>
          </cell>
        </row>
        <row r="954">
          <cell r="E954" t="str">
            <v>SAN BENITO ABAD</v>
          </cell>
          <cell r="F954" t="str">
            <v>70678</v>
          </cell>
          <cell r="G954" t="str">
            <v>70</v>
          </cell>
        </row>
        <row r="955">
          <cell r="E955" t="str">
            <v>SAN JUAN DE BETULIA</v>
          </cell>
          <cell r="F955" t="str">
            <v>70702</v>
          </cell>
          <cell r="G955" t="str">
            <v>70</v>
          </cell>
        </row>
        <row r="956">
          <cell r="E956" t="str">
            <v>SAN MARCOS</v>
          </cell>
          <cell r="F956" t="str">
            <v>70708</v>
          </cell>
          <cell r="G956" t="str">
            <v>70</v>
          </cell>
        </row>
        <row r="957">
          <cell r="E957" t="str">
            <v>SAN ONOFRE</v>
          </cell>
          <cell r="F957" t="str">
            <v>70713</v>
          </cell>
          <cell r="G957" t="str">
            <v>70</v>
          </cell>
        </row>
        <row r="958">
          <cell r="E958" t="str">
            <v>SAN PEDRO</v>
          </cell>
          <cell r="F958" t="str">
            <v>70717</v>
          </cell>
          <cell r="G958" t="str">
            <v>70</v>
          </cell>
        </row>
        <row r="959">
          <cell r="E959" t="str">
            <v>SINCE</v>
          </cell>
          <cell r="F959" t="str">
            <v>70742</v>
          </cell>
          <cell r="G959" t="str">
            <v>70</v>
          </cell>
        </row>
        <row r="960">
          <cell r="E960" t="str">
            <v>SUCRE</v>
          </cell>
          <cell r="F960" t="str">
            <v>70771</v>
          </cell>
          <cell r="G960" t="str">
            <v>70</v>
          </cell>
        </row>
        <row r="961">
          <cell r="E961" t="str">
            <v>TOLU</v>
          </cell>
          <cell r="F961" t="str">
            <v>70820</v>
          </cell>
          <cell r="G961" t="str">
            <v>70</v>
          </cell>
        </row>
        <row r="962">
          <cell r="E962" t="str">
            <v>TOLUVIEJO</v>
          </cell>
          <cell r="F962" t="str">
            <v>70823</v>
          </cell>
          <cell r="G962" t="str">
            <v>70</v>
          </cell>
        </row>
        <row r="963">
          <cell r="E963" t="str">
            <v>IBAGUE</v>
          </cell>
          <cell r="F963" t="str">
            <v>73001</v>
          </cell>
          <cell r="G963" t="str">
            <v>73</v>
          </cell>
        </row>
        <row r="964">
          <cell r="E964" t="str">
            <v>ALPUJARRA</v>
          </cell>
          <cell r="F964" t="str">
            <v>73024</v>
          </cell>
          <cell r="G964" t="str">
            <v>73</v>
          </cell>
        </row>
        <row r="965">
          <cell r="E965" t="str">
            <v>ALVARADO</v>
          </cell>
          <cell r="F965" t="str">
            <v>73026</v>
          </cell>
          <cell r="G965" t="str">
            <v>73</v>
          </cell>
        </row>
        <row r="966">
          <cell r="E966" t="str">
            <v>AMBALEMA</v>
          </cell>
          <cell r="F966" t="str">
            <v>73030</v>
          </cell>
          <cell r="G966" t="str">
            <v>73</v>
          </cell>
        </row>
        <row r="967">
          <cell r="E967" t="str">
            <v>ANZOATEGUI</v>
          </cell>
          <cell r="F967" t="str">
            <v>73043</v>
          </cell>
          <cell r="G967" t="str">
            <v>73</v>
          </cell>
        </row>
        <row r="968">
          <cell r="E968" t="str">
            <v>ARMERO (GUAYABAL)</v>
          </cell>
          <cell r="F968" t="str">
            <v>73055</v>
          </cell>
          <cell r="G968" t="str">
            <v>73</v>
          </cell>
        </row>
        <row r="969">
          <cell r="E969" t="str">
            <v>ATACO</v>
          </cell>
          <cell r="F969" t="str">
            <v>73067</v>
          </cell>
          <cell r="G969" t="str">
            <v>73</v>
          </cell>
        </row>
        <row r="970">
          <cell r="E970" t="str">
            <v>CAJAMARCA</v>
          </cell>
          <cell r="F970" t="str">
            <v>73124</v>
          </cell>
          <cell r="G970" t="str">
            <v>73</v>
          </cell>
        </row>
        <row r="971">
          <cell r="E971" t="str">
            <v>CARMEN DE APICALA</v>
          </cell>
          <cell r="F971" t="str">
            <v>73148</v>
          </cell>
          <cell r="G971" t="str">
            <v>73</v>
          </cell>
        </row>
        <row r="972">
          <cell r="E972" t="str">
            <v>CASABIANCA</v>
          </cell>
          <cell r="F972" t="str">
            <v>73152</v>
          </cell>
          <cell r="G972" t="str">
            <v>73</v>
          </cell>
        </row>
        <row r="973">
          <cell r="E973" t="str">
            <v>CHAPARRAL</v>
          </cell>
          <cell r="F973" t="str">
            <v>73168</v>
          </cell>
          <cell r="G973" t="str">
            <v>73</v>
          </cell>
        </row>
        <row r="974">
          <cell r="E974" t="str">
            <v>COELLO</v>
          </cell>
          <cell r="F974" t="str">
            <v>73200</v>
          </cell>
          <cell r="G974" t="str">
            <v>73</v>
          </cell>
        </row>
        <row r="975">
          <cell r="E975" t="str">
            <v>COYAIMA</v>
          </cell>
          <cell r="F975" t="str">
            <v>73217</v>
          </cell>
          <cell r="G975" t="str">
            <v>73</v>
          </cell>
        </row>
        <row r="976">
          <cell r="E976" t="str">
            <v>CUNDAY</v>
          </cell>
          <cell r="F976" t="str">
            <v>73226</v>
          </cell>
          <cell r="G976" t="str">
            <v>73</v>
          </cell>
        </row>
        <row r="977">
          <cell r="E977" t="str">
            <v>DOLORES</v>
          </cell>
          <cell r="F977" t="str">
            <v>73236</v>
          </cell>
          <cell r="G977" t="str">
            <v>73</v>
          </cell>
        </row>
        <row r="978">
          <cell r="E978" t="str">
            <v>ESPINAL</v>
          </cell>
          <cell r="F978" t="str">
            <v>73268</v>
          </cell>
          <cell r="G978" t="str">
            <v>73</v>
          </cell>
        </row>
        <row r="979">
          <cell r="E979" t="str">
            <v>FALAN</v>
          </cell>
          <cell r="F979" t="str">
            <v>73270</v>
          </cell>
          <cell r="G979" t="str">
            <v>73</v>
          </cell>
        </row>
        <row r="980">
          <cell r="E980" t="str">
            <v>FLANDES</v>
          </cell>
          <cell r="F980" t="str">
            <v>73275</v>
          </cell>
          <cell r="G980" t="str">
            <v>73</v>
          </cell>
        </row>
        <row r="981">
          <cell r="E981" t="str">
            <v>FRESNO</v>
          </cell>
          <cell r="F981" t="str">
            <v>73283</v>
          </cell>
          <cell r="G981" t="str">
            <v>73</v>
          </cell>
        </row>
        <row r="982">
          <cell r="E982" t="str">
            <v>GUAMO</v>
          </cell>
          <cell r="F982" t="str">
            <v>73319</v>
          </cell>
          <cell r="G982" t="str">
            <v>73</v>
          </cell>
        </row>
        <row r="983">
          <cell r="E983" t="str">
            <v>HERVEO</v>
          </cell>
          <cell r="F983" t="str">
            <v>73347</v>
          </cell>
          <cell r="G983" t="str">
            <v>73</v>
          </cell>
        </row>
        <row r="984">
          <cell r="E984" t="str">
            <v>HONDA</v>
          </cell>
          <cell r="F984" t="str">
            <v>73349</v>
          </cell>
          <cell r="G984" t="str">
            <v>73</v>
          </cell>
        </row>
        <row r="985">
          <cell r="E985" t="str">
            <v>ICONONZO</v>
          </cell>
          <cell r="F985" t="str">
            <v>73352</v>
          </cell>
          <cell r="G985" t="str">
            <v>73</v>
          </cell>
        </row>
        <row r="986">
          <cell r="E986" t="str">
            <v>LERIDA</v>
          </cell>
          <cell r="F986" t="str">
            <v>73408</v>
          </cell>
          <cell r="G986" t="str">
            <v>73</v>
          </cell>
        </row>
        <row r="987">
          <cell r="E987" t="str">
            <v>LIBANO</v>
          </cell>
          <cell r="F987" t="str">
            <v>73411</v>
          </cell>
          <cell r="G987" t="str">
            <v>73</v>
          </cell>
        </row>
        <row r="988">
          <cell r="E988" t="str">
            <v>MARIQUITA</v>
          </cell>
          <cell r="F988" t="str">
            <v>73443</v>
          </cell>
          <cell r="G988" t="str">
            <v>73</v>
          </cell>
        </row>
        <row r="989">
          <cell r="E989" t="str">
            <v>MELGAR</v>
          </cell>
          <cell r="F989" t="str">
            <v>73449</v>
          </cell>
          <cell r="G989" t="str">
            <v>73</v>
          </cell>
        </row>
        <row r="990">
          <cell r="E990" t="str">
            <v>MURILLO</v>
          </cell>
          <cell r="F990" t="str">
            <v>73461</v>
          </cell>
          <cell r="G990" t="str">
            <v>73</v>
          </cell>
        </row>
        <row r="991">
          <cell r="E991" t="str">
            <v>NATAGAIMA</v>
          </cell>
          <cell r="F991" t="str">
            <v>73483</v>
          </cell>
          <cell r="G991" t="str">
            <v>73</v>
          </cell>
        </row>
        <row r="992">
          <cell r="E992" t="str">
            <v>ORTEGA</v>
          </cell>
          <cell r="F992" t="str">
            <v>73504</v>
          </cell>
          <cell r="G992" t="str">
            <v>73</v>
          </cell>
        </row>
        <row r="993">
          <cell r="E993" t="str">
            <v>PALOCABILDO</v>
          </cell>
          <cell r="F993" t="str">
            <v>73520</v>
          </cell>
          <cell r="G993" t="str">
            <v>73</v>
          </cell>
        </row>
        <row r="994">
          <cell r="E994" t="str">
            <v>PIEDRAS</v>
          </cell>
          <cell r="F994" t="str">
            <v>73547</v>
          </cell>
          <cell r="G994" t="str">
            <v>73</v>
          </cell>
        </row>
        <row r="995">
          <cell r="E995" t="str">
            <v>PLANADAS</v>
          </cell>
          <cell r="F995" t="str">
            <v>73555</v>
          </cell>
          <cell r="G995" t="str">
            <v>73</v>
          </cell>
        </row>
        <row r="996">
          <cell r="E996" t="str">
            <v>PRADO</v>
          </cell>
          <cell r="F996" t="str">
            <v>73563</v>
          </cell>
          <cell r="G996" t="str">
            <v>73</v>
          </cell>
        </row>
        <row r="997">
          <cell r="E997" t="str">
            <v>PURIFICACION</v>
          </cell>
          <cell r="F997" t="str">
            <v>73585</v>
          </cell>
          <cell r="G997" t="str">
            <v>73</v>
          </cell>
        </row>
        <row r="998">
          <cell r="E998" t="str">
            <v>RIOBLANCO</v>
          </cell>
          <cell r="F998" t="str">
            <v>73616</v>
          </cell>
          <cell r="G998" t="str">
            <v>73</v>
          </cell>
        </row>
        <row r="999">
          <cell r="E999" t="str">
            <v>RONCESVALLES</v>
          </cell>
          <cell r="F999" t="str">
            <v>73622</v>
          </cell>
          <cell r="G999" t="str">
            <v>73</v>
          </cell>
        </row>
        <row r="1000">
          <cell r="E1000" t="str">
            <v>ROVIRA</v>
          </cell>
          <cell r="F1000" t="str">
            <v>73624</v>
          </cell>
          <cell r="G1000" t="str">
            <v>73</v>
          </cell>
        </row>
        <row r="1001">
          <cell r="E1001" t="str">
            <v>SALDAÑA</v>
          </cell>
          <cell r="F1001" t="str">
            <v>73671</v>
          </cell>
          <cell r="G1001" t="str">
            <v>73</v>
          </cell>
        </row>
        <row r="1002">
          <cell r="E1002" t="str">
            <v>SAN ANTONIO</v>
          </cell>
          <cell r="F1002" t="str">
            <v>73675</v>
          </cell>
          <cell r="G1002" t="str">
            <v>73</v>
          </cell>
        </row>
        <row r="1003">
          <cell r="E1003" t="str">
            <v>SAN LUIS</v>
          </cell>
          <cell r="F1003" t="str">
            <v>73678</v>
          </cell>
          <cell r="G1003" t="str">
            <v>73</v>
          </cell>
        </row>
        <row r="1004">
          <cell r="E1004" t="str">
            <v>SANTA ISABEL</v>
          </cell>
          <cell r="F1004" t="str">
            <v>73686</v>
          </cell>
          <cell r="G1004" t="str">
            <v>73</v>
          </cell>
        </row>
        <row r="1005">
          <cell r="E1005" t="str">
            <v>SUAREZ</v>
          </cell>
          <cell r="F1005" t="str">
            <v>73770</v>
          </cell>
          <cell r="G1005" t="str">
            <v>73</v>
          </cell>
        </row>
        <row r="1006">
          <cell r="E1006" t="str">
            <v>VALLE DE S JUAN</v>
          </cell>
          <cell r="F1006" t="str">
            <v>73854</v>
          </cell>
          <cell r="G1006" t="str">
            <v>73</v>
          </cell>
        </row>
        <row r="1007">
          <cell r="E1007" t="str">
            <v>VENADILLO</v>
          </cell>
          <cell r="F1007" t="str">
            <v>73861</v>
          </cell>
          <cell r="G1007" t="str">
            <v>73</v>
          </cell>
        </row>
        <row r="1008">
          <cell r="E1008" t="str">
            <v>VILLAHERMOSA</v>
          </cell>
          <cell r="F1008" t="str">
            <v>73870</v>
          </cell>
          <cell r="G1008" t="str">
            <v>73</v>
          </cell>
        </row>
        <row r="1009">
          <cell r="E1009" t="str">
            <v>VILLARRICA</v>
          </cell>
          <cell r="F1009" t="str">
            <v>73873</v>
          </cell>
          <cell r="G1009" t="str">
            <v>73</v>
          </cell>
        </row>
        <row r="1010">
          <cell r="E1010" t="str">
            <v>CALI</v>
          </cell>
          <cell r="F1010" t="str">
            <v>76001</v>
          </cell>
          <cell r="G1010" t="str">
            <v>76</v>
          </cell>
        </row>
        <row r="1011">
          <cell r="E1011" t="str">
            <v>ALCALA</v>
          </cell>
          <cell r="F1011" t="str">
            <v>76020</v>
          </cell>
          <cell r="G1011" t="str">
            <v>76</v>
          </cell>
        </row>
        <row r="1012">
          <cell r="E1012" t="str">
            <v>ANDALUCIA</v>
          </cell>
          <cell r="F1012" t="str">
            <v>76036</v>
          </cell>
          <cell r="G1012" t="str">
            <v>76</v>
          </cell>
        </row>
        <row r="1013">
          <cell r="E1013" t="str">
            <v>ANSERMANUEVO</v>
          </cell>
          <cell r="F1013" t="str">
            <v>76041</v>
          </cell>
          <cell r="G1013" t="str">
            <v>76</v>
          </cell>
        </row>
        <row r="1014">
          <cell r="E1014" t="str">
            <v>ARGELIA</v>
          </cell>
          <cell r="F1014" t="str">
            <v>76054</v>
          </cell>
          <cell r="G1014" t="str">
            <v>76</v>
          </cell>
        </row>
        <row r="1015">
          <cell r="E1015" t="str">
            <v>BOLIVAR</v>
          </cell>
          <cell r="F1015" t="str">
            <v>76100</v>
          </cell>
          <cell r="G1015" t="str">
            <v>76</v>
          </cell>
        </row>
        <row r="1016">
          <cell r="E1016" t="str">
            <v>BUENAVENTURA</v>
          </cell>
          <cell r="F1016" t="str">
            <v>76109</v>
          </cell>
          <cell r="G1016" t="str">
            <v>76</v>
          </cell>
        </row>
        <row r="1017">
          <cell r="E1017" t="str">
            <v>BUGA</v>
          </cell>
          <cell r="F1017" t="str">
            <v>76111</v>
          </cell>
          <cell r="G1017" t="str">
            <v>76</v>
          </cell>
        </row>
        <row r="1018">
          <cell r="E1018" t="str">
            <v>BUGALAGRANDE</v>
          </cell>
          <cell r="F1018" t="str">
            <v>76113</v>
          </cell>
          <cell r="G1018" t="str">
            <v>76</v>
          </cell>
        </row>
        <row r="1019">
          <cell r="E1019" t="str">
            <v>CAICEDONIA</v>
          </cell>
          <cell r="F1019" t="str">
            <v>76122</v>
          </cell>
          <cell r="G1019" t="str">
            <v>76</v>
          </cell>
        </row>
        <row r="1020">
          <cell r="E1020" t="str">
            <v>CALIMA-DARIEN</v>
          </cell>
          <cell r="F1020" t="str">
            <v>76126</v>
          </cell>
          <cell r="G1020" t="str">
            <v>76</v>
          </cell>
        </row>
        <row r="1021">
          <cell r="E1021" t="str">
            <v>CANDELARIA</v>
          </cell>
          <cell r="F1021" t="str">
            <v>76130</v>
          </cell>
          <cell r="G1021" t="str">
            <v>76</v>
          </cell>
        </row>
        <row r="1022">
          <cell r="E1022" t="str">
            <v>CARTAGO</v>
          </cell>
          <cell r="F1022" t="str">
            <v>76147</v>
          </cell>
          <cell r="G1022" t="str">
            <v>76</v>
          </cell>
        </row>
        <row r="1023">
          <cell r="E1023" t="str">
            <v>DAGUA</v>
          </cell>
          <cell r="F1023" t="str">
            <v>76233</v>
          </cell>
          <cell r="G1023" t="str">
            <v>76</v>
          </cell>
        </row>
        <row r="1024">
          <cell r="E1024" t="str">
            <v>EL AGUILA</v>
          </cell>
          <cell r="F1024" t="str">
            <v>76243</v>
          </cell>
          <cell r="G1024" t="str">
            <v>76</v>
          </cell>
        </row>
        <row r="1025">
          <cell r="E1025" t="str">
            <v>EL CAIRO</v>
          </cell>
          <cell r="F1025" t="str">
            <v>76246</v>
          </cell>
          <cell r="G1025" t="str">
            <v>76</v>
          </cell>
        </row>
        <row r="1026">
          <cell r="E1026" t="str">
            <v>EL CERRITO</v>
          </cell>
          <cell r="F1026" t="str">
            <v>76248</v>
          </cell>
          <cell r="G1026" t="str">
            <v>76</v>
          </cell>
        </row>
        <row r="1027">
          <cell r="E1027" t="str">
            <v>EL DOVIO</v>
          </cell>
          <cell r="F1027" t="str">
            <v>76250</v>
          </cell>
          <cell r="G1027" t="str">
            <v>76</v>
          </cell>
        </row>
        <row r="1028">
          <cell r="E1028" t="str">
            <v>FLORIDA</v>
          </cell>
          <cell r="F1028" t="str">
            <v>76275</v>
          </cell>
          <cell r="G1028" t="str">
            <v>76</v>
          </cell>
        </row>
        <row r="1029">
          <cell r="E1029" t="str">
            <v>GINEBRA</v>
          </cell>
          <cell r="F1029" t="str">
            <v>76306</v>
          </cell>
          <cell r="G1029" t="str">
            <v>76</v>
          </cell>
        </row>
        <row r="1030">
          <cell r="E1030" t="str">
            <v>GUACARI</v>
          </cell>
          <cell r="F1030" t="str">
            <v>76318</v>
          </cell>
          <cell r="G1030" t="str">
            <v>76</v>
          </cell>
        </row>
        <row r="1031">
          <cell r="E1031" t="str">
            <v>JAMUNDI</v>
          </cell>
          <cell r="F1031" t="str">
            <v>76364</v>
          </cell>
          <cell r="G1031" t="str">
            <v>76</v>
          </cell>
        </row>
        <row r="1032">
          <cell r="E1032" t="str">
            <v>LA CUMBRE</v>
          </cell>
          <cell r="F1032" t="str">
            <v>76377</v>
          </cell>
          <cell r="G1032" t="str">
            <v>76</v>
          </cell>
        </row>
        <row r="1033">
          <cell r="E1033" t="str">
            <v>LA UNION</v>
          </cell>
          <cell r="F1033" t="str">
            <v>76400</v>
          </cell>
          <cell r="G1033" t="str">
            <v>76</v>
          </cell>
        </row>
        <row r="1034">
          <cell r="E1034" t="str">
            <v>LA VICTORIA</v>
          </cell>
          <cell r="F1034" t="str">
            <v>76403</v>
          </cell>
          <cell r="G1034" t="str">
            <v>76</v>
          </cell>
        </row>
        <row r="1035">
          <cell r="E1035" t="str">
            <v>OBANDO</v>
          </cell>
          <cell r="F1035" t="str">
            <v>76497</v>
          </cell>
          <cell r="G1035" t="str">
            <v>76</v>
          </cell>
        </row>
        <row r="1036">
          <cell r="E1036" t="str">
            <v>PALMIRA</v>
          </cell>
          <cell r="F1036" t="str">
            <v>76520</v>
          </cell>
          <cell r="G1036" t="str">
            <v>76</v>
          </cell>
        </row>
        <row r="1037">
          <cell r="E1037" t="str">
            <v>PRADERA</v>
          </cell>
          <cell r="F1037" t="str">
            <v>76563</v>
          </cell>
          <cell r="G1037" t="str">
            <v>76</v>
          </cell>
        </row>
        <row r="1038">
          <cell r="E1038" t="str">
            <v>RESTREPO</v>
          </cell>
          <cell r="F1038" t="str">
            <v>76606</v>
          </cell>
          <cell r="G1038" t="str">
            <v>76</v>
          </cell>
        </row>
        <row r="1039">
          <cell r="E1039" t="str">
            <v>RIOFRIO</v>
          </cell>
          <cell r="F1039" t="str">
            <v>76616</v>
          </cell>
          <cell r="G1039" t="str">
            <v>76</v>
          </cell>
        </row>
        <row r="1040">
          <cell r="E1040" t="str">
            <v>ROLDANILLO</v>
          </cell>
          <cell r="F1040" t="str">
            <v>76622</v>
          </cell>
          <cell r="G1040" t="str">
            <v>76</v>
          </cell>
        </row>
        <row r="1041">
          <cell r="E1041" t="str">
            <v>SAN PEDRO</v>
          </cell>
          <cell r="F1041" t="str">
            <v>76670</v>
          </cell>
          <cell r="G1041" t="str">
            <v>76</v>
          </cell>
        </row>
        <row r="1042">
          <cell r="E1042" t="str">
            <v>SEVILLA</v>
          </cell>
          <cell r="F1042" t="str">
            <v>76736</v>
          </cell>
          <cell r="G1042" t="str">
            <v>76</v>
          </cell>
        </row>
        <row r="1043">
          <cell r="E1043" t="str">
            <v>TORO</v>
          </cell>
          <cell r="F1043" t="str">
            <v>76823</v>
          </cell>
          <cell r="G1043" t="str">
            <v>76</v>
          </cell>
        </row>
        <row r="1044">
          <cell r="E1044" t="str">
            <v>TRUJILLO</v>
          </cell>
          <cell r="F1044" t="str">
            <v>76828</v>
          </cell>
          <cell r="G1044" t="str">
            <v>76</v>
          </cell>
        </row>
        <row r="1045">
          <cell r="E1045" t="str">
            <v>TULUA</v>
          </cell>
          <cell r="F1045" t="str">
            <v>76834</v>
          </cell>
          <cell r="G1045" t="str">
            <v>76</v>
          </cell>
        </row>
        <row r="1046">
          <cell r="E1046" t="str">
            <v>ULLOA</v>
          </cell>
          <cell r="F1046" t="str">
            <v>76845</v>
          </cell>
          <cell r="G1046" t="str">
            <v>76</v>
          </cell>
        </row>
        <row r="1047">
          <cell r="E1047" t="str">
            <v>VERSALLES</v>
          </cell>
          <cell r="F1047" t="str">
            <v>76863</v>
          </cell>
          <cell r="G1047" t="str">
            <v>76</v>
          </cell>
        </row>
        <row r="1048">
          <cell r="E1048" t="str">
            <v>VIJES</v>
          </cell>
          <cell r="F1048" t="str">
            <v>76869</v>
          </cell>
          <cell r="G1048" t="str">
            <v>76</v>
          </cell>
        </row>
        <row r="1049">
          <cell r="E1049" t="str">
            <v>YOTOCO</v>
          </cell>
          <cell r="F1049" t="str">
            <v>76890</v>
          </cell>
          <cell r="G1049" t="str">
            <v>76</v>
          </cell>
        </row>
        <row r="1050">
          <cell r="E1050" t="str">
            <v>YUMBO</v>
          </cell>
          <cell r="F1050" t="str">
            <v>76892</v>
          </cell>
          <cell r="G1050" t="str">
            <v>76</v>
          </cell>
        </row>
        <row r="1051">
          <cell r="E1051" t="str">
            <v>ZARZAL</v>
          </cell>
          <cell r="F1051" t="str">
            <v>76895</v>
          </cell>
          <cell r="G1051" t="str">
            <v>76</v>
          </cell>
        </row>
        <row r="1052">
          <cell r="E1052" t="str">
            <v>ARAUCA</v>
          </cell>
          <cell r="F1052" t="str">
            <v>81001</v>
          </cell>
          <cell r="G1052" t="str">
            <v>81</v>
          </cell>
        </row>
        <row r="1053">
          <cell r="E1053" t="str">
            <v>ARAUQUITA</v>
          </cell>
          <cell r="F1053" t="str">
            <v>81065</v>
          </cell>
          <cell r="G1053" t="str">
            <v>81</v>
          </cell>
        </row>
        <row r="1054">
          <cell r="E1054" t="str">
            <v>CRAVO NORTE</v>
          </cell>
          <cell r="F1054" t="str">
            <v>81220</v>
          </cell>
          <cell r="G1054" t="str">
            <v>81</v>
          </cell>
        </row>
        <row r="1055">
          <cell r="E1055" t="str">
            <v>FORTUL</v>
          </cell>
          <cell r="F1055" t="str">
            <v>81300</v>
          </cell>
          <cell r="G1055" t="str">
            <v>81</v>
          </cell>
        </row>
        <row r="1056">
          <cell r="E1056" t="str">
            <v>PUERTO RONDON</v>
          </cell>
          <cell r="F1056" t="str">
            <v>81591</v>
          </cell>
          <cell r="G1056" t="str">
            <v>81</v>
          </cell>
        </row>
        <row r="1057">
          <cell r="E1057" t="str">
            <v>SARAVENA</v>
          </cell>
          <cell r="F1057" t="str">
            <v>81736</v>
          </cell>
          <cell r="G1057" t="str">
            <v>81</v>
          </cell>
        </row>
        <row r="1058">
          <cell r="E1058" t="str">
            <v>TAME</v>
          </cell>
          <cell r="F1058" t="str">
            <v>81794</v>
          </cell>
          <cell r="G1058" t="str">
            <v>81</v>
          </cell>
        </row>
        <row r="1059">
          <cell r="E1059" t="str">
            <v>YOPAL</v>
          </cell>
          <cell r="F1059" t="str">
            <v>85001</v>
          </cell>
          <cell r="G1059" t="str">
            <v>85</v>
          </cell>
        </row>
        <row r="1060">
          <cell r="E1060" t="str">
            <v>AGUAZUL</v>
          </cell>
          <cell r="F1060" t="str">
            <v>85010</v>
          </cell>
          <cell r="G1060" t="str">
            <v>85</v>
          </cell>
        </row>
        <row r="1061">
          <cell r="E1061" t="str">
            <v>CHAMEZA</v>
          </cell>
          <cell r="F1061" t="str">
            <v>85015</v>
          </cell>
          <cell r="G1061" t="str">
            <v>85</v>
          </cell>
        </row>
        <row r="1062">
          <cell r="E1062" t="str">
            <v>HATO COROZAL</v>
          </cell>
          <cell r="F1062" t="str">
            <v>85125</v>
          </cell>
          <cell r="G1062" t="str">
            <v>85</v>
          </cell>
        </row>
        <row r="1063">
          <cell r="E1063" t="str">
            <v>LA SALINA</v>
          </cell>
          <cell r="F1063" t="str">
            <v>85136</v>
          </cell>
          <cell r="G1063" t="str">
            <v>85</v>
          </cell>
        </row>
        <row r="1064">
          <cell r="E1064" t="str">
            <v>MANI</v>
          </cell>
          <cell r="F1064" t="str">
            <v>85139</v>
          </cell>
          <cell r="G1064" t="str">
            <v>85</v>
          </cell>
        </row>
        <row r="1065">
          <cell r="E1065" t="str">
            <v>MONTERREY</v>
          </cell>
          <cell r="F1065" t="str">
            <v>85162</v>
          </cell>
          <cell r="G1065" t="str">
            <v>85</v>
          </cell>
        </row>
        <row r="1066">
          <cell r="E1066" t="str">
            <v>NUNCHIA</v>
          </cell>
          <cell r="F1066" t="str">
            <v>85225</v>
          </cell>
          <cell r="G1066" t="str">
            <v>85</v>
          </cell>
        </row>
        <row r="1067">
          <cell r="E1067" t="str">
            <v>OROCUE</v>
          </cell>
          <cell r="F1067" t="str">
            <v>85230</v>
          </cell>
          <cell r="G1067" t="str">
            <v>85</v>
          </cell>
        </row>
        <row r="1068">
          <cell r="E1068" t="str">
            <v>PAZ DE ARIPORO</v>
          </cell>
          <cell r="F1068" t="str">
            <v>85250</v>
          </cell>
          <cell r="G1068" t="str">
            <v>85</v>
          </cell>
        </row>
        <row r="1069">
          <cell r="E1069" t="str">
            <v>PORE</v>
          </cell>
          <cell r="F1069" t="str">
            <v>85263</v>
          </cell>
          <cell r="G1069" t="str">
            <v>85</v>
          </cell>
        </row>
        <row r="1070">
          <cell r="E1070" t="str">
            <v>RECETOR</v>
          </cell>
          <cell r="F1070" t="str">
            <v>85279</v>
          </cell>
          <cell r="G1070" t="str">
            <v>85</v>
          </cell>
        </row>
        <row r="1071">
          <cell r="E1071" t="str">
            <v>SABANALARGA</v>
          </cell>
          <cell r="F1071" t="str">
            <v>85300</v>
          </cell>
          <cell r="G1071" t="str">
            <v>85</v>
          </cell>
        </row>
        <row r="1072">
          <cell r="E1072" t="str">
            <v>SACAMA</v>
          </cell>
          <cell r="F1072" t="str">
            <v>85315</v>
          </cell>
          <cell r="G1072" t="str">
            <v>85</v>
          </cell>
        </row>
        <row r="1073">
          <cell r="E1073" t="str">
            <v>SAN LUIS DE PALENQUE</v>
          </cell>
          <cell r="F1073" t="str">
            <v>85325</v>
          </cell>
          <cell r="G1073" t="str">
            <v>85</v>
          </cell>
        </row>
        <row r="1074">
          <cell r="E1074" t="str">
            <v>TAMARA</v>
          </cell>
          <cell r="F1074" t="str">
            <v>85400</v>
          </cell>
          <cell r="G1074" t="str">
            <v>85</v>
          </cell>
        </row>
        <row r="1075">
          <cell r="E1075" t="str">
            <v>TAURAMENA</v>
          </cell>
          <cell r="F1075" t="str">
            <v>85410</v>
          </cell>
          <cell r="G1075" t="str">
            <v>85</v>
          </cell>
        </row>
        <row r="1076">
          <cell r="E1076" t="str">
            <v>TRINIDAD</v>
          </cell>
          <cell r="F1076" t="str">
            <v>85430</v>
          </cell>
          <cell r="G1076" t="str">
            <v>85</v>
          </cell>
        </row>
        <row r="1077">
          <cell r="E1077" t="str">
            <v>VILLANUEVA</v>
          </cell>
          <cell r="F1077" t="str">
            <v>85440</v>
          </cell>
          <cell r="G1077" t="str">
            <v>85</v>
          </cell>
        </row>
        <row r="1078">
          <cell r="E1078" t="str">
            <v>MOCOA</v>
          </cell>
          <cell r="F1078" t="str">
            <v>86001</v>
          </cell>
          <cell r="G1078" t="str">
            <v>86</v>
          </cell>
        </row>
        <row r="1079">
          <cell r="E1079" t="str">
            <v>COLON</v>
          </cell>
          <cell r="F1079" t="str">
            <v>86219</v>
          </cell>
          <cell r="G1079" t="str">
            <v>86</v>
          </cell>
        </row>
        <row r="1080">
          <cell r="E1080" t="str">
            <v>ORITO</v>
          </cell>
          <cell r="F1080" t="str">
            <v>86320</v>
          </cell>
          <cell r="G1080" t="str">
            <v>86</v>
          </cell>
        </row>
        <row r="1081">
          <cell r="E1081" t="str">
            <v>PUERTO ASIS</v>
          </cell>
          <cell r="F1081" t="str">
            <v>86568</v>
          </cell>
          <cell r="G1081" t="str">
            <v>86</v>
          </cell>
        </row>
        <row r="1082">
          <cell r="E1082" t="str">
            <v>PUERTO CAYCEDO</v>
          </cell>
          <cell r="F1082" t="str">
            <v>86569</v>
          </cell>
          <cell r="G1082" t="str">
            <v>86</v>
          </cell>
        </row>
        <row r="1083">
          <cell r="E1083" t="str">
            <v>PUERTO GUZMAN</v>
          </cell>
          <cell r="F1083" t="str">
            <v>86571</v>
          </cell>
          <cell r="G1083" t="str">
            <v>86</v>
          </cell>
        </row>
        <row r="1084">
          <cell r="E1084" t="str">
            <v>PUERTO LEGUIZAMO</v>
          </cell>
          <cell r="F1084" t="str">
            <v>86573</v>
          </cell>
          <cell r="G1084" t="str">
            <v>86</v>
          </cell>
        </row>
        <row r="1085">
          <cell r="E1085" t="str">
            <v>SIBUNDOY</v>
          </cell>
          <cell r="F1085" t="str">
            <v>86749</v>
          </cell>
          <cell r="G1085" t="str">
            <v>86</v>
          </cell>
        </row>
        <row r="1086">
          <cell r="E1086" t="str">
            <v>SAN FRANCISCO</v>
          </cell>
          <cell r="F1086" t="str">
            <v>86755</v>
          </cell>
          <cell r="G1086" t="str">
            <v>86</v>
          </cell>
        </row>
        <row r="1087">
          <cell r="E1087" t="str">
            <v>SAN MIGUEL</v>
          </cell>
          <cell r="F1087" t="str">
            <v>86757</v>
          </cell>
          <cell r="G1087" t="str">
            <v>86</v>
          </cell>
        </row>
        <row r="1088">
          <cell r="E1088" t="str">
            <v>SANTIAGO</v>
          </cell>
          <cell r="F1088" t="str">
            <v>86760</v>
          </cell>
          <cell r="G1088" t="str">
            <v>86</v>
          </cell>
        </row>
        <row r="1089">
          <cell r="E1089" t="str">
            <v>VALLE DEL GUAMUEZ</v>
          </cell>
          <cell r="F1089" t="str">
            <v>86865</v>
          </cell>
          <cell r="G1089" t="str">
            <v>86</v>
          </cell>
        </row>
        <row r="1090">
          <cell r="E1090" t="str">
            <v>VILLAGARZON</v>
          </cell>
          <cell r="F1090" t="str">
            <v>86885</v>
          </cell>
          <cell r="G1090" t="str">
            <v>86</v>
          </cell>
        </row>
        <row r="1091">
          <cell r="E1091" t="str">
            <v>SAN ANDRES</v>
          </cell>
          <cell r="F1091" t="str">
            <v>88001</v>
          </cell>
          <cell r="G1091" t="str">
            <v>88</v>
          </cell>
        </row>
        <row r="1092">
          <cell r="E1092" t="str">
            <v>PROVIDENCIA</v>
          </cell>
          <cell r="F1092" t="str">
            <v>88564</v>
          </cell>
          <cell r="G1092" t="str">
            <v>88</v>
          </cell>
        </row>
        <row r="1093">
          <cell r="E1093" t="str">
            <v>LETICIA</v>
          </cell>
          <cell r="F1093" t="str">
            <v>91001</v>
          </cell>
          <cell r="G1093" t="str">
            <v>91</v>
          </cell>
        </row>
        <row r="1094">
          <cell r="E1094" t="str">
            <v>PUERTO NARIÑO</v>
          </cell>
          <cell r="F1094" t="str">
            <v>91540</v>
          </cell>
          <cell r="G1094" t="str">
            <v>91</v>
          </cell>
        </row>
        <row r="1095">
          <cell r="E1095" t="str">
            <v>INIRIDA</v>
          </cell>
          <cell r="F1095" t="str">
            <v>94001</v>
          </cell>
          <cell r="G1095" t="str">
            <v>94</v>
          </cell>
        </row>
        <row r="1096">
          <cell r="E1096" t="str">
            <v>SAN JOSE DEL GUAVIARE</v>
          </cell>
          <cell r="F1096" t="str">
            <v>95001</v>
          </cell>
          <cell r="G1096" t="str">
            <v>95</v>
          </cell>
        </row>
        <row r="1097">
          <cell r="E1097" t="str">
            <v>CALAMAR</v>
          </cell>
          <cell r="F1097" t="str">
            <v>95015</v>
          </cell>
          <cell r="G1097" t="str">
            <v>95</v>
          </cell>
        </row>
        <row r="1098">
          <cell r="E1098" t="str">
            <v>EL RETORNO</v>
          </cell>
          <cell r="F1098" t="str">
            <v>95025</v>
          </cell>
          <cell r="G1098" t="str">
            <v>95</v>
          </cell>
        </row>
        <row r="1099">
          <cell r="E1099" t="str">
            <v>MIRAFLORES</v>
          </cell>
          <cell r="F1099" t="str">
            <v>95200</v>
          </cell>
          <cell r="G1099" t="str">
            <v>95</v>
          </cell>
        </row>
        <row r="1100">
          <cell r="E1100" t="str">
            <v>MITU</v>
          </cell>
          <cell r="F1100" t="str">
            <v>97001</v>
          </cell>
          <cell r="G1100" t="str">
            <v>97</v>
          </cell>
        </row>
        <row r="1101">
          <cell r="E1101" t="str">
            <v>CARURU</v>
          </cell>
          <cell r="F1101" t="str">
            <v>97161</v>
          </cell>
          <cell r="G1101" t="str">
            <v>97</v>
          </cell>
        </row>
        <row r="1102">
          <cell r="E1102" t="str">
            <v>TARAIRA</v>
          </cell>
          <cell r="F1102" t="str">
            <v>97666</v>
          </cell>
          <cell r="G1102" t="str">
            <v>97</v>
          </cell>
        </row>
        <row r="1103">
          <cell r="E1103" t="str">
            <v>PUERTO CARREÑO</v>
          </cell>
          <cell r="F1103" t="str">
            <v>99001</v>
          </cell>
          <cell r="G1103" t="str">
            <v>99</v>
          </cell>
        </row>
        <row r="1104">
          <cell r="E1104" t="str">
            <v>LA PRIMAVERA</v>
          </cell>
          <cell r="F1104" t="str">
            <v>99524</v>
          </cell>
          <cell r="G1104" t="str">
            <v>99</v>
          </cell>
        </row>
        <row r="1105">
          <cell r="E1105" t="str">
            <v>SANTA ROSALIA</v>
          </cell>
          <cell r="F1105" t="str">
            <v>99624</v>
          </cell>
          <cell r="G1105" t="str">
            <v>99</v>
          </cell>
        </row>
        <row r="1106">
          <cell r="E1106" t="str">
            <v>CUMARIBO</v>
          </cell>
          <cell r="F1106" t="str">
            <v>99773</v>
          </cell>
          <cell r="G1106" t="str">
            <v>99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  <sheetName val="BASE 2006 - 2012"/>
      <sheetName val="CUA1-3"/>
      <sheetName val="due dilligence"/>
      <sheetName val="Anexo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Hoja2"/>
    </sheetNames>
    <sheetDataSet>
      <sheetData sheetId="0" refreshError="1"/>
      <sheetData sheetId="1">
        <row r="5">
          <cell r="S5" t="str">
            <v>Transporte</v>
          </cell>
        </row>
        <row r="6">
          <cell r="S6" t="str">
            <v>Agua potable  y saneamiento básico</v>
          </cell>
        </row>
        <row r="7">
          <cell r="S7" t="str">
            <v>Educación</v>
          </cell>
        </row>
        <row r="8">
          <cell r="S8" t="str">
            <v>Salud y protección social</v>
          </cell>
        </row>
        <row r="9">
          <cell r="S9" t="str">
            <v>Vivienda</v>
          </cell>
        </row>
        <row r="10">
          <cell r="S10" t="str">
            <v>Agricultura</v>
          </cell>
        </row>
        <row r="11">
          <cell r="S11" t="str">
            <v>Deporte y recreación</v>
          </cell>
        </row>
        <row r="12">
          <cell r="S12" t="str">
            <v>Comercio, industria y turismo</v>
          </cell>
        </row>
        <row r="13">
          <cell r="S13" t="str">
            <v>Minas y Energía</v>
          </cell>
        </row>
        <row r="14">
          <cell r="S14" t="str">
            <v xml:space="preserve">Inclusión social y reconciliación </v>
          </cell>
        </row>
        <row r="15">
          <cell r="S15" t="str">
            <v>Comunicaciones</v>
          </cell>
        </row>
        <row r="16">
          <cell r="S16" t="str">
            <v>Cultura</v>
          </cell>
        </row>
        <row r="17">
          <cell r="S17" t="str">
            <v>Infraestructura pública</v>
          </cell>
        </row>
        <row r="18">
          <cell r="S18" t="str">
            <v>Fortalecimiento instituciónal</v>
          </cell>
        </row>
        <row r="19">
          <cell r="S19" t="str">
            <v>Gestión del riesgo</v>
          </cell>
        </row>
        <row r="20">
          <cell r="S20" t="str">
            <v>Vivienda rural</v>
          </cell>
        </row>
        <row r="21">
          <cell r="S21" t="str">
            <v>Ambiente y desarrollo sostenible</v>
          </cell>
        </row>
        <row r="22">
          <cell r="S22" t="str">
            <v>Infancia y Adolescencia</v>
          </cell>
        </row>
        <row r="23">
          <cell r="S23" t="str">
            <v>Defensa</v>
          </cell>
        </row>
        <row r="24">
          <cell r="S24" t="str">
            <v>Justicia y del derecho</v>
          </cell>
        </row>
        <row r="25">
          <cell r="S25" t="str">
            <v>Trabajo</v>
          </cell>
        </row>
        <row r="26">
          <cell r="S26" t="str">
            <v>Sistemas de información</v>
          </cell>
        </row>
        <row r="27">
          <cell r="S27" t="str">
            <v>Equipamiento urbano</v>
          </cell>
        </row>
        <row r="28">
          <cell r="S28" t="str">
            <v>Desarrollo institucional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PuntajeSerieEnt"/>
      <sheetName val="ResumenEntidad"/>
      <sheetName val="ResumenAgregados"/>
      <sheetName val="DatosGraficas"/>
      <sheetName val="Rangos agregados"/>
      <sheetName val="PuntajeSerieAgregado"/>
      <sheetName val="BaseDatosAgregados"/>
      <sheetName val="DatosAgregados"/>
      <sheetName val="Memorias serie datos"/>
      <sheetName val="DetalleAgregados"/>
      <sheetName val="DetalleEntidad"/>
      <sheetName val="Cods Entidad"/>
      <sheetName val="RangosEntidad"/>
      <sheetName val="CatalogoAgregados"/>
      <sheetName val="Validadores"/>
      <sheetName val="CalcConsolidProyecto"/>
      <sheetName val="ConsolidIndicProyecto"/>
      <sheetName val="ConsolidIndicEntidad"/>
      <sheetName val="ReporteCtas"/>
      <sheetName val="ReportGesproy"/>
      <sheetName val="ReporteOportCtas"/>
      <sheetName val="ReporteOportGesProy"/>
      <sheetName val="ConsistenciaInformacion"/>
      <sheetName val="ConsistenciaProgramacion"/>
      <sheetName val="SinMedidasSMSEC"/>
      <sheetName val="ContrataOportuna"/>
      <sheetName val="AvanceFisFin"/>
      <sheetName val="EjecucionPlazoInicial"/>
      <sheetName val="CumpleProgramActual"/>
      <sheetName val="CumplePresupuesto"/>
      <sheetName val="CumpleTerminacion"/>
      <sheetName val="CumpleMetas"/>
      <sheetName val="ProyCerrados"/>
      <sheetName val="Proy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AB10" t="str">
            <v>15218</v>
          </cell>
        </row>
      </sheetData>
      <sheetData sheetId="10"/>
      <sheetData sheetId="11"/>
      <sheetData sheetId="12"/>
      <sheetData sheetId="13">
        <row r="2">
          <cell r="A2" t="str">
            <v>CAR</v>
          </cell>
        </row>
        <row r="3">
          <cell r="A3" t="str">
            <v>Otras_Entidades</v>
          </cell>
        </row>
        <row r="4">
          <cell r="A4" t="str">
            <v>Amazonas</v>
          </cell>
        </row>
        <row r="5">
          <cell r="A5" t="str">
            <v>Antioquia</v>
          </cell>
        </row>
        <row r="6">
          <cell r="A6" t="str">
            <v>Arauca</v>
          </cell>
        </row>
        <row r="7">
          <cell r="A7" t="str">
            <v>Atlántico</v>
          </cell>
        </row>
        <row r="8">
          <cell r="A8" t="str">
            <v>Bogotá_D.C.</v>
          </cell>
        </row>
        <row r="9">
          <cell r="A9" t="str">
            <v>Bolívar</v>
          </cell>
        </row>
        <row r="10">
          <cell r="A10" t="str">
            <v>Boyacá</v>
          </cell>
        </row>
        <row r="11">
          <cell r="A11" t="str">
            <v>Caldas</v>
          </cell>
        </row>
        <row r="12">
          <cell r="A12" t="str">
            <v>Caquetá</v>
          </cell>
        </row>
        <row r="13">
          <cell r="A13" t="str">
            <v>Casanare</v>
          </cell>
        </row>
        <row r="14">
          <cell r="A14" t="str">
            <v>Cauca</v>
          </cell>
        </row>
        <row r="15">
          <cell r="A15" t="str">
            <v>Cesar</v>
          </cell>
        </row>
        <row r="16">
          <cell r="A16" t="str">
            <v>Chocó</v>
          </cell>
        </row>
        <row r="17">
          <cell r="A17" t="str">
            <v>Córdoba</v>
          </cell>
        </row>
        <row r="18">
          <cell r="A18" t="str">
            <v>Cundinamarca</v>
          </cell>
        </row>
        <row r="19">
          <cell r="A19" t="str">
            <v>Guainía</v>
          </cell>
        </row>
        <row r="20">
          <cell r="A20" t="str">
            <v>Guaviare</v>
          </cell>
        </row>
        <row r="21">
          <cell r="A21" t="str">
            <v>Huila</v>
          </cell>
        </row>
        <row r="22">
          <cell r="A22" t="str">
            <v>La_Guajira</v>
          </cell>
        </row>
        <row r="23">
          <cell r="A23" t="str">
            <v>Magdalena</v>
          </cell>
        </row>
        <row r="24">
          <cell r="A24" t="str">
            <v>Meta</v>
          </cell>
        </row>
        <row r="25">
          <cell r="A25" t="str">
            <v>Nariño</v>
          </cell>
        </row>
        <row r="26">
          <cell r="A26" t="str">
            <v>Norte_de_Santander</v>
          </cell>
        </row>
        <row r="27">
          <cell r="A27" t="str">
            <v>Putumayo</v>
          </cell>
        </row>
        <row r="28">
          <cell r="A28" t="str">
            <v>Quindío</v>
          </cell>
        </row>
        <row r="29">
          <cell r="A29" t="str">
            <v>Risaralda</v>
          </cell>
        </row>
        <row r="30">
          <cell r="A30" t="str">
            <v>San_Andrés</v>
          </cell>
        </row>
        <row r="31">
          <cell r="A31" t="str">
            <v>Santander</v>
          </cell>
        </row>
        <row r="32">
          <cell r="A32" t="str">
            <v>Sucre</v>
          </cell>
        </row>
        <row r="33">
          <cell r="A33" t="str">
            <v>Tolima</v>
          </cell>
        </row>
        <row r="34">
          <cell r="A34" t="str">
            <v>Valle_del_Cauca</v>
          </cell>
        </row>
        <row r="35">
          <cell r="A35" t="str">
            <v>Vaupés</v>
          </cell>
        </row>
        <row r="36">
          <cell r="A36" t="str">
            <v>Vichada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Inversiones USD"/>
      <sheetName val="Futuros FAEP"/>
      <sheetName val="Forex FAEP"/>
      <sheetName val="C.O. FAEP"/>
    </sheetNames>
    <sheetDataSet>
      <sheetData sheetId="0">
        <row r="10">
          <cell r="H10">
            <v>1913.98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i"/>
      <sheetName val="Datos"/>
      <sheetName val="Seguimiento CSF"/>
      <sheetName val="Resumen OPEF"/>
      <sheetName val="Resumen MES OPEF"/>
      <sheetName val="VIGN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B36F-43AE-441B-837C-9C0D5A859645}">
  <sheetPr>
    <outlinePr summaryBelow="0" summaryRight="0"/>
    <pageSetUpPr autoPageBreaks="0" fitToPage="1"/>
  </sheetPr>
  <dimension ref="A1:BG57"/>
  <sheetViews>
    <sheetView showGridLines="0" tabSelected="1" zoomScaleNormal="100" workbookViewId="0">
      <selection activeCell="B17" sqref="B17"/>
    </sheetView>
  </sheetViews>
  <sheetFormatPr baseColWidth="10" defaultColWidth="20.7109375" defaultRowHeight="12.75" x14ac:dyDescent="0.2"/>
  <cols>
    <col min="1" max="1" width="0.42578125" style="1" customWidth="1"/>
    <col min="2" max="2" width="20.85546875" style="12" customWidth="1"/>
    <col min="3" max="3" width="16.28515625" style="2" customWidth="1"/>
    <col min="4" max="4" width="30.5703125" style="7" customWidth="1"/>
    <col min="5" max="5" width="42" style="8" customWidth="1"/>
    <col min="6" max="6" width="21.85546875" style="8" customWidth="1"/>
    <col min="7" max="30" width="20.7109375" style="8" customWidth="1"/>
    <col min="31" max="32" width="20.7109375" style="8"/>
    <col min="33" max="33" width="4.42578125" style="8" customWidth="1"/>
    <col min="34" max="16384" width="20.7109375" style="8"/>
  </cols>
  <sheetData>
    <row r="1" spans="1:59" s="1" customFormat="1" x14ac:dyDescent="0.2"/>
    <row r="2" spans="1:59" s="1" customFormat="1" x14ac:dyDescent="0.2"/>
    <row r="3" spans="1:59" s="1" customFormat="1" ht="38.25" customHeight="1" x14ac:dyDescent="0.2">
      <c r="C3" s="2"/>
      <c r="D3" s="3" t="s">
        <v>0</v>
      </c>
      <c r="E3" s="4"/>
      <c r="F3" s="4"/>
    </row>
    <row r="4" spans="1:59" s="1" customFormat="1" x14ac:dyDescent="0.2">
      <c r="C4" s="5" t="s">
        <v>1</v>
      </c>
    </row>
    <row r="5" spans="1:59" s="1" customFormat="1" x14ac:dyDescent="0.2"/>
    <row r="6" spans="1:59" s="1" customFormat="1" ht="12.75" customHeight="1" x14ac:dyDescent="0.2">
      <c r="C6" s="2"/>
      <c r="D6" s="3" t="s">
        <v>2</v>
      </c>
      <c r="E6" s="4"/>
      <c r="F6" s="4"/>
    </row>
    <row r="7" spans="1:59" s="1" customFormat="1" x14ac:dyDescent="0.2"/>
    <row r="8" spans="1:59" s="1" customFormat="1" x14ac:dyDescent="0.2"/>
    <row r="9" spans="1:59" x14ac:dyDescent="0.2">
      <c r="B9" s="6" t="s">
        <v>3</v>
      </c>
    </row>
    <row r="10" spans="1:59" x14ac:dyDescent="0.2">
      <c r="B10" s="6" t="s">
        <v>4</v>
      </c>
      <c r="D10" s="8"/>
    </row>
    <row r="11" spans="1:59" x14ac:dyDescent="0.2">
      <c r="B11" s="6" t="s">
        <v>5</v>
      </c>
      <c r="D11" s="6"/>
    </row>
    <row r="12" spans="1:59" x14ac:dyDescent="0.2">
      <c r="B12" s="6" t="s">
        <v>6</v>
      </c>
      <c r="D12" s="6"/>
    </row>
    <row r="13" spans="1:59" x14ac:dyDescent="0.2">
      <c r="B13" s="6" t="s">
        <v>7</v>
      </c>
      <c r="D13" s="6"/>
    </row>
    <row r="14" spans="1:59" s="1" customFormat="1" ht="31.5" customHeight="1" x14ac:dyDescent="0.2">
      <c r="B14" s="9" t="s">
        <v>8</v>
      </c>
      <c r="C14" s="10" t="s">
        <v>9</v>
      </c>
      <c r="D14" s="11"/>
    </row>
    <row r="15" spans="1:59" s="1" customFormat="1" x14ac:dyDescent="0.2">
      <c r="B15" s="12"/>
      <c r="C15" s="6"/>
      <c r="D15" s="6"/>
    </row>
    <row r="16" spans="1:59" s="14" customFormat="1" x14ac:dyDescent="0.2">
      <c r="A16" s="1"/>
      <c r="B16" s="13"/>
      <c r="D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AD16" s="16"/>
      <c r="AE16" s="16"/>
      <c r="AF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BE16" s="16"/>
      <c r="BF16" s="16"/>
      <c r="BG16" s="16"/>
    </row>
    <row r="17" spans="2:59" ht="37.5" customHeight="1" x14ac:dyDescent="0.2">
      <c r="B17" s="17" t="s">
        <v>10</v>
      </c>
      <c r="C17" s="17" t="s">
        <v>11</v>
      </c>
      <c r="D17" s="17" t="s">
        <v>12</v>
      </c>
      <c r="E17" s="17" t="s">
        <v>13</v>
      </c>
      <c r="F17" s="17" t="s">
        <v>14</v>
      </c>
      <c r="G17" s="17" t="s">
        <v>15</v>
      </c>
      <c r="H17" s="17" t="s">
        <v>16</v>
      </c>
      <c r="I17" s="17" t="s">
        <v>17</v>
      </c>
      <c r="J17" s="17" t="s">
        <v>18</v>
      </c>
      <c r="K17" s="17" t="s">
        <v>19</v>
      </c>
      <c r="L17" s="17" t="s">
        <v>20</v>
      </c>
      <c r="M17" s="17" t="s">
        <v>21</v>
      </c>
      <c r="N17" s="17" t="s">
        <v>22</v>
      </c>
      <c r="O17" s="17" t="s">
        <v>23</v>
      </c>
      <c r="P17" s="17" t="s">
        <v>24</v>
      </c>
      <c r="Q17" s="17" t="s">
        <v>25</v>
      </c>
      <c r="R17" s="17" t="s">
        <v>26</v>
      </c>
      <c r="S17" s="17" t="s">
        <v>27</v>
      </c>
      <c r="T17" s="17" t="s">
        <v>28</v>
      </c>
      <c r="U17" s="17" t="s">
        <v>29</v>
      </c>
      <c r="V17" s="17" t="s">
        <v>30</v>
      </c>
      <c r="W17" s="17" t="s">
        <v>31</v>
      </c>
      <c r="X17" s="17" t="s">
        <v>32</v>
      </c>
      <c r="Y17" s="17" t="s">
        <v>33</v>
      </c>
      <c r="Z17" s="17" t="s">
        <v>34</v>
      </c>
      <c r="AA17" s="17" t="s">
        <v>35</v>
      </c>
      <c r="AB17" s="17" t="s">
        <v>36</v>
      </c>
      <c r="AC17" s="17" t="s">
        <v>37</v>
      </c>
      <c r="AD17" s="17" t="s">
        <v>38</v>
      </c>
      <c r="AE17" s="17" t="s">
        <v>39</v>
      </c>
      <c r="AF17" s="17" t="s">
        <v>40</v>
      </c>
      <c r="AH17" s="18" t="s">
        <v>15</v>
      </c>
      <c r="AI17" s="18" t="s">
        <v>16</v>
      </c>
      <c r="AJ17" s="18" t="s">
        <v>17</v>
      </c>
      <c r="AK17" s="18" t="s">
        <v>18</v>
      </c>
      <c r="AL17" s="18" t="s">
        <v>19</v>
      </c>
      <c r="AM17" s="18" t="s">
        <v>20</v>
      </c>
      <c r="AN17" s="18" t="s">
        <v>21</v>
      </c>
      <c r="AO17" s="18" t="s">
        <v>22</v>
      </c>
      <c r="AP17" s="18" t="s">
        <v>23</v>
      </c>
      <c r="AQ17" s="18" t="s">
        <v>24</v>
      </c>
      <c r="AR17" s="18" t="s">
        <v>25</v>
      </c>
      <c r="AS17" s="18" t="s">
        <v>26</v>
      </c>
      <c r="AT17" s="18" t="s">
        <v>27</v>
      </c>
      <c r="AU17" s="18" t="s">
        <v>28</v>
      </c>
      <c r="AV17" s="18" t="s">
        <v>29</v>
      </c>
      <c r="AW17" s="18" t="s">
        <v>30</v>
      </c>
      <c r="AX17" s="18" t="s">
        <v>31</v>
      </c>
      <c r="AY17" s="18" t="s">
        <v>32</v>
      </c>
      <c r="AZ17" s="18" t="s">
        <v>33</v>
      </c>
      <c r="BA17" s="18" t="s">
        <v>34</v>
      </c>
      <c r="BB17" s="18" t="s">
        <v>35</v>
      </c>
      <c r="BC17" s="18" t="s">
        <v>36</v>
      </c>
      <c r="BD17" s="18" t="s">
        <v>37</v>
      </c>
      <c r="BE17" s="18" t="s">
        <v>38</v>
      </c>
      <c r="BF17" s="18" t="s">
        <v>39</v>
      </c>
      <c r="BG17" s="18" t="s">
        <v>40</v>
      </c>
    </row>
    <row r="18" spans="2:59" ht="15" customHeight="1" x14ac:dyDescent="0.25">
      <c r="B18" s="19" t="s">
        <v>41</v>
      </c>
      <c r="C18" s="19" t="s">
        <v>42</v>
      </c>
      <c r="D18" s="19" t="s">
        <v>43</v>
      </c>
      <c r="E18" s="19" t="s">
        <v>44</v>
      </c>
      <c r="F18" s="20">
        <f>VLOOKUP($B18,'[1]IAC - Base'!$A$6:$BH$45,'[1]IAC - Base'!G$1,0)</f>
        <v>34382973996</v>
      </c>
      <c r="G18" s="20">
        <f>VLOOKUP($B18,'[1]IAC - Base'!$A$6:$BH$45,'[1]IAC - Base'!H$1,0)</f>
        <v>0</v>
      </c>
      <c r="H18" s="20">
        <f>VLOOKUP($B18,'[1]IAC - Base'!$A$6:$BH$45,'[1]IAC - Base'!I$1,0)</f>
        <v>0</v>
      </c>
      <c r="I18" s="20">
        <f>VLOOKUP($B18,'[1]IAC - Base'!$A$6:$BH$45,'[1]IAC - Base'!J$1,0)</f>
        <v>0</v>
      </c>
      <c r="J18" s="20">
        <f>VLOOKUP($B18,'[1]IAC - Base'!$A$6:$BH$45,'[1]IAC - Base'!K$1,0)</f>
        <v>0</v>
      </c>
      <c r="K18" s="20">
        <f>VLOOKUP($B18,'[1]IAC - Base'!$A$6:$BH$45,'[1]IAC - Base'!L$1,0)</f>
        <v>6857648681.7299995</v>
      </c>
      <c r="L18" s="20">
        <f>VLOOKUP($B18,'[1]IAC - Base'!$A$6:$BH$45,'[1]IAC - Base'!M$1,0)</f>
        <v>1128418688.8199999</v>
      </c>
      <c r="M18" s="20">
        <f>VLOOKUP($B18,'[1]IAC - Base'!$A$6:$BH$45,'[1]IAC - Base'!N$1,0)</f>
        <v>1232425224.6800001</v>
      </c>
      <c r="N18" s="20">
        <f>VLOOKUP($B18,'[1]IAC - Base'!$A$6:$BH$45,'[1]IAC - Base'!O$1,0)</f>
        <v>1014123686.28</v>
      </c>
      <c r="O18" s="20">
        <f>VLOOKUP($B18,'[1]IAC - Base'!$A$6:$BH$45,'[1]IAC - Base'!P$1,0)</f>
        <v>1172668138.04</v>
      </c>
      <c r="P18" s="20">
        <f>VLOOKUP($B18,'[1]IAC - Base'!$A$6:$BH$45,'[1]IAC - Base'!Q$1,0)</f>
        <v>0</v>
      </c>
      <c r="Q18" s="20">
        <f>VLOOKUP($B18,'[1]IAC - Base'!$A$6:$BH$45,'[1]IAC - Base'!R$1,0)</f>
        <v>0</v>
      </c>
      <c r="R18" s="20">
        <f>VLOOKUP($B18,'[1]IAC - Base'!$A$6:$BH$45,'[1]IAC - Base'!S$1,0)</f>
        <v>0</v>
      </c>
      <c r="S18" s="20">
        <f>VLOOKUP($B18,'[1]IAC - Base'!$A$6:$BH$45,'[1]IAC - Base'!T$1,0)</f>
        <v>0</v>
      </c>
      <c r="T18" s="20">
        <f>VLOOKUP($B18,'[1]IAC - Base'!$A$6:$BH$45,'[1]IAC - Base'!U$1,0)</f>
        <v>0</v>
      </c>
      <c r="U18" s="20">
        <f>VLOOKUP($B18,'[1]IAC - Base'!$A$6:$BH$45,'[1]IAC - Base'!V$1,0)</f>
        <v>0</v>
      </c>
      <c r="V18" s="20">
        <f>VLOOKUP($B18,'[1]IAC - Base'!$A$6:$BH$45,'[1]IAC - Base'!W$1,0)</f>
        <v>0</v>
      </c>
      <c r="W18" s="20">
        <f>VLOOKUP($B18,'[1]IAC - Base'!$A$6:$BH$45,'[1]IAC - Base'!X$1,0)</f>
        <v>0</v>
      </c>
      <c r="X18" s="20">
        <f>VLOOKUP($B18,'[1]IAC - Base'!$A$6:$BH$45,'[1]IAC - Base'!Y$1,0)</f>
        <v>0</v>
      </c>
      <c r="Y18" s="20">
        <f>VLOOKUP($B18,'[1]IAC - Base'!$A$6:$BH$45,'[1]IAC - Base'!Z$1,0)</f>
        <v>0</v>
      </c>
      <c r="Z18" s="20">
        <f>VLOOKUP($B18,'[1]IAC - Base'!$A$6:$BH$45,'[1]IAC - Base'!AA$1,0)</f>
        <v>0</v>
      </c>
      <c r="AA18" s="20">
        <f>VLOOKUP($B18,'[1]IAC - Base'!$A$6:$BH$45,'[1]IAC - Base'!AB$1,0)</f>
        <v>0</v>
      </c>
      <c r="AB18" s="20">
        <f>VLOOKUP($B18,'[1]IAC - Base'!$A$6:$BH$45,'[1]IAC - Base'!AC$1,0)</f>
        <v>0</v>
      </c>
      <c r="AC18" s="20">
        <f>VLOOKUP($B18,'[1]IAC - Base'!$A$6:$BH$45,'[1]IAC - Base'!AD$1,0)</f>
        <v>0</v>
      </c>
      <c r="AD18" s="20">
        <f>VLOOKUP($B18,'[1]IAC - Base'!$A$6:$BH$45,'[1]IAC - Base'!AE$1,0)</f>
        <v>0</v>
      </c>
      <c r="AE18" s="20">
        <f>SUM(G18:AD18)</f>
        <v>11405284419.549999</v>
      </c>
      <c r="AF18" s="21">
        <f>IFERROR(AE18/F18,0)</f>
        <v>0.33171314444401617</v>
      </c>
      <c r="AH18" s="20">
        <f>VLOOKUP($B18,'[1]IAC - Base'!$A$6:$BH$45,'[1]IAC - Base'!AI$1,0)</f>
        <v>1649855061.95</v>
      </c>
      <c r="AI18" s="20">
        <f>VLOOKUP($B18,'[1]IAC - Base'!$A$6:$BH$45,'[1]IAC - Base'!AJ$1,0)</f>
        <v>1214831485.4000001</v>
      </c>
      <c r="AJ18" s="20">
        <f>VLOOKUP($B18,'[1]IAC - Base'!$A$6:$BH$45,'[1]IAC - Base'!AK$1,0)</f>
        <v>1251501076.72</v>
      </c>
      <c r="AK18" s="20">
        <f>VLOOKUP($B18,'[1]IAC - Base'!$A$6:$BH$45,'[1]IAC - Base'!AL$1,0)</f>
        <v>1504847204.3199999</v>
      </c>
      <c r="AL18" s="20">
        <f>VLOOKUP($B18,'[1]IAC - Base'!$A$6:$BH$45,'[1]IAC - Base'!AM$1,0)</f>
        <v>1308408788.9300001</v>
      </c>
      <c r="AM18" s="20">
        <f>VLOOKUP($B18,'[1]IAC - Base'!$A$6:$BH$45,'[1]IAC - Base'!AN$1,0)</f>
        <v>1163400929.6800001</v>
      </c>
      <c r="AN18" s="20">
        <f>VLOOKUP($B18,'[1]IAC - Base'!$A$6:$BH$45,'[1]IAC - Base'!AO$1,0)</f>
        <v>1592947350.95</v>
      </c>
      <c r="AO18" s="20">
        <f>VLOOKUP($B18,'[1]IAC - Base'!$A$6:$BH$45,'[1]IAC - Base'!AP$1,0)</f>
        <v>1536039638.8699999</v>
      </c>
      <c r="AP18" s="20">
        <f>VLOOKUP($B18,'[1]IAC - Base'!$A$6:$BH$45,'[1]IAC - Base'!AQ$1,0)</f>
        <v>1163400929.6800001</v>
      </c>
      <c r="AQ18" s="20">
        <f>VLOOKUP($B18,'[1]IAC - Base'!$A$6:$BH$45,'[1]IAC - Base'!AR$1,0)</f>
        <v>1649855063.1700001</v>
      </c>
      <c r="AR18" s="20">
        <f>VLOOKUP($B18,'[1]IAC - Base'!$A$6:$BH$45,'[1]IAC - Base'!AS$1,0)</f>
        <v>1561754916.4000001</v>
      </c>
      <c r="AS18" s="20">
        <f>VLOOKUP($B18,'[1]IAC - Base'!$A$6:$BH$45,'[1]IAC - Base'!AT$1,0)</f>
        <v>1479131926.25</v>
      </c>
      <c r="AT18" s="20">
        <f>VLOOKUP($B18,'[1]IAC - Base'!$A$6:$BH$45,'[1]IAC - Base'!AU$1,0)</f>
        <v>1552394922.73</v>
      </c>
      <c r="AU18" s="20">
        <f>VLOOKUP($B18,'[1]IAC - Base'!$A$6:$BH$45,'[1]IAC - Base'!AV$1,0)</f>
        <v>1236176296.1199999</v>
      </c>
      <c r="AV18" s="20">
        <f>VLOOKUP($B18,'[1]IAC - Base'!$A$6:$BH$45,'[1]IAC - Base'!AW$1,0)</f>
        <v>1223953425.8900001</v>
      </c>
      <c r="AW18" s="20">
        <f>VLOOKUP($B18,'[1]IAC - Base'!$A$6:$BH$45,'[1]IAC - Base'!AX$1,0)</f>
        <v>1629456213.3900001</v>
      </c>
      <c r="AX18" s="20">
        <f>VLOOKUP($B18,'[1]IAC - Base'!$A$6:$BH$45,'[1]IAC - Base'!AY$1,0)</f>
        <v>1388174174.78</v>
      </c>
      <c r="AY18" s="20">
        <f>VLOOKUP($B18,'[1]IAC - Base'!$A$6:$BH$45,'[1]IAC - Base'!AZ$1,0)</f>
        <v>1301014715.47</v>
      </c>
      <c r="AZ18" s="20">
        <f>VLOOKUP($B18,'[1]IAC - Base'!$A$6:$BH$45,'[1]IAC - Base'!BA$1,0)</f>
        <v>1607135173.4300001</v>
      </c>
      <c r="BA18" s="20">
        <f>VLOOKUP($B18,'[1]IAC - Base'!$A$6:$BH$45,'[1]IAC - Base'!BB$1,0)</f>
        <v>1552394924.0699999</v>
      </c>
      <c r="BB18" s="20">
        <f>VLOOKUP($B18,'[1]IAC - Base'!$A$6:$BH$45,'[1]IAC - Base'!BC$1,0)</f>
        <v>1191534216.21</v>
      </c>
      <c r="BC18" s="20">
        <f>VLOOKUP($B18,'[1]IAC - Base'!$A$6:$BH$45,'[1]IAC - Base'!BD$1,0)</f>
        <v>1661875423.0599999</v>
      </c>
      <c r="BD18" s="20">
        <f>VLOOKUP($B18,'[1]IAC - Base'!$A$6:$BH$45,'[1]IAC - Base'!BE$1,0)</f>
        <v>1519975714.4000001</v>
      </c>
      <c r="BE18" s="20">
        <f>VLOOKUP($B18,'[1]IAC - Base'!$A$6:$BH$45,'[1]IAC - Base'!BF$1,0)</f>
        <v>1442914424.1400001</v>
      </c>
      <c r="BF18" s="20">
        <f>SUM(AH18:BE18)</f>
        <v>34382973996.010002</v>
      </c>
      <c r="BG18" s="21">
        <f>IFERROR(BF18/F18,0)</f>
        <v>1.0000000000002909</v>
      </c>
    </row>
    <row r="19" spans="2:59" ht="15" customHeight="1" x14ac:dyDescent="0.25">
      <c r="B19" s="19" t="s">
        <v>45</v>
      </c>
      <c r="C19" s="19" t="s">
        <v>42</v>
      </c>
      <c r="D19" s="19" t="s">
        <v>46</v>
      </c>
      <c r="E19" s="19" t="s">
        <v>47</v>
      </c>
      <c r="F19" s="20">
        <f>VLOOKUP($B19,'[1]IAC - Base'!$A$6:$BH$45,'[1]IAC - Base'!G$1,0)</f>
        <v>36890922968</v>
      </c>
      <c r="G19" s="20">
        <f>VLOOKUP($B19,'[1]IAC - Base'!$A$6:$BH$45,'[1]IAC - Base'!H$1,0)</f>
        <v>0</v>
      </c>
      <c r="H19" s="20">
        <f>VLOOKUP($B19,'[1]IAC - Base'!$A$6:$BH$45,'[1]IAC - Base'!I$1,0)</f>
        <v>0</v>
      </c>
      <c r="I19" s="20">
        <f>VLOOKUP($B19,'[1]IAC - Base'!$A$6:$BH$45,'[1]IAC - Base'!J$1,0)</f>
        <v>0</v>
      </c>
      <c r="J19" s="20">
        <f>VLOOKUP($B19,'[1]IAC - Base'!$A$6:$BH$45,'[1]IAC - Base'!K$1,0)</f>
        <v>0</v>
      </c>
      <c r="K19" s="20">
        <f>VLOOKUP($B19,'[1]IAC - Base'!$A$6:$BH$45,'[1]IAC - Base'!L$1,0)</f>
        <v>7357856516.1000004</v>
      </c>
      <c r="L19" s="20">
        <f>VLOOKUP($B19,'[1]IAC - Base'!$A$6:$BH$45,'[1]IAC - Base'!M$1,0)</f>
        <v>1210727348.0699999</v>
      </c>
      <c r="M19" s="20">
        <f>VLOOKUP($B19,'[1]IAC - Base'!$A$6:$BH$45,'[1]IAC - Base'!N$1,0)</f>
        <v>1322320286.5699999</v>
      </c>
      <c r="N19" s="20">
        <f>VLOOKUP($B19,'[1]IAC - Base'!$A$6:$BH$45,'[1]IAC - Base'!O$1,0)</f>
        <v>1088095485.72</v>
      </c>
      <c r="O19" s="20">
        <f>VLOOKUP($B19,'[1]IAC - Base'!$A$6:$BH$45,'[1]IAC - Base'!P$1,0)</f>
        <v>1258204422.7</v>
      </c>
      <c r="P19" s="20">
        <f>VLOOKUP($B19,'[1]IAC - Base'!$A$6:$BH$45,'[1]IAC - Base'!Q$1,0)</f>
        <v>0</v>
      </c>
      <c r="Q19" s="20">
        <f>VLOOKUP($B19,'[1]IAC - Base'!$A$6:$BH$45,'[1]IAC - Base'!R$1,0)</f>
        <v>0</v>
      </c>
      <c r="R19" s="20">
        <f>VLOOKUP($B19,'[1]IAC - Base'!$A$6:$BH$45,'[1]IAC - Base'!S$1,0)</f>
        <v>0</v>
      </c>
      <c r="S19" s="20">
        <f>VLOOKUP($B19,'[1]IAC - Base'!$A$6:$BH$45,'[1]IAC - Base'!T$1,0)</f>
        <v>0</v>
      </c>
      <c r="T19" s="20">
        <f>VLOOKUP($B19,'[1]IAC - Base'!$A$6:$BH$45,'[1]IAC - Base'!U$1,0)</f>
        <v>0</v>
      </c>
      <c r="U19" s="20">
        <f>VLOOKUP($B19,'[1]IAC - Base'!$A$6:$BH$45,'[1]IAC - Base'!V$1,0)</f>
        <v>0</v>
      </c>
      <c r="V19" s="20">
        <f>VLOOKUP($B19,'[1]IAC - Base'!$A$6:$BH$45,'[1]IAC - Base'!W$1,0)</f>
        <v>0</v>
      </c>
      <c r="W19" s="20">
        <f>VLOOKUP($B19,'[1]IAC - Base'!$A$6:$BH$45,'[1]IAC - Base'!X$1,0)</f>
        <v>0</v>
      </c>
      <c r="X19" s="20">
        <f>VLOOKUP($B19,'[1]IAC - Base'!$A$6:$BH$45,'[1]IAC - Base'!Y$1,0)</f>
        <v>0</v>
      </c>
      <c r="Y19" s="20">
        <f>VLOOKUP($B19,'[1]IAC - Base'!$A$6:$BH$45,'[1]IAC - Base'!Z$1,0)</f>
        <v>0</v>
      </c>
      <c r="Z19" s="20">
        <f>VLOOKUP($B19,'[1]IAC - Base'!$A$6:$BH$45,'[1]IAC - Base'!AA$1,0)</f>
        <v>0</v>
      </c>
      <c r="AA19" s="20">
        <f>VLOOKUP($B19,'[1]IAC - Base'!$A$6:$BH$45,'[1]IAC - Base'!AB$1,0)</f>
        <v>0</v>
      </c>
      <c r="AB19" s="20">
        <f>VLOOKUP($B19,'[1]IAC - Base'!$A$6:$BH$45,'[1]IAC - Base'!AC$1,0)</f>
        <v>0</v>
      </c>
      <c r="AC19" s="20">
        <f>VLOOKUP($B19,'[1]IAC - Base'!$A$6:$BH$45,'[1]IAC - Base'!AD$1,0)</f>
        <v>0</v>
      </c>
      <c r="AD19" s="20">
        <f>VLOOKUP($B19,'[1]IAC - Base'!$A$6:$BH$45,'[1]IAC - Base'!AE$1,0)</f>
        <v>0</v>
      </c>
      <c r="AE19" s="20">
        <f t="shared" ref="AE19:AE57" si="0">SUM(G19:AD19)</f>
        <v>12237204059.16</v>
      </c>
      <c r="AF19" s="21">
        <f t="shared" ref="AF19:AF57" si="1">IFERROR(AE19/F19,0)</f>
        <v>0.3317131444440905</v>
      </c>
      <c r="AH19" s="20">
        <f>VLOOKUP($B19,'[1]IAC - Base'!$A$6:$BH$45,'[1]IAC - Base'!AI$1,0)</f>
        <v>1770198122.0699999</v>
      </c>
      <c r="AI19" s="20">
        <f>VLOOKUP($B19,'[1]IAC - Base'!$A$6:$BH$45,'[1]IAC - Base'!AJ$1,0)</f>
        <v>1303443231.8800001</v>
      </c>
      <c r="AJ19" s="20">
        <f>VLOOKUP($B19,'[1]IAC - Base'!$A$6:$BH$45,'[1]IAC - Base'!AK$1,0)</f>
        <v>1342787561.6900001</v>
      </c>
      <c r="AK19" s="20">
        <f>VLOOKUP($B19,'[1]IAC - Base'!$A$6:$BH$45,'[1]IAC - Base'!AL$1,0)</f>
        <v>1614613159.97</v>
      </c>
      <c r="AL19" s="20">
        <f>VLOOKUP($B19,'[1]IAC - Base'!$A$6:$BH$45,'[1]IAC - Base'!AM$1,0)</f>
        <v>1403846213.21</v>
      </c>
      <c r="AM19" s="20">
        <f>VLOOKUP($B19,'[1]IAC - Base'!$A$6:$BH$45,'[1]IAC - Base'!AN$1,0)</f>
        <v>1248261249.3800001</v>
      </c>
      <c r="AN19" s="20">
        <f>VLOOKUP($B19,'[1]IAC - Base'!$A$6:$BH$45,'[1]IAC - Base'!AO$1,0)</f>
        <v>1709139471.8499999</v>
      </c>
      <c r="AO19" s="20">
        <f>VLOOKUP($B19,'[1]IAC - Base'!$A$6:$BH$45,'[1]IAC - Base'!AP$1,0)</f>
        <v>1648080820.47</v>
      </c>
      <c r="AP19" s="20">
        <f>VLOOKUP($B19,'[1]IAC - Base'!$A$6:$BH$45,'[1]IAC - Base'!AQ$1,0)</f>
        <v>1248261249.3800001</v>
      </c>
      <c r="AQ19" s="20">
        <f>VLOOKUP($B19,'[1]IAC - Base'!$A$6:$BH$45,'[1]IAC - Base'!AR$1,0)</f>
        <v>1770198123.3699999</v>
      </c>
      <c r="AR19" s="20">
        <f>VLOOKUP($B19,'[1]IAC - Base'!$A$6:$BH$45,'[1]IAC - Base'!AS$1,0)</f>
        <v>1675671811.3499999</v>
      </c>
      <c r="AS19" s="20">
        <f>VLOOKUP($B19,'[1]IAC - Base'!$A$6:$BH$45,'[1]IAC - Base'!AT$1,0)</f>
        <v>1587022168.51</v>
      </c>
      <c r="AT19" s="20">
        <f>VLOOKUP($B19,'[1]IAC - Base'!$A$6:$BH$45,'[1]IAC - Base'!AU$1,0)</f>
        <v>1665629084.8199999</v>
      </c>
      <c r="AU19" s="20">
        <f>VLOOKUP($B19,'[1]IAC - Base'!$A$6:$BH$45,'[1]IAC - Base'!AV$1,0)</f>
        <v>1326344967.1400001</v>
      </c>
      <c r="AV19" s="20">
        <f>VLOOKUP($B19,'[1]IAC - Base'!$A$6:$BH$45,'[1]IAC - Base'!AW$1,0)</f>
        <v>1313230541.26</v>
      </c>
      <c r="AW19" s="20">
        <f>VLOOKUP($B19,'[1]IAC - Base'!$A$6:$BH$45,'[1]IAC - Base'!AX$1,0)</f>
        <v>1748311348.95</v>
      </c>
      <c r="AX19" s="20">
        <f>VLOOKUP($B19,'[1]IAC - Base'!$A$6:$BH$45,'[1]IAC - Base'!AY$1,0)</f>
        <v>1489429813.54</v>
      </c>
      <c r="AY19" s="20">
        <f>VLOOKUP($B19,'[1]IAC - Base'!$A$6:$BH$45,'[1]IAC - Base'!AZ$1,0)</f>
        <v>1395912804.23</v>
      </c>
      <c r="AZ19" s="20">
        <f>VLOOKUP($B19,'[1]IAC - Base'!$A$6:$BH$45,'[1]IAC - Base'!BA$1,0)</f>
        <v>1724362176.73</v>
      </c>
      <c r="BA19" s="20">
        <f>VLOOKUP($B19,'[1]IAC - Base'!$A$6:$BH$45,'[1]IAC - Base'!BB$1,0)</f>
        <v>1665629086.26</v>
      </c>
      <c r="BB19" s="20">
        <f>VLOOKUP($B19,'[1]IAC - Base'!$A$6:$BH$45,'[1]IAC - Base'!BC$1,0)</f>
        <v>1278446622.71</v>
      </c>
      <c r="BC19" s="20">
        <f>VLOOKUP($B19,'[1]IAC - Base'!$A$6:$BH$45,'[1]IAC - Base'!BD$1,0)</f>
        <v>1783095267.5</v>
      </c>
      <c r="BD19" s="20">
        <f>VLOOKUP($B19,'[1]IAC - Base'!$A$6:$BH$45,'[1]IAC - Base'!BE$1,0)</f>
        <v>1630845167.72</v>
      </c>
      <c r="BE19" s="20">
        <f>VLOOKUP($B19,'[1]IAC - Base'!$A$6:$BH$45,'[1]IAC - Base'!BF$1,0)</f>
        <v>1548162904.01</v>
      </c>
      <c r="BF19" s="20">
        <f t="shared" ref="BF19:BF57" si="2">SUM(AH19:BE19)</f>
        <v>36890922968</v>
      </c>
      <c r="BG19" s="21">
        <f t="shared" ref="BG19:BG57" si="3">IFERROR(BF19/F19,0)</f>
        <v>1</v>
      </c>
    </row>
    <row r="20" spans="2:59" ht="15" customHeight="1" x14ac:dyDescent="0.25">
      <c r="B20" s="19" t="s">
        <v>48</v>
      </c>
      <c r="C20" s="19" t="s">
        <v>42</v>
      </c>
      <c r="D20" s="19" t="s">
        <v>46</v>
      </c>
      <c r="E20" s="19" t="s">
        <v>49</v>
      </c>
      <c r="F20" s="20">
        <f>VLOOKUP($B20,'[1]IAC - Base'!$A$6:$BH$45,'[1]IAC - Base'!G$1,0)</f>
        <v>2068030300</v>
      </c>
      <c r="G20" s="20">
        <f>VLOOKUP($B20,'[1]IAC - Base'!$A$6:$BH$45,'[1]IAC - Base'!H$1,0)</f>
        <v>0</v>
      </c>
      <c r="H20" s="20">
        <f>VLOOKUP($B20,'[1]IAC - Base'!$A$6:$BH$45,'[1]IAC - Base'!I$1,0)</f>
        <v>0</v>
      </c>
      <c r="I20" s="20">
        <f>VLOOKUP($B20,'[1]IAC - Base'!$A$6:$BH$45,'[1]IAC - Base'!J$1,0)</f>
        <v>0</v>
      </c>
      <c r="J20" s="20">
        <f>VLOOKUP($B20,'[1]IAC - Base'!$A$6:$BH$45,'[1]IAC - Base'!K$1,0)</f>
        <v>0</v>
      </c>
      <c r="K20" s="20">
        <f>VLOOKUP($B20,'[1]IAC - Base'!$A$6:$BH$45,'[1]IAC - Base'!L$1,0)</f>
        <v>412466509.22000003</v>
      </c>
      <c r="L20" s="20">
        <f>VLOOKUP($B20,'[1]IAC - Base'!$A$6:$BH$45,'[1]IAC - Base'!M$1,0)</f>
        <v>67870918.900000006</v>
      </c>
      <c r="M20" s="20">
        <f>VLOOKUP($B20,'[1]IAC - Base'!$A$6:$BH$45,'[1]IAC - Base'!N$1,0)</f>
        <v>74126592.640000001</v>
      </c>
      <c r="N20" s="20">
        <f>VLOOKUP($B20,'[1]IAC - Base'!$A$6:$BH$45,'[1]IAC - Base'!O$1,0)</f>
        <v>60996425.479999997</v>
      </c>
      <c r="O20" s="20">
        <f>VLOOKUP($B20,'[1]IAC - Base'!$A$6:$BH$45,'[1]IAC - Base'!P$1,0)</f>
        <v>70532387.379999995</v>
      </c>
      <c r="P20" s="20">
        <f>VLOOKUP($B20,'[1]IAC - Base'!$A$6:$BH$45,'[1]IAC - Base'!Q$1,0)</f>
        <v>0</v>
      </c>
      <c r="Q20" s="20">
        <f>VLOOKUP($B20,'[1]IAC - Base'!$A$6:$BH$45,'[1]IAC - Base'!R$1,0)</f>
        <v>0</v>
      </c>
      <c r="R20" s="20">
        <f>VLOOKUP($B20,'[1]IAC - Base'!$A$6:$BH$45,'[1]IAC - Base'!S$1,0)</f>
        <v>0</v>
      </c>
      <c r="S20" s="20">
        <f>VLOOKUP($B20,'[1]IAC - Base'!$A$6:$BH$45,'[1]IAC - Base'!T$1,0)</f>
        <v>0</v>
      </c>
      <c r="T20" s="20">
        <f>VLOOKUP($B20,'[1]IAC - Base'!$A$6:$BH$45,'[1]IAC - Base'!U$1,0)</f>
        <v>0</v>
      </c>
      <c r="U20" s="20">
        <f>VLOOKUP($B20,'[1]IAC - Base'!$A$6:$BH$45,'[1]IAC - Base'!V$1,0)</f>
        <v>0</v>
      </c>
      <c r="V20" s="20">
        <f>VLOOKUP($B20,'[1]IAC - Base'!$A$6:$BH$45,'[1]IAC - Base'!W$1,0)</f>
        <v>0</v>
      </c>
      <c r="W20" s="20">
        <f>VLOOKUP($B20,'[1]IAC - Base'!$A$6:$BH$45,'[1]IAC - Base'!X$1,0)</f>
        <v>0</v>
      </c>
      <c r="X20" s="20">
        <f>VLOOKUP($B20,'[1]IAC - Base'!$A$6:$BH$45,'[1]IAC - Base'!Y$1,0)</f>
        <v>0</v>
      </c>
      <c r="Y20" s="20">
        <f>VLOOKUP($B20,'[1]IAC - Base'!$A$6:$BH$45,'[1]IAC - Base'!Z$1,0)</f>
        <v>0</v>
      </c>
      <c r="Z20" s="20">
        <f>VLOOKUP($B20,'[1]IAC - Base'!$A$6:$BH$45,'[1]IAC - Base'!AA$1,0)</f>
        <v>0</v>
      </c>
      <c r="AA20" s="20">
        <f>VLOOKUP($B20,'[1]IAC - Base'!$A$6:$BH$45,'[1]IAC - Base'!AB$1,0)</f>
        <v>0</v>
      </c>
      <c r="AB20" s="20">
        <f>VLOOKUP($B20,'[1]IAC - Base'!$A$6:$BH$45,'[1]IAC - Base'!AC$1,0)</f>
        <v>0</v>
      </c>
      <c r="AC20" s="20">
        <f>VLOOKUP($B20,'[1]IAC - Base'!$A$6:$BH$45,'[1]IAC - Base'!AD$1,0)</f>
        <v>0</v>
      </c>
      <c r="AD20" s="20">
        <f>VLOOKUP($B20,'[1]IAC - Base'!$A$6:$BH$45,'[1]IAC - Base'!AE$1,0)</f>
        <v>0</v>
      </c>
      <c r="AE20" s="20">
        <f t="shared" si="0"/>
        <v>685992833.62</v>
      </c>
      <c r="AF20" s="21">
        <f t="shared" si="1"/>
        <v>0.33171314444474048</v>
      </c>
      <c r="AH20" s="20">
        <f>VLOOKUP($B20,'[1]IAC - Base'!$A$6:$BH$45,'[1]IAC - Base'!AI$1,0)</f>
        <v>99233715.480000004</v>
      </c>
      <c r="AI20" s="20">
        <f>VLOOKUP($B20,'[1]IAC - Base'!$A$6:$BH$45,'[1]IAC - Base'!AJ$1,0)</f>
        <v>73068383.25</v>
      </c>
      <c r="AJ20" s="20">
        <f>VLOOKUP($B20,'[1]IAC - Base'!$A$6:$BH$45,'[1]IAC - Base'!AK$1,0)</f>
        <v>75273946.560000002</v>
      </c>
      <c r="AK20" s="20">
        <f>VLOOKUP($B20,'[1]IAC - Base'!$A$6:$BH$45,'[1]IAC - Base'!AL$1,0)</f>
        <v>90511938.140000001</v>
      </c>
      <c r="AL20" s="20">
        <f>VLOOKUP($B20,'[1]IAC - Base'!$A$6:$BH$45,'[1]IAC - Base'!AM$1,0)</f>
        <v>78696770.689999998</v>
      </c>
      <c r="AM20" s="20">
        <f>VLOOKUP($B20,'[1]IAC - Base'!$A$6:$BH$45,'[1]IAC - Base'!AN$1,0)</f>
        <v>69974993.260000005</v>
      </c>
      <c r="AN20" s="20">
        <f>VLOOKUP($B20,'[1]IAC - Base'!$A$6:$BH$45,'[1]IAC - Base'!AO$1,0)</f>
        <v>95810891.420000002</v>
      </c>
      <c r="AO20" s="20">
        <f>VLOOKUP($B20,'[1]IAC - Base'!$A$6:$BH$45,'[1]IAC - Base'!AP$1,0)</f>
        <v>92388067.290000007</v>
      </c>
      <c r="AP20" s="20">
        <f>VLOOKUP($B20,'[1]IAC - Base'!$A$6:$BH$45,'[1]IAC - Base'!AQ$1,0)</f>
        <v>69974993.260000005</v>
      </c>
      <c r="AQ20" s="20">
        <f>VLOOKUP($B20,'[1]IAC - Base'!$A$6:$BH$45,'[1]IAC - Base'!AR$1,0)</f>
        <v>99233715.549999997</v>
      </c>
      <c r="AR20" s="20">
        <f>VLOOKUP($B20,'[1]IAC - Base'!$A$6:$BH$45,'[1]IAC - Base'!AS$1,0)</f>
        <v>93934762.269999996</v>
      </c>
      <c r="AS20" s="20">
        <f>VLOOKUP($B20,'[1]IAC - Base'!$A$6:$BH$45,'[1]IAC - Base'!AT$1,0)</f>
        <v>88965243.129999995</v>
      </c>
      <c r="AT20" s="20">
        <f>VLOOKUP($B20,'[1]IAC - Base'!$A$6:$BH$45,'[1]IAC - Base'!AU$1,0)</f>
        <v>93371787.390000001</v>
      </c>
      <c r="AU20" s="20">
        <f>VLOOKUP($B20,'[1]IAC - Base'!$A$6:$BH$45,'[1]IAC - Base'!AV$1,0)</f>
        <v>74352208.069999993</v>
      </c>
      <c r="AV20" s="20">
        <f>VLOOKUP($B20,'[1]IAC - Base'!$A$6:$BH$45,'[1]IAC - Base'!AW$1,0)</f>
        <v>73617039.959999993</v>
      </c>
      <c r="AW20" s="20">
        <f>VLOOKUP($B20,'[1]IAC - Base'!$A$6:$BH$45,'[1]IAC - Base'!AX$1,0)</f>
        <v>98006787.379999995</v>
      </c>
      <c r="AX20" s="20">
        <f>VLOOKUP($B20,'[1]IAC - Base'!$A$6:$BH$45,'[1]IAC - Base'!AY$1,0)</f>
        <v>83494413.700000003</v>
      </c>
      <c r="AY20" s="20">
        <f>VLOOKUP($B20,'[1]IAC - Base'!$A$6:$BH$45,'[1]IAC - Base'!AZ$1,0)</f>
        <v>78252039.879999995</v>
      </c>
      <c r="AZ20" s="20">
        <f>VLOOKUP($B20,'[1]IAC - Base'!$A$6:$BH$45,'[1]IAC - Base'!BA$1,0)</f>
        <v>96664245.370000005</v>
      </c>
      <c r="BA20" s="20">
        <f>VLOOKUP($B20,'[1]IAC - Base'!$A$6:$BH$45,'[1]IAC - Base'!BB$1,0)</f>
        <v>93371787.469999999</v>
      </c>
      <c r="BB20" s="20">
        <f>VLOOKUP($B20,'[1]IAC - Base'!$A$6:$BH$45,'[1]IAC - Base'!BC$1,0)</f>
        <v>71667124.049999997</v>
      </c>
      <c r="BC20" s="20">
        <f>VLOOKUP($B20,'[1]IAC - Base'!$A$6:$BH$45,'[1]IAC - Base'!BD$1,0)</f>
        <v>99956703.280000001</v>
      </c>
      <c r="BD20" s="20">
        <f>VLOOKUP($B20,'[1]IAC - Base'!$A$6:$BH$45,'[1]IAC - Base'!BE$1,0)</f>
        <v>91421871.560000002</v>
      </c>
      <c r="BE20" s="20">
        <f>VLOOKUP($B20,'[1]IAC - Base'!$A$6:$BH$45,'[1]IAC - Base'!BF$1,0)</f>
        <v>86786871.599999994</v>
      </c>
      <c r="BF20" s="20">
        <f t="shared" si="2"/>
        <v>2068030300.0099995</v>
      </c>
      <c r="BG20" s="21">
        <f t="shared" si="3"/>
        <v>1.0000000000048352</v>
      </c>
    </row>
    <row r="21" spans="2:59" ht="15" customHeight="1" x14ac:dyDescent="0.25">
      <c r="B21" s="19" t="s">
        <v>50</v>
      </c>
      <c r="C21" s="19" t="s">
        <v>42</v>
      </c>
      <c r="D21" s="19" t="s">
        <v>51</v>
      </c>
      <c r="E21" s="19" t="s">
        <v>52</v>
      </c>
      <c r="F21" s="20">
        <f>VLOOKUP($B21,'[1]IAC - Base'!$A$6:$BH$45,'[1]IAC - Base'!G$1,0)</f>
        <v>5231249885</v>
      </c>
      <c r="G21" s="20">
        <f>VLOOKUP($B21,'[1]IAC - Base'!$A$6:$BH$45,'[1]IAC - Base'!H$1,0)</f>
        <v>0</v>
      </c>
      <c r="H21" s="20">
        <f>VLOOKUP($B21,'[1]IAC - Base'!$A$6:$BH$45,'[1]IAC - Base'!I$1,0)</f>
        <v>0</v>
      </c>
      <c r="I21" s="20">
        <f>VLOOKUP($B21,'[1]IAC - Base'!$A$6:$BH$45,'[1]IAC - Base'!J$1,0)</f>
        <v>0</v>
      </c>
      <c r="J21" s="20">
        <f>VLOOKUP($B21,'[1]IAC - Base'!$A$6:$BH$45,'[1]IAC - Base'!K$1,0)</f>
        <v>0</v>
      </c>
      <c r="K21" s="20">
        <f>VLOOKUP($B21,'[1]IAC - Base'!$A$6:$BH$45,'[1]IAC - Base'!L$1,0)</f>
        <v>1043367391.13</v>
      </c>
      <c r="L21" s="20">
        <f>VLOOKUP($B21,'[1]IAC - Base'!$A$6:$BH$45,'[1]IAC - Base'!M$1,0)</f>
        <v>171684978.06</v>
      </c>
      <c r="M21" s="20">
        <f>VLOOKUP($B21,'[1]IAC - Base'!$A$6:$BH$45,'[1]IAC - Base'!N$1,0)</f>
        <v>187509210.68000001</v>
      </c>
      <c r="N21" s="20">
        <f>VLOOKUP($B21,'[1]IAC - Base'!$A$6:$BH$45,'[1]IAC - Base'!O$1,0)</f>
        <v>154295391.02000001</v>
      </c>
      <c r="O21" s="20">
        <f>VLOOKUP($B21,'[1]IAC - Base'!$A$6:$BH$45,'[1]IAC - Base'!P$1,0)</f>
        <v>178417377.83000001</v>
      </c>
      <c r="P21" s="20">
        <f>VLOOKUP($B21,'[1]IAC - Base'!$A$6:$BH$45,'[1]IAC - Base'!Q$1,0)</f>
        <v>0</v>
      </c>
      <c r="Q21" s="20">
        <f>VLOOKUP($B21,'[1]IAC - Base'!$A$6:$BH$45,'[1]IAC - Base'!R$1,0)</f>
        <v>0</v>
      </c>
      <c r="R21" s="20">
        <f>VLOOKUP($B21,'[1]IAC - Base'!$A$6:$BH$45,'[1]IAC - Base'!S$1,0)</f>
        <v>0</v>
      </c>
      <c r="S21" s="20">
        <f>VLOOKUP($B21,'[1]IAC - Base'!$A$6:$BH$45,'[1]IAC - Base'!T$1,0)</f>
        <v>0</v>
      </c>
      <c r="T21" s="20">
        <f>VLOOKUP($B21,'[1]IAC - Base'!$A$6:$BH$45,'[1]IAC - Base'!U$1,0)</f>
        <v>0</v>
      </c>
      <c r="U21" s="20">
        <f>VLOOKUP($B21,'[1]IAC - Base'!$A$6:$BH$45,'[1]IAC - Base'!V$1,0)</f>
        <v>0</v>
      </c>
      <c r="V21" s="20">
        <f>VLOOKUP($B21,'[1]IAC - Base'!$A$6:$BH$45,'[1]IAC - Base'!W$1,0)</f>
        <v>0</v>
      </c>
      <c r="W21" s="20">
        <f>VLOOKUP($B21,'[1]IAC - Base'!$A$6:$BH$45,'[1]IAC - Base'!X$1,0)</f>
        <v>0</v>
      </c>
      <c r="X21" s="20">
        <f>VLOOKUP($B21,'[1]IAC - Base'!$A$6:$BH$45,'[1]IAC - Base'!Y$1,0)</f>
        <v>0</v>
      </c>
      <c r="Y21" s="20">
        <f>VLOOKUP($B21,'[1]IAC - Base'!$A$6:$BH$45,'[1]IAC - Base'!Z$1,0)</f>
        <v>0</v>
      </c>
      <c r="Z21" s="20">
        <f>VLOOKUP($B21,'[1]IAC - Base'!$A$6:$BH$45,'[1]IAC - Base'!AA$1,0)</f>
        <v>0</v>
      </c>
      <c r="AA21" s="20">
        <f>VLOOKUP($B21,'[1]IAC - Base'!$A$6:$BH$45,'[1]IAC - Base'!AB$1,0)</f>
        <v>0</v>
      </c>
      <c r="AB21" s="20">
        <f>VLOOKUP($B21,'[1]IAC - Base'!$A$6:$BH$45,'[1]IAC - Base'!AC$1,0)</f>
        <v>0</v>
      </c>
      <c r="AC21" s="20">
        <f>VLOOKUP($B21,'[1]IAC - Base'!$A$6:$BH$45,'[1]IAC - Base'!AD$1,0)</f>
        <v>0</v>
      </c>
      <c r="AD21" s="20">
        <f>VLOOKUP($B21,'[1]IAC - Base'!$A$6:$BH$45,'[1]IAC - Base'!AE$1,0)</f>
        <v>0</v>
      </c>
      <c r="AE21" s="20">
        <f t="shared" si="0"/>
        <v>1735274348.72</v>
      </c>
      <c r="AF21" s="21">
        <f t="shared" si="1"/>
        <v>0.33171314444291738</v>
      </c>
      <c r="AH21" s="20">
        <f>VLOOKUP($B21,'[1]IAC - Base'!$A$6:$BH$45,'[1]IAC - Base'!AI$1,0)</f>
        <v>251019708.30000001</v>
      </c>
      <c r="AI21" s="20">
        <f>VLOOKUP($B21,'[1]IAC - Base'!$A$6:$BH$45,'[1]IAC - Base'!AJ$1,0)</f>
        <v>184832384.44999999</v>
      </c>
      <c r="AJ21" s="20">
        <f>VLOOKUP($B21,'[1]IAC - Base'!$A$6:$BH$45,'[1]IAC - Base'!AK$1,0)</f>
        <v>190411535.21000001</v>
      </c>
      <c r="AK21" s="20">
        <f>VLOOKUP($B21,'[1]IAC - Base'!$A$6:$BH$45,'[1]IAC - Base'!AL$1,0)</f>
        <v>228957267.21000001</v>
      </c>
      <c r="AL21" s="20">
        <f>VLOOKUP($B21,'[1]IAC - Base'!$A$6:$BH$45,'[1]IAC - Base'!AM$1,0)</f>
        <v>199069845.66</v>
      </c>
      <c r="AM21" s="20">
        <f>VLOOKUP($B21,'[1]IAC - Base'!$A$6:$BH$45,'[1]IAC - Base'!AN$1,0)</f>
        <v>177007404.31</v>
      </c>
      <c r="AN21" s="20">
        <f>VLOOKUP($B21,'[1]IAC - Base'!$A$6:$BH$45,'[1]IAC - Base'!AO$1,0)</f>
        <v>242361398.03999999</v>
      </c>
      <c r="AO21" s="20">
        <f>VLOOKUP($B21,'[1]IAC - Base'!$A$6:$BH$45,'[1]IAC - Base'!AP$1,0)</f>
        <v>233703087.61000001</v>
      </c>
      <c r="AP21" s="20">
        <f>VLOOKUP($B21,'[1]IAC - Base'!$A$6:$BH$45,'[1]IAC - Base'!AQ$1,0)</f>
        <v>177007404.31</v>
      </c>
      <c r="AQ21" s="20">
        <f>VLOOKUP($B21,'[1]IAC - Base'!$A$6:$BH$45,'[1]IAC - Base'!AR$1,0)</f>
        <v>251019708.49000001</v>
      </c>
      <c r="AR21" s="20">
        <f>VLOOKUP($B21,'[1]IAC - Base'!$A$6:$BH$45,'[1]IAC - Base'!AS$1,0)</f>
        <v>237615577.63</v>
      </c>
      <c r="AS21" s="20">
        <f>VLOOKUP($B21,'[1]IAC - Base'!$A$6:$BH$45,'[1]IAC - Base'!AT$1,0)</f>
        <v>225044777.09999999</v>
      </c>
      <c r="AT21" s="20">
        <f>VLOOKUP($B21,'[1]IAC - Base'!$A$6:$BH$45,'[1]IAC - Base'!AU$1,0)</f>
        <v>236191487.16</v>
      </c>
      <c r="AU21" s="20">
        <f>VLOOKUP($B21,'[1]IAC - Base'!$A$6:$BH$45,'[1]IAC - Base'!AV$1,0)</f>
        <v>188079923.15000001</v>
      </c>
      <c r="AV21" s="20">
        <f>VLOOKUP($B21,'[1]IAC - Base'!$A$6:$BH$45,'[1]IAC - Base'!AW$1,0)</f>
        <v>186220255.97</v>
      </c>
      <c r="AW21" s="20">
        <f>VLOOKUP($B21,'[1]IAC - Base'!$A$6:$BH$45,'[1]IAC - Base'!AX$1,0)</f>
        <v>247916094.46000001</v>
      </c>
      <c r="AX21" s="20">
        <f>VLOOKUP($B21,'[1]IAC - Base'!$A$6:$BH$45,'[1]IAC - Base'!AY$1,0)</f>
        <v>211205871.63</v>
      </c>
      <c r="AY21" s="20">
        <f>VLOOKUP($B21,'[1]IAC - Base'!$A$6:$BH$45,'[1]IAC - Base'!AZ$1,0)</f>
        <v>197944863.09999999</v>
      </c>
      <c r="AZ21" s="20">
        <f>VLOOKUP($B21,'[1]IAC - Base'!$A$6:$BH$45,'[1]IAC - Base'!BA$1,0)</f>
        <v>244520025.88</v>
      </c>
      <c r="BA21" s="20">
        <f>VLOOKUP($B21,'[1]IAC - Base'!$A$6:$BH$45,'[1]IAC - Base'!BB$1,0)</f>
        <v>236191487.36000001</v>
      </c>
      <c r="BB21" s="20">
        <f>VLOOKUP($B21,'[1]IAC - Base'!$A$6:$BH$45,'[1]IAC - Base'!BC$1,0)</f>
        <v>181287785.99000001</v>
      </c>
      <c r="BC21" s="20">
        <f>VLOOKUP($B21,'[1]IAC - Base'!$A$6:$BH$45,'[1]IAC - Base'!BD$1,0)</f>
        <v>252848564.43000001</v>
      </c>
      <c r="BD21" s="20">
        <f>VLOOKUP($B21,'[1]IAC - Base'!$A$6:$BH$45,'[1]IAC - Base'!BE$1,0)</f>
        <v>231259017.38999999</v>
      </c>
      <c r="BE21" s="20">
        <f>VLOOKUP($B21,'[1]IAC - Base'!$A$6:$BH$45,'[1]IAC - Base'!BF$1,0)</f>
        <v>219534410.15000001</v>
      </c>
      <c r="BF21" s="20">
        <f t="shared" si="2"/>
        <v>5231249884.9899998</v>
      </c>
      <c r="BG21" s="21">
        <f t="shared" si="3"/>
        <v>0.99999999999808842</v>
      </c>
    </row>
    <row r="22" spans="2:59" ht="15" customHeight="1" x14ac:dyDescent="0.25">
      <c r="B22" s="19" t="s">
        <v>53</v>
      </c>
      <c r="C22" s="19" t="s">
        <v>42</v>
      </c>
      <c r="D22" s="19" t="s">
        <v>46</v>
      </c>
      <c r="E22" s="19" t="s">
        <v>54</v>
      </c>
      <c r="F22" s="20">
        <f>VLOOKUP($B22,'[1]IAC - Base'!$A$6:$BH$45,'[1]IAC - Base'!G$1,0)</f>
        <v>23990499481</v>
      </c>
      <c r="G22" s="20">
        <f>VLOOKUP($B22,'[1]IAC - Base'!$A$6:$BH$45,'[1]IAC - Base'!H$1,0)</f>
        <v>0</v>
      </c>
      <c r="H22" s="20">
        <f>VLOOKUP($B22,'[1]IAC - Base'!$A$6:$BH$45,'[1]IAC - Base'!I$1,0)</f>
        <v>0</v>
      </c>
      <c r="I22" s="20">
        <f>VLOOKUP($B22,'[1]IAC - Base'!$A$6:$BH$45,'[1]IAC - Base'!J$1,0)</f>
        <v>0</v>
      </c>
      <c r="J22" s="20">
        <f>VLOOKUP($B22,'[1]IAC - Base'!$A$6:$BH$45,'[1]IAC - Base'!K$1,0)</f>
        <v>0</v>
      </c>
      <c r="K22" s="20">
        <f>VLOOKUP($B22,'[1]IAC - Base'!$A$6:$BH$45,'[1]IAC - Base'!L$1,0)</f>
        <v>4784880364.3099995</v>
      </c>
      <c r="L22" s="20">
        <f>VLOOKUP($B22,'[1]IAC - Base'!$A$6:$BH$45,'[1]IAC - Base'!M$1,0)</f>
        <v>787346899.41999996</v>
      </c>
      <c r="M22" s="20">
        <f>VLOOKUP($B22,'[1]IAC - Base'!$A$6:$BH$45,'[1]IAC - Base'!N$1,0)</f>
        <v>859916792.44000006</v>
      </c>
      <c r="N22" s="20">
        <f>VLOOKUP($B22,'[1]IAC - Base'!$A$6:$BH$45,'[1]IAC - Base'!O$1,0)</f>
        <v>707598294.78999996</v>
      </c>
      <c r="O22" s="20">
        <f>VLOOKUP($B22,'[1]IAC - Base'!$A$6:$BH$45,'[1]IAC - Base'!P$1,0)</f>
        <v>818221668.66999996</v>
      </c>
      <c r="P22" s="20">
        <f>VLOOKUP($B22,'[1]IAC - Base'!$A$6:$BH$45,'[1]IAC - Base'!Q$1,0)</f>
        <v>0</v>
      </c>
      <c r="Q22" s="20">
        <f>VLOOKUP($B22,'[1]IAC - Base'!$A$6:$BH$45,'[1]IAC - Base'!R$1,0)</f>
        <v>0</v>
      </c>
      <c r="R22" s="20">
        <f>VLOOKUP($B22,'[1]IAC - Base'!$A$6:$BH$45,'[1]IAC - Base'!S$1,0)</f>
        <v>0</v>
      </c>
      <c r="S22" s="20">
        <f>VLOOKUP($B22,'[1]IAC - Base'!$A$6:$BH$45,'[1]IAC - Base'!T$1,0)</f>
        <v>0</v>
      </c>
      <c r="T22" s="20">
        <f>VLOOKUP($B22,'[1]IAC - Base'!$A$6:$BH$45,'[1]IAC - Base'!U$1,0)</f>
        <v>0</v>
      </c>
      <c r="U22" s="20">
        <f>VLOOKUP($B22,'[1]IAC - Base'!$A$6:$BH$45,'[1]IAC - Base'!V$1,0)</f>
        <v>0</v>
      </c>
      <c r="V22" s="20">
        <f>VLOOKUP($B22,'[1]IAC - Base'!$A$6:$BH$45,'[1]IAC - Base'!W$1,0)</f>
        <v>0</v>
      </c>
      <c r="W22" s="20">
        <f>VLOOKUP($B22,'[1]IAC - Base'!$A$6:$BH$45,'[1]IAC - Base'!X$1,0)</f>
        <v>0</v>
      </c>
      <c r="X22" s="20">
        <f>VLOOKUP($B22,'[1]IAC - Base'!$A$6:$BH$45,'[1]IAC - Base'!Y$1,0)</f>
        <v>0</v>
      </c>
      <c r="Y22" s="20">
        <f>VLOOKUP($B22,'[1]IAC - Base'!$A$6:$BH$45,'[1]IAC - Base'!Z$1,0)</f>
        <v>0</v>
      </c>
      <c r="Z22" s="20">
        <f>VLOOKUP($B22,'[1]IAC - Base'!$A$6:$BH$45,'[1]IAC - Base'!AA$1,0)</f>
        <v>0</v>
      </c>
      <c r="AA22" s="20">
        <f>VLOOKUP($B22,'[1]IAC - Base'!$A$6:$BH$45,'[1]IAC - Base'!AB$1,0)</f>
        <v>0</v>
      </c>
      <c r="AB22" s="20">
        <f>VLOOKUP($B22,'[1]IAC - Base'!$A$6:$BH$45,'[1]IAC - Base'!AC$1,0)</f>
        <v>0</v>
      </c>
      <c r="AC22" s="20">
        <f>VLOOKUP($B22,'[1]IAC - Base'!$A$6:$BH$45,'[1]IAC - Base'!AD$1,0)</f>
        <v>0</v>
      </c>
      <c r="AD22" s="20">
        <f>VLOOKUP($B22,'[1]IAC - Base'!$A$6:$BH$45,'[1]IAC - Base'!AE$1,0)</f>
        <v>0</v>
      </c>
      <c r="AE22" s="20">
        <f t="shared" si="0"/>
        <v>7957964019.6300001</v>
      </c>
      <c r="AF22" s="21">
        <f t="shared" si="1"/>
        <v>0.33171314444422262</v>
      </c>
      <c r="AH22" s="20">
        <f>VLOOKUP($B22,'[1]IAC - Base'!$A$6:$BH$45,'[1]IAC - Base'!AI$1,0)</f>
        <v>1151175782.8800001</v>
      </c>
      <c r="AI22" s="20">
        <f>VLOOKUP($B22,'[1]IAC - Base'!$A$6:$BH$45,'[1]IAC - Base'!AJ$1,0)</f>
        <v>847640873.75</v>
      </c>
      <c r="AJ22" s="20">
        <f>VLOOKUP($B22,'[1]IAC - Base'!$A$6:$BH$45,'[1]IAC - Base'!AK$1,0)</f>
        <v>873226845.78999996</v>
      </c>
      <c r="AK22" s="20">
        <f>VLOOKUP($B22,'[1]IAC - Base'!$A$6:$BH$45,'[1]IAC - Base'!AL$1,0)</f>
        <v>1049997480.6799999</v>
      </c>
      <c r="AL22" s="20">
        <f>VLOOKUP($B22,'[1]IAC - Base'!$A$6:$BH$45,'[1]IAC - Base'!AM$1,0)</f>
        <v>912933836.83000004</v>
      </c>
      <c r="AM22" s="20">
        <f>VLOOKUP($B22,'[1]IAC - Base'!$A$6:$BH$45,'[1]IAC - Base'!AN$1,0)</f>
        <v>811755533.50999999</v>
      </c>
      <c r="AN22" s="20">
        <f>VLOOKUP($B22,'[1]IAC - Base'!$A$6:$BH$45,'[1]IAC - Base'!AO$1,0)</f>
        <v>1111468792.6800001</v>
      </c>
      <c r="AO22" s="20">
        <f>VLOOKUP($B22,'[1]IAC - Base'!$A$6:$BH$45,'[1]IAC - Base'!AP$1,0)</f>
        <v>1071761801.74</v>
      </c>
      <c r="AP22" s="20">
        <f>VLOOKUP($B22,'[1]IAC - Base'!$A$6:$BH$45,'[1]IAC - Base'!AQ$1,0)</f>
        <v>811755533.50999999</v>
      </c>
      <c r="AQ22" s="20">
        <f>VLOOKUP($B22,'[1]IAC - Base'!$A$6:$BH$45,'[1]IAC - Base'!AR$1,0)</f>
        <v>1151175783.72</v>
      </c>
      <c r="AR22" s="20">
        <f>VLOOKUP($B22,'[1]IAC - Base'!$A$6:$BH$45,'[1]IAC - Base'!AS$1,0)</f>
        <v>1089704471.6300001</v>
      </c>
      <c r="AS22" s="20">
        <f>VLOOKUP($B22,'[1]IAC - Base'!$A$6:$BH$45,'[1]IAC - Base'!AT$1,0)</f>
        <v>1032054810.42</v>
      </c>
      <c r="AT22" s="20">
        <f>VLOOKUP($B22,'[1]IAC - Base'!$A$6:$BH$45,'[1]IAC - Base'!AU$1,0)</f>
        <v>1083173596.0999999</v>
      </c>
      <c r="AU22" s="20">
        <f>VLOOKUP($B22,'[1]IAC - Base'!$A$6:$BH$45,'[1]IAC - Base'!AV$1,0)</f>
        <v>862534078.46000004</v>
      </c>
      <c r="AV22" s="20">
        <f>VLOOKUP($B22,'[1]IAC - Base'!$A$6:$BH$45,'[1]IAC - Base'!AW$1,0)</f>
        <v>854005649.19000006</v>
      </c>
      <c r="AW22" s="20">
        <f>VLOOKUP($B22,'[1]IAC - Base'!$A$6:$BH$45,'[1]IAC - Base'!AX$1,0)</f>
        <v>1136942617.1900001</v>
      </c>
      <c r="AX22" s="20">
        <f>VLOOKUP($B22,'[1]IAC - Base'!$A$6:$BH$45,'[1]IAC - Base'!AY$1,0)</f>
        <v>968589622.97000003</v>
      </c>
      <c r="AY22" s="20">
        <f>VLOOKUP($B22,'[1]IAC - Base'!$A$6:$BH$45,'[1]IAC - Base'!AZ$1,0)</f>
        <v>907774669.51999998</v>
      </c>
      <c r="AZ22" s="20">
        <f>VLOOKUP($B22,'[1]IAC - Base'!$A$6:$BH$45,'[1]IAC - Base'!BA$1,0)</f>
        <v>1121368254.78</v>
      </c>
      <c r="BA22" s="20">
        <f>VLOOKUP($B22,'[1]IAC - Base'!$A$6:$BH$45,'[1]IAC - Base'!BB$1,0)</f>
        <v>1083173597.04</v>
      </c>
      <c r="BB22" s="20">
        <f>VLOOKUP($B22,'[1]IAC - Base'!$A$6:$BH$45,'[1]IAC - Base'!BC$1,0)</f>
        <v>831385353.65999997</v>
      </c>
      <c r="BC22" s="20">
        <f>VLOOKUP($B22,'[1]IAC - Base'!$A$6:$BH$45,'[1]IAC - Base'!BD$1,0)</f>
        <v>1159562912.71</v>
      </c>
      <c r="BD22" s="20">
        <f>VLOOKUP($B22,'[1]IAC - Base'!$A$6:$BH$45,'[1]IAC - Base'!BE$1,0)</f>
        <v>1060553301.52</v>
      </c>
      <c r="BE22" s="20">
        <f>VLOOKUP($B22,'[1]IAC - Base'!$A$6:$BH$45,'[1]IAC - Base'!BF$1,0)</f>
        <v>1006784280.72</v>
      </c>
      <c r="BF22" s="20">
        <f t="shared" si="2"/>
        <v>23990499481</v>
      </c>
      <c r="BG22" s="21">
        <f t="shared" si="3"/>
        <v>1</v>
      </c>
    </row>
    <row r="23" spans="2:59" ht="15" customHeight="1" x14ac:dyDescent="0.25">
      <c r="B23" s="19" t="s">
        <v>55</v>
      </c>
      <c r="C23" s="19" t="s">
        <v>42</v>
      </c>
      <c r="D23" s="19" t="s">
        <v>46</v>
      </c>
      <c r="E23" s="19" t="s">
        <v>56</v>
      </c>
      <c r="F23" s="20">
        <f>VLOOKUP($B23,'[1]IAC - Base'!$A$6:$BH$45,'[1]IAC - Base'!G$1,0)</f>
        <v>20682305928</v>
      </c>
      <c r="G23" s="20">
        <f>VLOOKUP($B23,'[1]IAC - Base'!$A$6:$BH$45,'[1]IAC - Base'!H$1,0)</f>
        <v>0</v>
      </c>
      <c r="H23" s="20">
        <f>VLOOKUP($B23,'[1]IAC - Base'!$A$6:$BH$45,'[1]IAC - Base'!I$1,0)</f>
        <v>0</v>
      </c>
      <c r="I23" s="20">
        <f>VLOOKUP($B23,'[1]IAC - Base'!$A$6:$BH$45,'[1]IAC - Base'!J$1,0)</f>
        <v>0</v>
      </c>
      <c r="J23" s="20">
        <f>VLOOKUP($B23,'[1]IAC - Base'!$A$6:$BH$45,'[1]IAC - Base'!K$1,0)</f>
        <v>0</v>
      </c>
      <c r="K23" s="20">
        <f>VLOOKUP($B23,'[1]IAC - Base'!$A$6:$BH$45,'[1]IAC - Base'!L$1,0)</f>
        <v>4125064574.0800004</v>
      </c>
      <c r="L23" s="20">
        <f>VLOOKUP($B23,'[1]IAC - Base'!$A$6:$BH$45,'[1]IAC - Base'!M$1,0)</f>
        <v>678774923.29999995</v>
      </c>
      <c r="M23" s="20">
        <f>VLOOKUP($B23,'[1]IAC - Base'!$A$6:$BH$45,'[1]IAC - Base'!N$1,0)</f>
        <v>741337719.46000004</v>
      </c>
      <c r="N23" s="20">
        <f>VLOOKUP($B23,'[1]IAC - Base'!$A$6:$BH$45,'[1]IAC - Base'!O$1,0)</f>
        <v>610023331.04999995</v>
      </c>
      <c r="O23" s="20">
        <f>VLOOKUP($B23,'[1]IAC - Base'!$A$6:$BH$45,'[1]IAC - Base'!P$1,0)</f>
        <v>705392185.85000002</v>
      </c>
      <c r="P23" s="20">
        <f>VLOOKUP($B23,'[1]IAC - Base'!$A$6:$BH$45,'[1]IAC - Base'!Q$1,0)</f>
        <v>0</v>
      </c>
      <c r="Q23" s="20">
        <f>VLOOKUP($B23,'[1]IAC - Base'!$A$6:$BH$45,'[1]IAC - Base'!R$1,0)</f>
        <v>0</v>
      </c>
      <c r="R23" s="20">
        <f>VLOOKUP($B23,'[1]IAC - Base'!$A$6:$BH$45,'[1]IAC - Base'!S$1,0)</f>
        <v>0</v>
      </c>
      <c r="S23" s="20">
        <f>VLOOKUP($B23,'[1]IAC - Base'!$A$6:$BH$45,'[1]IAC - Base'!T$1,0)</f>
        <v>0</v>
      </c>
      <c r="T23" s="20">
        <f>VLOOKUP($B23,'[1]IAC - Base'!$A$6:$BH$45,'[1]IAC - Base'!U$1,0)</f>
        <v>0</v>
      </c>
      <c r="U23" s="20">
        <f>VLOOKUP($B23,'[1]IAC - Base'!$A$6:$BH$45,'[1]IAC - Base'!V$1,0)</f>
        <v>0</v>
      </c>
      <c r="V23" s="20">
        <f>VLOOKUP($B23,'[1]IAC - Base'!$A$6:$BH$45,'[1]IAC - Base'!W$1,0)</f>
        <v>0</v>
      </c>
      <c r="W23" s="20">
        <f>VLOOKUP($B23,'[1]IAC - Base'!$A$6:$BH$45,'[1]IAC - Base'!X$1,0)</f>
        <v>0</v>
      </c>
      <c r="X23" s="20">
        <f>VLOOKUP($B23,'[1]IAC - Base'!$A$6:$BH$45,'[1]IAC - Base'!Y$1,0)</f>
        <v>0</v>
      </c>
      <c r="Y23" s="20">
        <f>VLOOKUP($B23,'[1]IAC - Base'!$A$6:$BH$45,'[1]IAC - Base'!Z$1,0)</f>
        <v>0</v>
      </c>
      <c r="Z23" s="20">
        <f>VLOOKUP($B23,'[1]IAC - Base'!$A$6:$BH$45,'[1]IAC - Base'!AA$1,0)</f>
        <v>0</v>
      </c>
      <c r="AA23" s="20">
        <f>VLOOKUP($B23,'[1]IAC - Base'!$A$6:$BH$45,'[1]IAC - Base'!AB$1,0)</f>
        <v>0</v>
      </c>
      <c r="AB23" s="20">
        <f>VLOOKUP($B23,'[1]IAC - Base'!$A$6:$BH$45,'[1]IAC - Base'!AC$1,0)</f>
        <v>0</v>
      </c>
      <c r="AC23" s="20">
        <f>VLOOKUP($B23,'[1]IAC - Base'!$A$6:$BH$45,'[1]IAC - Base'!AD$1,0)</f>
        <v>0</v>
      </c>
      <c r="AD23" s="20">
        <f>VLOOKUP($B23,'[1]IAC - Base'!$A$6:$BH$45,'[1]IAC - Base'!AE$1,0)</f>
        <v>0</v>
      </c>
      <c r="AE23" s="20">
        <f t="shared" si="0"/>
        <v>6860592733.7400007</v>
      </c>
      <c r="AF23" s="21">
        <f t="shared" si="1"/>
        <v>0.3317131444444999</v>
      </c>
      <c r="AH23" s="20">
        <f>VLOOKUP($B23,'[1]IAC - Base'!$A$6:$BH$45,'[1]IAC - Base'!AI$1,0)</f>
        <v>992433264.55999994</v>
      </c>
      <c r="AI23" s="20">
        <f>VLOOKUP($B23,'[1]IAC - Base'!$A$6:$BH$45,'[1]IAC - Base'!AJ$1,0)</f>
        <v>730754600.65999997</v>
      </c>
      <c r="AJ23" s="20">
        <f>VLOOKUP($B23,'[1]IAC - Base'!$A$6:$BH$45,'[1]IAC - Base'!AK$1,0)</f>
        <v>752812369.88999999</v>
      </c>
      <c r="AK23" s="20">
        <f>VLOOKUP($B23,'[1]IAC - Base'!$A$6:$BH$45,'[1]IAC - Base'!AL$1,0)</f>
        <v>905207043.99000001</v>
      </c>
      <c r="AL23" s="20">
        <f>VLOOKUP($B23,'[1]IAC - Base'!$A$6:$BH$45,'[1]IAC - Base'!AM$1,0)</f>
        <v>787043926.29999995</v>
      </c>
      <c r="AM23" s="20">
        <f>VLOOKUP($B23,'[1]IAC - Base'!$A$6:$BH$45,'[1]IAC - Base'!AN$1,0)</f>
        <v>699817704.75999999</v>
      </c>
      <c r="AN23" s="20">
        <f>VLOOKUP($B23,'[1]IAC - Base'!$A$6:$BH$45,'[1]IAC - Base'!AO$1,0)</f>
        <v>958201708.88999999</v>
      </c>
      <c r="AO23" s="20">
        <f>VLOOKUP($B23,'[1]IAC - Base'!$A$6:$BH$45,'[1]IAC - Base'!AP$1,0)</f>
        <v>923970152.55999994</v>
      </c>
      <c r="AP23" s="20">
        <f>VLOOKUP($B23,'[1]IAC - Base'!$A$6:$BH$45,'[1]IAC - Base'!AQ$1,0)</f>
        <v>699817704.75999999</v>
      </c>
      <c r="AQ23" s="20">
        <f>VLOOKUP($B23,'[1]IAC - Base'!$A$6:$BH$45,'[1]IAC - Base'!AR$1,0)</f>
        <v>992433265.28999996</v>
      </c>
      <c r="AR23" s="20">
        <f>VLOOKUP($B23,'[1]IAC - Base'!$A$6:$BH$45,'[1]IAC - Base'!AS$1,0)</f>
        <v>939438600.30999994</v>
      </c>
      <c r="AS23" s="20">
        <f>VLOOKUP($B23,'[1]IAC - Base'!$A$6:$BH$45,'[1]IAC - Base'!AT$1,0)</f>
        <v>889738595.91999996</v>
      </c>
      <c r="AT23" s="20">
        <f>VLOOKUP($B23,'[1]IAC - Base'!$A$6:$BH$45,'[1]IAC - Base'!AU$1,0)</f>
        <v>933808306.29999995</v>
      </c>
      <c r="AU23" s="20">
        <f>VLOOKUP($B23,'[1]IAC - Base'!$A$6:$BH$45,'[1]IAC - Base'!AV$1,0)</f>
        <v>743594092.25</v>
      </c>
      <c r="AV23" s="20">
        <f>VLOOKUP($B23,'[1]IAC - Base'!$A$6:$BH$45,'[1]IAC - Base'!AW$1,0)</f>
        <v>736241699.12</v>
      </c>
      <c r="AW23" s="20">
        <f>VLOOKUP($B23,'[1]IAC - Base'!$A$6:$BH$45,'[1]IAC - Base'!AX$1,0)</f>
        <v>980162795.26999998</v>
      </c>
      <c r="AX23" s="20">
        <f>VLOOKUP($B23,'[1]IAC - Base'!$A$6:$BH$45,'[1]IAC - Base'!AY$1,0)</f>
        <v>835025003</v>
      </c>
      <c r="AY23" s="20">
        <f>VLOOKUP($B23,'[1]IAC - Base'!$A$6:$BH$45,'[1]IAC - Base'!AZ$1,0)</f>
        <v>782596187.44000006</v>
      </c>
      <c r="AZ23" s="20">
        <f>VLOOKUP($B23,'[1]IAC - Base'!$A$6:$BH$45,'[1]IAC - Base'!BA$1,0)</f>
        <v>966736074.90999997</v>
      </c>
      <c r="BA23" s="20">
        <f>VLOOKUP($B23,'[1]IAC - Base'!$A$6:$BH$45,'[1]IAC - Base'!BB$1,0)</f>
        <v>933808307.11000001</v>
      </c>
      <c r="BB23" s="20">
        <f>VLOOKUP($B23,'[1]IAC - Base'!$A$6:$BH$45,'[1]IAC - Base'!BC$1,0)</f>
        <v>716740651.52999997</v>
      </c>
      <c r="BC23" s="20">
        <f>VLOOKUP($B23,'[1]IAC - Base'!$A$6:$BH$45,'[1]IAC - Base'!BD$1,0)</f>
        <v>999663842.87</v>
      </c>
      <c r="BD23" s="20">
        <f>VLOOKUP($B23,'[1]IAC - Base'!$A$6:$BH$45,'[1]IAC - Base'!BE$1,0)</f>
        <v>914307259.51999998</v>
      </c>
      <c r="BE23" s="20">
        <f>VLOOKUP($B23,'[1]IAC - Base'!$A$6:$BH$45,'[1]IAC - Base'!BF$1,0)</f>
        <v>867952770.78999996</v>
      </c>
      <c r="BF23" s="20">
        <f t="shared" si="2"/>
        <v>20682305928</v>
      </c>
      <c r="BG23" s="21">
        <f t="shared" si="3"/>
        <v>1</v>
      </c>
    </row>
    <row r="24" spans="2:59" ht="15" customHeight="1" x14ac:dyDescent="0.25">
      <c r="B24" s="19" t="s">
        <v>57</v>
      </c>
      <c r="C24" s="19" t="s">
        <v>42</v>
      </c>
      <c r="D24" s="19" t="s">
        <v>58</v>
      </c>
      <c r="E24" s="19" t="s">
        <v>59</v>
      </c>
      <c r="F24" s="20">
        <f>VLOOKUP($B24,'[1]IAC - Base'!$A$6:$BH$45,'[1]IAC - Base'!G$1,0)</f>
        <v>1891360390</v>
      </c>
      <c r="G24" s="20">
        <f>VLOOKUP($B24,'[1]IAC - Base'!$A$6:$BH$45,'[1]IAC - Base'!H$1,0)</f>
        <v>0</v>
      </c>
      <c r="H24" s="20">
        <f>VLOOKUP($B24,'[1]IAC - Base'!$A$6:$BH$45,'[1]IAC - Base'!I$1,0)</f>
        <v>0</v>
      </c>
      <c r="I24" s="20">
        <f>VLOOKUP($B24,'[1]IAC - Base'!$A$6:$BH$45,'[1]IAC - Base'!J$1,0)</f>
        <v>0</v>
      </c>
      <c r="J24" s="20">
        <f>VLOOKUP($B24,'[1]IAC - Base'!$A$6:$BH$45,'[1]IAC - Base'!K$1,0)</f>
        <v>0</v>
      </c>
      <c r="K24" s="20">
        <f>VLOOKUP($B24,'[1]IAC - Base'!$A$6:$BH$45,'[1]IAC - Base'!L$1,0)</f>
        <v>377229877.97999996</v>
      </c>
      <c r="L24" s="20">
        <f>VLOOKUP($B24,'[1]IAC - Base'!$A$6:$BH$45,'[1]IAC - Base'!M$1,0)</f>
        <v>62072769.259999998</v>
      </c>
      <c r="M24" s="20">
        <f>VLOOKUP($B24,'[1]IAC - Base'!$A$6:$BH$45,'[1]IAC - Base'!N$1,0)</f>
        <v>67794026.599999994</v>
      </c>
      <c r="N24" s="20">
        <f>VLOOKUP($B24,'[1]IAC - Base'!$A$6:$BH$45,'[1]IAC - Base'!O$1,0)</f>
        <v>55785557.439999998</v>
      </c>
      <c r="O24" s="20">
        <f>VLOOKUP($B24,'[1]IAC - Base'!$A$6:$BH$45,'[1]IAC - Base'!P$1,0)</f>
        <v>64506870.960000001</v>
      </c>
      <c r="P24" s="20">
        <f>VLOOKUP($B24,'[1]IAC - Base'!$A$6:$BH$45,'[1]IAC - Base'!Q$1,0)</f>
        <v>0</v>
      </c>
      <c r="Q24" s="20">
        <f>VLOOKUP($B24,'[1]IAC - Base'!$A$6:$BH$45,'[1]IAC - Base'!R$1,0)</f>
        <v>0</v>
      </c>
      <c r="R24" s="20">
        <f>VLOOKUP($B24,'[1]IAC - Base'!$A$6:$BH$45,'[1]IAC - Base'!S$1,0)</f>
        <v>0</v>
      </c>
      <c r="S24" s="20">
        <f>VLOOKUP($B24,'[1]IAC - Base'!$A$6:$BH$45,'[1]IAC - Base'!T$1,0)</f>
        <v>0</v>
      </c>
      <c r="T24" s="20">
        <f>VLOOKUP($B24,'[1]IAC - Base'!$A$6:$BH$45,'[1]IAC - Base'!U$1,0)</f>
        <v>0</v>
      </c>
      <c r="U24" s="20">
        <f>VLOOKUP($B24,'[1]IAC - Base'!$A$6:$BH$45,'[1]IAC - Base'!V$1,0)</f>
        <v>0</v>
      </c>
      <c r="V24" s="20">
        <f>VLOOKUP($B24,'[1]IAC - Base'!$A$6:$BH$45,'[1]IAC - Base'!W$1,0)</f>
        <v>0</v>
      </c>
      <c r="W24" s="20">
        <f>VLOOKUP($B24,'[1]IAC - Base'!$A$6:$BH$45,'[1]IAC - Base'!X$1,0)</f>
        <v>0</v>
      </c>
      <c r="X24" s="20">
        <f>VLOOKUP($B24,'[1]IAC - Base'!$A$6:$BH$45,'[1]IAC - Base'!Y$1,0)</f>
        <v>0</v>
      </c>
      <c r="Y24" s="20">
        <f>VLOOKUP($B24,'[1]IAC - Base'!$A$6:$BH$45,'[1]IAC - Base'!Z$1,0)</f>
        <v>0</v>
      </c>
      <c r="Z24" s="20">
        <f>VLOOKUP($B24,'[1]IAC - Base'!$A$6:$BH$45,'[1]IAC - Base'!AA$1,0)</f>
        <v>0</v>
      </c>
      <c r="AA24" s="20">
        <f>VLOOKUP($B24,'[1]IAC - Base'!$A$6:$BH$45,'[1]IAC - Base'!AB$1,0)</f>
        <v>0</v>
      </c>
      <c r="AB24" s="20">
        <f>VLOOKUP($B24,'[1]IAC - Base'!$A$6:$BH$45,'[1]IAC - Base'!AC$1,0)</f>
        <v>0</v>
      </c>
      <c r="AC24" s="20">
        <f>VLOOKUP($B24,'[1]IAC - Base'!$A$6:$BH$45,'[1]IAC - Base'!AD$1,0)</f>
        <v>0</v>
      </c>
      <c r="AD24" s="20">
        <f>VLOOKUP($B24,'[1]IAC - Base'!$A$6:$BH$45,'[1]IAC - Base'!AE$1,0)</f>
        <v>0</v>
      </c>
      <c r="AE24" s="20">
        <f t="shared" si="0"/>
        <v>627389102.24000001</v>
      </c>
      <c r="AF24" s="21">
        <f t="shared" si="1"/>
        <v>0.33171314444202776</v>
      </c>
      <c r="AH24" s="20">
        <f>VLOOKUP($B24,'[1]IAC - Base'!$A$6:$BH$45,'[1]IAC - Base'!AI$1,0)</f>
        <v>90756271.219999999</v>
      </c>
      <c r="AI24" s="20">
        <f>VLOOKUP($B24,'[1]IAC - Base'!$A$6:$BH$45,'[1]IAC - Base'!AJ$1,0)</f>
        <v>66826219.049999997</v>
      </c>
      <c r="AJ24" s="20">
        <f>VLOOKUP($B24,'[1]IAC - Base'!$A$6:$BH$45,'[1]IAC - Base'!AK$1,0)</f>
        <v>68843363.140000001</v>
      </c>
      <c r="AK24" s="20">
        <f>VLOOKUP($B24,'[1]IAC - Base'!$A$6:$BH$45,'[1]IAC - Base'!AL$1,0)</f>
        <v>82779587.230000004</v>
      </c>
      <c r="AL24" s="20">
        <f>VLOOKUP($B24,'[1]IAC - Base'!$A$6:$BH$45,'[1]IAC - Base'!AM$1,0)</f>
        <v>71973778.579999998</v>
      </c>
      <c r="AM24" s="20">
        <f>VLOOKUP($B24,'[1]IAC - Base'!$A$6:$BH$45,'[1]IAC - Base'!AN$1,0)</f>
        <v>63997094.5</v>
      </c>
      <c r="AN24" s="20">
        <f>VLOOKUP($B24,'[1]IAC - Base'!$A$6:$BH$45,'[1]IAC - Base'!AO$1,0)</f>
        <v>87625855.849999994</v>
      </c>
      <c r="AO24" s="20">
        <f>VLOOKUP($B24,'[1]IAC - Base'!$A$6:$BH$45,'[1]IAC - Base'!AP$1,0)</f>
        <v>84495440.409999996</v>
      </c>
      <c r="AP24" s="20">
        <f>VLOOKUP($B24,'[1]IAC - Base'!$A$6:$BH$45,'[1]IAC - Base'!AQ$1,0)</f>
        <v>63997094.5</v>
      </c>
      <c r="AQ24" s="20">
        <f>VLOOKUP($B24,'[1]IAC - Base'!$A$6:$BH$45,'[1]IAC - Base'!AR$1,0)</f>
        <v>90756271.290000007</v>
      </c>
      <c r="AR24" s="20">
        <f>VLOOKUP($B24,'[1]IAC - Base'!$A$6:$BH$45,'[1]IAC - Base'!AS$1,0)</f>
        <v>85910002.670000002</v>
      </c>
      <c r="AS24" s="20">
        <f>VLOOKUP($B24,'[1]IAC - Base'!$A$6:$BH$45,'[1]IAC - Base'!AT$1,0)</f>
        <v>81365024.950000003</v>
      </c>
      <c r="AT24" s="20">
        <f>VLOOKUP($B24,'[1]IAC - Base'!$A$6:$BH$45,'[1]IAC - Base'!AU$1,0)</f>
        <v>85395122.209999993</v>
      </c>
      <c r="AU24" s="20">
        <f>VLOOKUP($B24,'[1]IAC - Base'!$A$6:$BH$45,'[1]IAC - Base'!AV$1,0)</f>
        <v>68000367.909999996</v>
      </c>
      <c r="AV24" s="20">
        <f>VLOOKUP($B24,'[1]IAC - Base'!$A$6:$BH$45,'[1]IAC - Base'!AW$1,0)</f>
        <v>67328004.530000001</v>
      </c>
      <c r="AW24" s="20">
        <f>VLOOKUP($B24,'[1]IAC - Base'!$A$6:$BH$45,'[1]IAC - Base'!AX$1,0)</f>
        <v>89634158.450000003</v>
      </c>
      <c r="AX24" s="20">
        <f>VLOOKUP($B24,'[1]IAC - Base'!$A$6:$BH$45,'[1]IAC - Base'!AY$1,0)</f>
        <v>76361563.400000006</v>
      </c>
      <c r="AY24" s="20">
        <f>VLOOKUP($B24,'[1]IAC - Base'!$A$6:$BH$45,'[1]IAC - Base'!AZ$1,0)</f>
        <v>71567040.709999993</v>
      </c>
      <c r="AZ24" s="20">
        <f>VLOOKUP($B24,'[1]IAC - Base'!$A$6:$BH$45,'[1]IAC - Base'!BA$1,0)</f>
        <v>88406308.560000002</v>
      </c>
      <c r="BA24" s="20">
        <f>VLOOKUP($B24,'[1]IAC - Base'!$A$6:$BH$45,'[1]IAC - Base'!BB$1,0)</f>
        <v>85395122.290000007</v>
      </c>
      <c r="BB24" s="20">
        <f>VLOOKUP($B24,'[1]IAC - Base'!$A$6:$BH$45,'[1]IAC - Base'!BC$1,0)</f>
        <v>65544668.130000003</v>
      </c>
      <c r="BC24" s="20">
        <f>VLOOKUP($B24,'[1]IAC - Base'!$A$6:$BH$45,'[1]IAC - Base'!BD$1,0)</f>
        <v>91417494.849999994</v>
      </c>
      <c r="BD24" s="20">
        <f>VLOOKUP($B24,'[1]IAC - Base'!$A$6:$BH$45,'[1]IAC - Base'!BE$1,0)</f>
        <v>83611785.890000001</v>
      </c>
      <c r="BE24" s="20">
        <f>VLOOKUP($B24,'[1]IAC - Base'!$A$6:$BH$45,'[1]IAC - Base'!BF$1,0)</f>
        <v>79372749.670000002</v>
      </c>
      <c r="BF24" s="20">
        <f t="shared" si="2"/>
        <v>1891360389.9900002</v>
      </c>
      <c r="BG24" s="21">
        <f t="shared" si="3"/>
        <v>0.9999999999947129</v>
      </c>
    </row>
    <row r="25" spans="2:59" ht="15" customHeight="1" x14ac:dyDescent="0.25">
      <c r="B25" s="19" t="s">
        <v>60</v>
      </c>
      <c r="C25" s="19" t="s">
        <v>42</v>
      </c>
      <c r="D25" s="19" t="s">
        <v>58</v>
      </c>
      <c r="E25" s="19" t="s">
        <v>61</v>
      </c>
      <c r="F25" s="20">
        <f>VLOOKUP($B25,'[1]IAC - Base'!$A$6:$BH$45,'[1]IAC - Base'!G$1,0)</f>
        <v>1458254308</v>
      </c>
      <c r="G25" s="20">
        <f>VLOOKUP($B25,'[1]IAC - Base'!$A$6:$BH$45,'[1]IAC - Base'!H$1,0)</f>
        <v>0</v>
      </c>
      <c r="H25" s="20">
        <f>VLOOKUP($B25,'[1]IAC - Base'!$A$6:$BH$45,'[1]IAC - Base'!I$1,0)</f>
        <v>0</v>
      </c>
      <c r="I25" s="20">
        <f>VLOOKUP($B25,'[1]IAC - Base'!$A$6:$BH$45,'[1]IAC - Base'!J$1,0)</f>
        <v>0</v>
      </c>
      <c r="J25" s="20">
        <f>VLOOKUP($B25,'[1]IAC - Base'!$A$6:$BH$45,'[1]IAC - Base'!K$1,0)</f>
        <v>0</v>
      </c>
      <c r="K25" s="20">
        <f>VLOOKUP($B25,'[1]IAC - Base'!$A$6:$BH$45,'[1]IAC - Base'!L$1,0)</f>
        <v>290847316.87</v>
      </c>
      <c r="L25" s="20">
        <f>VLOOKUP($B25,'[1]IAC - Base'!$A$6:$BH$45,'[1]IAC - Base'!M$1,0)</f>
        <v>47858612.07</v>
      </c>
      <c r="M25" s="20">
        <f>VLOOKUP($B25,'[1]IAC - Base'!$A$6:$BH$45,'[1]IAC - Base'!N$1,0)</f>
        <v>52269748.200000003</v>
      </c>
      <c r="N25" s="20">
        <f>VLOOKUP($B25,'[1]IAC - Base'!$A$6:$BH$45,'[1]IAC - Base'!O$1,0)</f>
        <v>43011120.399999999</v>
      </c>
      <c r="O25" s="20">
        <f>VLOOKUP($B25,'[1]IAC - Base'!$A$6:$BH$45,'[1]IAC - Base'!P$1,0)</f>
        <v>49735324.359999999</v>
      </c>
      <c r="P25" s="20">
        <f>VLOOKUP($B25,'[1]IAC - Base'!$A$6:$BH$45,'[1]IAC - Base'!Q$1,0)</f>
        <v>0</v>
      </c>
      <c r="Q25" s="20">
        <f>VLOOKUP($B25,'[1]IAC - Base'!$A$6:$BH$45,'[1]IAC - Base'!R$1,0)</f>
        <v>0</v>
      </c>
      <c r="R25" s="20">
        <f>VLOOKUP($B25,'[1]IAC - Base'!$A$6:$BH$45,'[1]IAC - Base'!S$1,0)</f>
        <v>0</v>
      </c>
      <c r="S25" s="20">
        <f>VLOOKUP($B25,'[1]IAC - Base'!$A$6:$BH$45,'[1]IAC - Base'!T$1,0)</f>
        <v>0</v>
      </c>
      <c r="T25" s="20">
        <f>VLOOKUP($B25,'[1]IAC - Base'!$A$6:$BH$45,'[1]IAC - Base'!U$1,0)</f>
        <v>0</v>
      </c>
      <c r="U25" s="20">
        <f>VLOOKUP($B25,'[1]IAC - Base'!$A$6:$BH$45,'[1]IAC - Base'!V$1,0)</f>
        <v>0</v>
      </c>
      <c r="V25" s="20">
        <f>VLOOKUP($B25,'[1]IAC - Base'!$A$6:$BH$45,'[1]IAC - Base'!W$1,0)</f>
        <v>0</v>
      </c>
      <c r="W25" s="20">
        <f>VLOOKUP($B25,'[1]IAC - Base'!$A$6:$BH$45,'[1]IAC - Base'!X$1,0)</f>
        <v>0</v>
      </c>
      <c r="X25" s="20">
        <f>VLOOKUP($B25,'[1]IAC - Base'!$A$6:$BH$45,'[1]IAC - Base'!Y$1,0)</f>
        <v>0</v>
      </c>
      <c r="Y25" s="20">
        <f>VLOOKUP($B25,'[1]IAC - Base'!$A$6:$BH$45,'[1]IAC - Base'!Z$1,0)</f>
        <v>0</v>
      </c>
      <c r="Z25" s="20">
        <f>VLOOKUP($B25,'[1]IAC - Base'!$A$6:$BH$45,'[1]IAC - Base'!AA$1,0)</f>
        <v>0</v>
      </c>
      <c r="AA25" s="20">
        <f>VLOOKUP($B25,'[1]IAC - Base'!$A$6:$BH$45,'[1]IAC - Base'!AB$1,0)</f>
        <v>0</v>
      </c>
      <c r="AB25" s="20">
        <f>VLOOKUP($B25,'[1]IAC - Base'!$A$6:$BH$45,'[1]IAC - Base'!AC$1,0)</f>
        <v>0</v>
      </c>
      <c r="AC25" s="20">
        <f>VLOOKUP($B25,'[1]IAC - Base'!$A$6:$BH$45,'[1]IAC - Base'!AD$1,0)</f>
        <v>0</v>
      </c>
      <c r="AD25" s="20">
        <f>VLOOKUP($B25,'[1]IAC - Base'!$A$6:$BH$45,'[1]IAC - Base'!AE$1,0)</f>
        <v>0</v>
      </c>
      <c r="AE25" s="20">
        <f t="shared" si="0"/>
        <v>483722121.89999998</v>
      </c>
      <c r="AF25" s="21">
        <f t="shared" si="1"/>
        <v>0.33171314444009858</v>
      </c>
      <c r="AH25" s="20">
        <f>VLOOKUP($B25,'[1]IAC - Base'!$A$6:$BH$45,'[1]IAC - Base'!AI$1,0)</f>
        <v>69973826.349999994</v>
      </c>
      <c r="AI25" s="20">
        <f>VLOOKUP($B25,'[1]IAC - Base'!$A$6:$BH$45,'[1]IAC - Base'!AJ$1,0)</f>
        <v>51523560.68</v>
      </c>
      <c r="AJ25" s="20">
        <f>VLOOKUP($B25,'[1]IAC - Base'!$A$6:$BH$45,'[1]IAC - Base'!AK$1,0)</f>
        <v>53078795.240000002</v>
      </c>
      <c r="AK25" s="20">
        <f>VLOOKUP($B25,'[1]IAC - Base'!$A$6:$BH$45,'[1]IAC - Base'!AL$1,0)</f>
        <v>63823737.840000004</v>
      </c>
      <c r="AL25" s="20">
        <f>VLOOKUP($B25,'[1]IAC - Base'!$A$6:$BH$45,'[1]IAC - Base'!AM$1,0)</f>
        <v>55492371.119999997</v>
      </c>
      <c r="AM25" s="20">
        <f>VLOOKUP($B25,'[1]IAC - Base'!$A$6:$BH$45,'[1]IAC - Base'!AN$1,0)</f>
        <v>49342282.539999999</v>
      </c>
      <c r="AN25" s="20">
        <f>VLOOKUP($B25,'[1]IAC - Base'!$A$6:$BH$45,'[1]IAC - Base'!AO$1,0)</f>
        <v>67560250.519999996</v>
      </c>
      <c r="AO25" s="20">
        <f>VLOOKUP($B25,'[1]IAC - Base'!$A$6:$BH$45,'[1]IAC - Base'!AP$1,0)</f>
        <v>65146674.659999996</v>
      </c>
      <c r="AP25" s="20">
        <f>VLOOKUP($B25,'[1]IAC - Base'!$A$6:$BH$45,'[1]IAC - Base'!AQ$1,0)</f>
        <v>49342282.539999999</v>
      </c>
      <c r="AQ25" s="20">
        <f>VLOOKUP($B25,'[1]IAC - Base'!$A$6:$BH$45,'[1]IAC - Base'!AR$1,0)</f>
        <v>69973826.400000006</v>
      </c>
      <c r="AR25" s="20">
        <f>VLOOKUP($B25,'[1]IAC - Base'!$A$6:$BH$45,'[1]IAC - Base'!AS$1,0)</f>
        <v>66237313.710000001</v>
      </c>
      <c r="AS25" s="20">
        <f>VLOOKUP($B25,'[1]IAC - Base'!$A$6:$BH$45,'[1]IAC - Base'!AT$1,0)</f>
        <v>62733098.770000003</v>
      </c>
      <c r="AT25" s="20">
        <f>VLOOKUP($B25,'[1]IAC - Base'!$A$6:$BH$45,'[1]IAC - Base'!AU$1,0)</f>
        <v>65840336.670000002</v>
      </c>
      <c r="AU25" s="20">
        <f>VLOOKUP($B25,'[1]IAC - Base'!$A$6:$BH$45,'[1]IAC - Base'!AV$1,0)</f>
        <v>52428839.039999999</v>
      </c>
      <c r="AV25" s="20">
        <f>VLOOKUP($B25,'[1]IAC - Base'!$A$6:$BH$45,'[1]IAC - Base'!AW$1,0)</f>
        <v>51910441.380000003</v>
      </c>
      <c r="AW25" s="20">
        <f>VLOOKUP($B25,'[1]IAC - Base'!$A$6:$BH$45,'[1]IAC - Base'!AX$1,0)</f>
        <v>69108668.239999995</v>
      </c>
      <c r="AX25" s="20">
        <f>VLOOKUP($B25,'[1]IAC - Base'!$A$6:$BH$45,'[1]IAC - Base'!AY$1,0)</f>
        <v>58875389.049999997</v>
      </c>
      <c r="AY25" s="20">
        <f>VLOOKUP($B25,'[1]IAC - Base'!$A$6:$BH$45,'[1]IAC - Base'!AZ$1,0)</f>
        <v>55178772.899999999</v>
      </c>
      <c r="AZ25" s="20">
        <f>VLOOKUP($B25,'[1]IAC - Base'!$A$6:$BH$45,'[1]IAC - Base'!BA$1,0)</f>
        <v>68161985.939999998</v>
      </c>
      <c r="BA25" s="20">
        <f>VLOOKUP($B25,'[1]IAC - Base'!$A$6:$BH$45,'[1]IAC - Base'!BB$1,0)</f>
        <v>65840336.729999997</v>
      </c>
      <c r="BB25" s="20">
        <f>VLOOKUP($B25,'[1]IAC - Base'!$A$6:$BH$45,'[1]IAC - Base'!BC$1,0)</f>
        <v>50535474.450000003</v>
      </c>
      <c r="BC25" s="20">
        <f>VLOOKUP($B25,'[1]IAC - Base'!$A$6:$BH$45,'[1]IAC - Base'!BD$1,0)</f>
        <v>70483635.170000002</v>
      </c>
      <c r="BD25" s="20">
        <f>VLOOKUP($B25,'[1]IAC - Base'!$A$6:$BH$45,'[1]IAC - Base'!BE$1,0)</f>
        <v>64465369.799999997</v>
      </c>
      <c r="BE25" s="20">
        <f>VLOOKUP($B25,'[1]IAC - Base'!$A$6:$BH$45,'[1]IAC - Base'!BF$1,0)</f>
        <v>61197038.259999998</v>
      </c>
      <c r="BF25" s="20">
        <f t="shared" si="2"/>
        <v>1458254308.0000002</v>
      </c>
      <c r="BG25" s="21">
        <f t="shared" si="3"/>
        <v>1.0000000000000002</v>
      </c>
    </row>
    <row r="26" spans="2:59" ht="15" customHeight="1" x14ac:dyDescent="0.25">
      <c r="B26" s="19" t="s">
        <v>62</v>
      </c>
      <c r="C26" s="19" t="s">
        <v>42</v>
      </c>
      <c r="D26" s="19" t="s">
        <v>58</v>
      </c>
      <c r="E26" s="19" t="s">
        <v>63</v>
      </c>
      <c r="F26" s="20">
        <f>VLOOKUP($B26,'[1]IAC - Base'!$A$6:$BH$45,'[1]IAC - Base'!G$1,0)</f>
        <v>2085355137</v>
      </c>
      <c r="G26" s="20">
        <f>VLOOKUP($B26,'[1]IAC - Base'!$A$6:$BH$45,'[1]IAC - Base'!H$1,0)</f>
        <v>0</v>
      </c>
      <c r="H26" s="20">
        <f>VLOOKUP($B26,'[1]IAC - Base'!$A$6:$BH$45,'[1]IAC - Base'!I$1,0)</f>
        <v>0</v>
      </c>
      <c r="I26" s="20">
        <f>VLOOKUP($B26,'[1]IAC - Base'!$A$6:$BH$45,'[1]IAC - Base'!J$1,0)</f>
        <v>0</v>
      </c>
      <c r="J26" s="20">
        <f>VLOOKUP($B26,'[1]IAC - Base'!$A$6:$BH$45,'[1]IAC - Base'!K$1,0)</f>
        <v>0</v>
      </c>
      <c r="K26" s="20">
        <f>VLOOKUP($B26,'[1]IAC - Base'!$A$6:$BH$45,'[1]IAC - Base'!L$1,0)</f>
        <v>415921930.07999998</v>
      </c>
      <c r="L26" s="20">
        <f>VLOOKUP($B26,'[1]IAC - Base'!$A$6:$BH$45,'[1]IAC - Base'!M$1,0)</f>
        <v>68439504.670000002</v>
      </c>
      <c r="M26" s="20">
        <f>VLOOKUP($B26,'[1]IAC - Base'!$A$6:$BH$45,'[1]IAC - Base'!N$1,0)</f>
        <v>74747585.060000002</v>
      </c>
      <c r="N26" s="20">
        <f>VLOOKUP($B26,'[1]IAC - Base'!$A$6:$BH$45,'[1]IAC - Base'!O$1,0)</f>
        <v>61507420.469999999</v>
      </c>
      <c r="O26" s="20">
        <f>VLOOKUP($B26,'[1]IAC - Base'!$A$6:$BH$45,'[1]IAC - Base'!P$1,0)</f>
        <v>71123269.5</v>
      </c>
      <c r="P26" s="20">
        <f>VLOOKUP($B26,'[1]IAC - Base'!$A$6:$BH$45,'[1]IAC - Base'!Q$1,0)</f>
        <v>0</v>
      </c>
      <c r="Q26" s="20">
        <f>VLOOKUP($B26,'[1]IAC - Base'!$A$6:$BH$45,'[1]IAC - Base'!R$1,0)</f>
        <v>0</v>
      </c>
      <c r="R26" s="20">
        <f>VLOOKUP($B26,'[1]IAC - Base'!$A$6:$BH$45,'[1]IAC - Base'!S$1,0)</f>
        <v>0</v>
      </c>
      <c r="S26" s="20">
        <f>VLOOKUP($B26,'[1]IAC - Base'!$A$6:$BH$45,'[1]IAC - Base'!T$1,0)</f>
        <v>0</v>
      </c>
      <c r="T26" s="20">
        <f>VLOOKUP($B26,'[1]IAC - Base'!$A$6:$BH$45,'[1]IAC - Base'!U$1,0)</f>
        <v>0</v>
      </c>
      <c r="U26" s="20">
        <f>VLOOKUP($B26,'[1]IAC - Base'!$A$6:$BH$45,'[1]IAC - Base'!V$1,0)</f>
        <v>0</v>
      </c>
      <c r="V26" s="20">
        <f>VLOOKUP($B26,'[1]IAC - Base'!$A$6:$BH$45,'[1]IAC - Base'!W$1,0)</f>
        <v>0</v>
      </c>
      <c r="W26" s="20">
        <f>VLOOKUP($B26,'[1]IAC - Base'!$A$6:$BH$45,'[1]IAC - Base'!X$1,0)</f>
        <v>0</v>
      </c>
      <c r="X26" s="20">
        <f>VLOOKUP($B26,'[1]IAC - Base'!$A$6:$BH$45,'[1]IAC - Base'!Y$1,0)</f>
        <v>0</v>
      </c>
      <c r="Y26" s="20">
        <f>VLOOKUP($B26,'[1]IAC - Base'!$A$6:$BH$45,'[1]IAC - Base'!Z$1,0)</f>
        <v>0</v>
      </c>
      <c r="Z26" s="20">
        <f>VLOOKUP($B26,'[1]IAC - Base'!$A$6:$BH$45,'[1]IAC - Base'!AA$1,0)</f>
        <v>0</v>
      </c>
      <c r="AA26" s="20">
        <f>VLOOKUP($B26,'[1]IAC - Base'!$A$6:$BH$45,'[1]IAC - Base'!AB$1,0)</f>
        <v>0</v>
      </c>
      <c r="AB26" s="20">
        <f>VLOOKUP($B26,'[1]IAC - Base'!$A$6:$BH$45,'[1]IAC - Base'!AC$1,0)</f>
        <v>0</v>
      </c>
      <c r="AC26" s="20">
        <f>VLOOKUP($B26,'[1]IAC - Base'!$A$6:$BH$45,'[1]IAC - Base'!AD$1,0)</f>
        <v>0</v>
      </c>
      <c r="AD26" s="20">
        <f>VLOOKUP($B26,'[1]IAC - Base'!$A$6:$BH$45,'[1]IAC - Base'!AE$1,0)</f>
        <v>0</v>
      </c>
      <c r="AE26" s="20">
        <f t="shared" si="0"/>
        <v>691739709.77999997</v>
      </c>
      <c r="AF26" s="21">
        <f t="shared" si="1"/>
        <v>0.33171314444557365</v>
      </c>
      <c r="AH26" s="20">
        <f>VLOOKUP($B26,'[1]IAC - Base'!$A$6:$BH$45,'[1]IAC - Base'!AI$1,0)</f>
        <v>100065041.76000001</v>
      </c>
      <c r="AI26" s="20">
        <f>VLOOKUP($B26,'[1]IAC - Base'!$A$6:$BH$45,'[1]IAC - Base'!AJ$1,0)</f>
        <v>73680510.560000002</v>
      </c>
      <c r="AJ26" s="20">
        <f>VLOOKUP($B26,'[1]IAC - Base'!$A$6:$BH$45,'[1]IAC - Base'!AK$1,0)</f>
        <v>75904550.890000001</v>
      </c>
      <c r="AK26" s="20">
        <f>VLOOKUP($B26,'[1]IAC - Base'!$A$6:$BH$45,'[1]IAC - Base'!AL$1,0)</f>
        <v>91270198.099999994</v>
      </c>
      <c r="AL26" s="20">
        <f>VLOOKUP($B26,'[1]IAC - Base'!$A$6:$BH$45,'[1]IAC - Base'!AM$1,0)</f>
        <v>79356049.579999998</v>
      </c>
      <c r="AM26" s="20">
        <f>VLOOKUP($B26,'[1]IAC - Base'!$A$6:$BH$45,'[1]IAC - Base'!AN$1,0)</f>
        <v>70561205.829999998</v>
      </c>
      <c r="AN26" s="20">
        <f>VLOOKUP($B26,'[1]IAC - Base'!$A$6:$BH$45,'[1]IAC - Base'!AO$1,0)</f>
        <v>96613543.140000001</v>
      </c>
      <c r="AO26" s="20">
        <f>VLOOKUP($B26,'[1]IAC - Base'!$A$6:$BH$45,'[1]IAC - Base'!AP$1,0)</f>
        <v>93162044.439999998</v>
      </c>
      <c r="AP26" s="20">
        <f>VLOOKUP($B26,'[1]IAC - Base'!$A$6:$BH$45,'[1]IAC - Base'!AQ$1,0)</f>
        <v>70561205.829999998</v>
      </c>
      <c r="AQ26" s="20">
        <f>VLOOKUP($B26,'[1]IAC - Base'!$A$6:$BH$45,'[1]IAC - Base'!AR$1,0)</f>
        <v>100065041.83</v>
      </c>
      <c r="AR26" s="20">
        <f>VLOOKUP($B26,'[1]IAC - Base'!$A$6:$BH$45,'[1]IAC - Base'!AS$1,0)</f>
        <v>94721696.790000007</v>
      </c>
      <c r="AS26" s="20">
        <f>VLOOKUP($B26,'[1]IAC - Base'!$A$6:$BH$45,'[1]IAC - Base'!AT$1,0)</f>
        <v>89710545.719999999</v>
      </c>
      <c r="AT26" s="20">
        <f>VLOOKUP($B26,'[1]IAC - Base'!$A$6:$BH$45,'[1]IAC - Base'!AU$1,0)</f>
        <v>94154005.620000005</v>
      </c>
      <c r="AU26" s="20">
        <f>VLOOKUP($B26,'[1]IAC - Base'!$A$6:$BH$45,'[1]IAC - Base'!AV$1,0)</f>
        <v>74975090.569999993</v>
      </c>
      <c r="AV26" s="20">
        <f>VLOOKUP($B26,'[1]IAC - Base'!$A$6:$BH$45,'[1]IAC - Base'!AW$1,0)</f>
        <v>74233763.620000005</v>
      </c>
      <c r="AW26" s="20">
        <f>VLOOKUP($B26,'[1]IAC - Base'!$A$6:$BH$45,'[1]IAC - Base'!AX$1,0)</f>
        <v>98827835.120000005</v>
      </c>
      <c r="AX26" s="20">
        <f>VLOOKUP($B26,'[1]IAC - Base'!$A$6:$BH$45,'[1]IAC - Base'!AY$1,0)</f>
        <v>84193884.650000006</v>
      </c>
      <c r="AY26" s="20">
        <f>VLOOKUP($B26,'[1]IAC - Base'!$A$6:$BH$45,'[1]IAC - Base'!AZ$1,0)</f>
        <v>78907593.060000002</v>
      </c>
      <c r="AZ26" s="20">
        <f>VLOOKUP($B26,'[1]IAC - Base'!$A$6:$BH$45,'[1]IAC - Base'!BA$1,0)</f>
        <v>97474046.030000001</v>
      </c>
      <c r="BA26" s="20">
        <f>VLOOKUP($B26,'[1]IAC - Base'!$A$6:$BH$45,'[1]IAC - Base'!BB$1,0)</f>
        <v>94154005.700000003</v>
      </c>
      <c r="BB26" s="20">
        <f>VLOOKUP($B26,'[1]IAC - Base'!$A$6:$BH$45,'[1]IAC - Base'!BC$1,0)</f>
        <v>72267512.370000005</v>
      </c>
      <c r="BC26" s="20">
        <f>VLOOKUP($B26,'[1]IAC - Base'!$A$6:$BH$45,'[1]IAC - Base'!BD$1,0)</f>
        <v>100794086.37</v>
      </c>
      <c r="BD26" s="20">
        <f>VLOOKUP($B26,'[1]IAC - Base'!$A$6:$BH$45,'[1]IAC - Base'!BE$1,0)</f>
        <v>92187754.450000003</v>
      </c>
      <c r="BE26" s="20">
        <f>VLOOKUP($B26,'[1]IAC - Base'!$A$6:$BH$45,'[1]IAC - Base'!BF$1,0)</f>
        <v>87513924.969999999</v>
      </c>
      <c r="BF26" s="20">
        <f t="shared" si="2"/>
        <v>2085355137</v>
      </c>
      <c r="BG26" s="21">
        <f t="shared" si="3"/>
        <v>1</v>
      </c>
    </row>
    <row r="27" spans="2:59" ht="15" customHeight="1" x14ac:dyDescent="0.25">
      <c r="B27" s="19" t="s">
        <v>64</v>
      </c>
      <c r="C27" s="19" t="s">
        <v>42</v>
      </c>
      <c r="D27" s="19" t="s">
        <v>58</v>
      </c>
      <c r="E27" s="19" t="s">
        <v>65</v>
      </c>
      <c r="F27" s="20">
        <f>VLOOKUP($B27,'[1]IAC - Base'!$A$6:$BH$45,'[1]IAC - Base'!G$1,0)</f>
        <v>4833881558</v>
      </c>
      <c r="G27" s="20">
        <f>VLOOKUP($B27,'[1]IAC - Base'!$A$6:$BH$45,'[1]IAC - Base'!H$1,0)</f>
        <v>0</v>
      </c>
      <c r="H27" s="20">
        <f>VLOOKUP($B27,'[1]IAC - Base'!$A$6:$BH$45,'[1]IAC - Base'!I$1,0)</f>
        <v>0</v>
      </c>
      <c r="I27" s="20">
        <f>VLOOKUP($B27,'[1]IAC - Base'!$A$6:$BH$45,'[1]IAC - Base'!J$1,0)</f>
        <v>0</v>
      </c>
      <c r="J27" s="20">
        <f>VLOOKUP($B27,'[1]IAC - Base'!$A$6:$BH$45,'[1]IAC - Base'!K$1,0)</f>
        <v>0</v>
      </c>
      <c r="K27" s="20">
        <f>VLOOKUP($B27,'[1]IAC - Base'!$A$6:$BH$45,'[1]IAC - Base'!L$1,0)</f>
        <v>964112688.37999988</v>
      </c>
      <c r="L27" s="20">
        <f>VLOOKUP($B27,'[1]IAC - Base'!$A$6:$BH$45,'[1]IAC - Base'!M$1,0)</f>
        <v>158643702.27000001</v>
      </c>
      <c r="M27" s="20">
        <f>VLOOKUP($B27,'[1]IAC - Base'!$A$6:$BH$45,'[1]IAC - Base'!N$1,0)</f>
        <v>173265918.36000001</v>
      </c>
      <c r="N27" s="20">
        <f>VLOOKUP($B27,'[1]IAC - Base'!$A$6:$BH$45,'[1]IAC - Base'!O$1,0)</f>
        <v>142575036.85000002</v>
      </c>
      <c r="O27" s="20">
        <f>VLOOKUP($B27,'[1]IAC - Base'!$A$6:$BH$45,'[1]IAC - Base'!P$1,0)</f>
        <v>164864705.62</v>
      </c>
      <c r="P27" s="20">
        <f>VLOOKUP($B27,'[1]IAC - Base'!$A$6:$BH$45,'[1]IAC - Base'!Q$1,0)</f>
        <v>0</v>
      </c>
      <c r="Q27" s="20">
        <f>VLOOKUP($B27,'[1]IAC - Base'!$A$6:$BH$45,'[1]IAC - Base'!R$1,0)</f>
        <v>0</v>
      </c>
      <c r="R27" s="20">
        <f>VLOOKUP($B27,'[1]IAC - Base'!$A$6:$BH$45,'[1]IAC - Base'!S$1,0)</f>
        <v>0</v>
      </c>
      <c r="S27" s="20">
        <f>VLOOKUP($B27,'[1]IAC - Base'!$A$6:$BH$45,'[1]IAC - Base'!T$1,0)</f>
        <v>0</v>
      </c>
      <c r="T27" s="20">
        <f>VLOOKUP($B27,'[1]IAC - Base'!$A$6:$BH$45,'[1]IAC - Base'!U$1,0)</f>
        <v>0</v>
      </c>
      <c r="U27" s="20">
        <f>VLOOKUP($B27,'[1]IAC - Base'!$A$6:$BH$45,'[1]IAC - Base'!V$1,0)</f>
        <v>0</v>
      </c>
      <c r="V27" s="20">
        <f>VLOOKUP($B27,'[1]IAC - Base'!$A$6:$BH$45,'[1]IAC - Base'!W$1,0)</f>
        <v>0</v>
      </c>
      <c r="W27" s="20">
        <f>VLOOKUP($B27,'[1]IAC - Base'!$A$6:$BH$45,'[1]IAC - Base'!X$1,0)</f>
        <v>0</v>
      </c>
      <c r="X27" s="20">
        <f>VLOOKUP($B27,'[1]IAC - Base'!$A$6:$BH$45,'[1]IAC - Base'!Y$1,0)</f>
        <v>0</v>
      </c>
      <c r="Y27" s="20">
        <f>VLOOKUP($B27,'[1]IAC - Base'!$A$6:$BH$45,'[1]IAC - Base'!Z$1,0)</f>
        <v>0</v>
      </c>
      <c r="Z27" s="20">
        <f>VLOOKUP($B27,'[1]IAC - Base'!$A$6:$BH$45,'[1]IAC - Base'!AA$1,0)</f>
        <v>0</v>
      </c>
      <c r="AA27" s="20">
        <f>VLOOKUP($B27,'[1]IAC - Base'!$A$6:$BH$45,'[1]IAC - Base'!AB$1,0)</f>
        <v>0</v>
      </c>
      <c r="AB27" s="20">
        <f>VLOOKUP($B27,'[1]IAC - Base'!$A$6:$BH$45,'[1]IAC - Base'!AC$1,0)</f>
        <v>0</v>
      </c>
      <c r="AC27" s="20">
        <f>VLOOKUP($B27,'[1]IAC - Base'!$A$6:$BH$45,'[1]IAC - Base'!AD$1,0)</f>
        <v>0</v>
      </c>
      <c r="AD27" s="20">
        <f>VLOOKUP($B27,'[1]IAC - Base'!$A$6:$BH$45,'[1]IAC - Base'!AE$1,0)</f>
        <v>0</v>
      </c>
      <c r="AE27" s="20">
        <f t="shared" si="0"/>
        <v>1603462051.4799995</v>
      </c>
      <c r="AF27" s="21">
        <f t="shared" si="1"/>
        <v>0.33171314444523248</v>
      </c>
      <c r="AH27" s="20">
        <f>VLOOKUP($B27,'[1]IAC - Base'!$A$6:$BH$45,'[1]IAC - Base'!AI$1,0)</f>
        <v>231952127.19</v>
      </c>
      <c r="AI27" s="20">
        <f>VLOOKUP($B27,'[1]IAC - Base'!$A$6:$BH$45,'[1]IAC - Base'!AJ$1,0)</f>
        <v>170792425.16999999</v>
      </c>
      <c r="AJ27" s="20">
        <f>VLOOKUP($B27,'[1]IAC - Base'!$A$6:$BH$45,'[1]IAC - Base'!AK$1,0)</f>
        <v>175947780.88</v>
      </c>
      <c r="AK27" s="20">
        <f>VLOOKUP($B27,'[1]IAC - Base'!$A$6:$BH$45,'[1]IAC - Base'!AL$1,0)</f>
        <v>211565560.02000001</v>
      </c>
      <c r="AL27" s="20">
        <f>VLOOKUP($B27,'[1]IAC - Base'!$A$6:$BH$45,'[1]IAC - Base'!AM$1,0)</f>
        <v>183948401.78</v>
      </c>
      <c r="AM27" s="20">
        <f>VLOOKUP($B27,'[1]IAC - Base'!$A$6:$BH$45,'[1]IAC - Base'!AN$1,0)</f>
        <v>163561834.38999999</v>
      </c>
      <c r="AN27" s="20">
        <f>VLOOKUP($B27,'[1]IAC - Base'!$A$6:$BH$45,'[1]IAC - Base'!AO$1,0)</f>
        <v>223951506.44999999</v>
      </c>
      <c r="AO27" s="20">
        <f>VLOOKUP($B27,'[1]IAC - Base'!$A$6:$BH$45,'[1]IAC - Base'!AP$1,0)</f>
        <v>215950885.56</v>
      </c>
      <c r="AP27" s="20">
        <f>VLOOKUP($B27,'[1]IAC - Base'!$A$6:$BH$45,'[1]IAC - Base'!AQ$1,0)</f>
        <v>163561834.38999999</v>
      </c>
      <c r="AQ27" s="20">
        <f>VLOOKUP($B27,'[1]IAC - Base'!$A$6:$BH$45,'[1]IAC - Base'!AR$1,0)</f>
        <v>231952127.36000001</v>
      </c>
      <c r="AR27" s="20">
        <f>VLOOKUP($B27,'[1]IAC - Base'!$A$6:$BH$45,'[1]IAC - Base'!AS$1,0)</f>
        <v>219566180.91</v>
      </c>
      <c r="AS27" s="20">
        <f>VLOOKUP($B27,'[1]IAC - Base'!$A$6:$BH$45,'[1]IAC - Base'!AT$1,0)</f>
        <v>207950264.59999999</v>
      </c>
      <c r="AT27" s="20">
        <f>VLOOKUP($B27,'[1]IAC - Base'!$A$6:$BH$45,'[1]IAC - Base'!AU$1,0)</f>
        <v>218250265.05000001</v>
      </c>
      <c r="AU27" s="20">
        <f>VLOOKUP($B27,'[1]IAC - Base'!$A$6:$BH$45,'[1]IAC - Base'!AV$1,0)</f>
        <v>173793279.22</v>
      </c>
      <c r="AV27" s="20">
        <f>VLOOKUP($B27,'[1]IAC - Base'!$A$6:$BH$45,'[1]IAC - Base'!AW$1,0)</f>
        <v>172074873.28</v>
      </c>
      <c r="AW27" s="20">
        <f>VLOOKUP($B27,'[1]IAC - Base'!$A$6:$BH$45,'[1]IAC - Base'!AX$1,0)</f>
        <v>229084265.38</v>
      </c>
      <c r="AX27" s="20">
        <f>VLOOKUP($B27,'[1]IAC - Base'!$A$6:$BH$45,'[1]IAC - Base'!AY$1,0)</f>
        <v>195162569.22999999</v>
      </c>
      <c r="AY27" s="20">
        <f>VLOOKUP($B27,'[1]IAC - Base'!$A$6:$BH$45,'[1]IAC - Base'!AZ$1,0)</f>
        <v>182908873.46000001</v>
      </c>
      <c r="AZ27" s="20">
        <f>VLOOKUP($B27,'[1]IAC - Base'!$A$6:$BH$45,'[1]IAC - Base'!BA$1,0)</f>
        <v>225946163.84999999</v>
      </c>
      <c r="BA27" s="20">
        <f>VLOOKUP($B27,'[1]IAC - Base'!$A$6:$BH$45,'[1]IAC - Base'!BB$1,0)</f>
        <v>218250265.24000001</v>
      </c>
      <c r="BB27" s="20">
        <f>VLOOKUP($B27,'[1]IAC - Base'!$A$6:$BH$45,'[1]IAC - Base'!BC$1,0)</f>
        <v>167517076.16</v>
      </c>
      <c r="BC27" s="20">
        <f>VLOOKUP($B27,'[1]IAC - Base'!$A$6:$BH$45,'[1]IAC - Base'!BD$1,0)</f>
        <v>233642062.5</v>
      </c>
      <c r="BD27" s="20">
        <f>VLOOKUP($B27,'[1]IAC - Base'!$A$6:$BH$45,'[1]IAC - Base'!BE$1,0)</f>
        <v>213692468.12</v>
      </c>
      <c r="BE27" s="20">
        <f>VLOOKUP($B27,'[1]IAC - Base'!$A$6:$BH$45,'[1]IAC - Base'!BF$1,0)</f>
        <v>202858467.84</v>
      </c>
      <c r="BF27" s="20">
        <f t="shared" si="2"/>
        <v>4833881558.0299997</v>
      </c>
      <c r="BG27" s="21">
        <f t="shared" si="3"/>
        <v>1.0000000000062061</v>
      </c>
    </row>
    <row r="28" spans="2:59" ht="15" customHeight="1" x14ac:dyDescent="0.25">
      <c r="B28" s="19" t="s">
        <v>66</v>
      </c>
      <c r="C28" s="19" t="s">
        <v>42</v>
      </c>
      <c r="D28" s="19" t="s">
        <v>58</v>
      </c>
      <c r="E28" s="19" t="s">
        <v>67</v>
      </c>
      <c r="F28" s="20">
        <f>VLOOKUP($B28,'[1]IAC - Base'!$A$6:$BH$45,'[1]IAC - Base'!G$1,0)</f>
        <v>3200466569</v>
      </c>
      <c r="G28" s="20">
        <f>VLOOKUP($B28,'[1]IAC - Base'!$A$6:$BH$45,'[1]IAC - Base'!H$1,0)</f>
        <v>0</v>
      </c>
      <c r="H28" s="20">
        <f>VLOOKUP($B28,'[1]IAC - Base'!$A$6:$BH$45,'[1]IAC - Base'!I$1,0)</f>
        <v>0</v>
      </c>
      <c r="I28" s="20">
        <f>VLOOKUP($B28,'[1]IAC - Base'!$A$6:$BH$45,'[1]IAC - Base'!J$1,0)</f>
        <v>0</v>
      </c>
      <c r="J28" s="20">
        <f>VLOOKUP($B28,'[1]IAC - Base'!$A$6:$BH$45,'[1]IAC - Base'!K$1,0)</f>
        <v>0</v>
      </c>
      <c r="K28" s="20">
        <f>VLOOKUP($B28,'[1]IAC - Base'!$A$6:$BH$45,'[1]IAC - Base'!L$1,0)</f>
        <v>638329754.44000006</v>
      </c>
      <c r="L28" s="20">
        <f>VLOOKUP($B28,'[1]IAC - Base'!$A$6:$BH$45,'[1]IAC - Base'!M$1,0)</f>
        <v>105036472.12</v>
      </c>
      <c r="M28" s="20">
        <f>VLOOKUP($B28,'[1]IAC - Base'!$A$6:$BH$45,'[1]IAC - Base'!N$1,0)</f>
        <v>114717701</v>
      </c>
      <c r="N28" s="20">
        <f>VLOOKUP($B28,'[1]IAC - Base'!$A$6:$BH$45,'[1]IAC - Base'!O$1,0)</f>
        <v>94397563.030000001</v>
      </c>
      <c r="O28" s="20">
        <f>VLOOKUP($B28,'[1]IAC - Base'!$A$6:$BH$45,'[1]IAC - Base'!P$1,0)</f>
        <v>109155338.70999999</v>
      </c>
      <c r="P28" s="20">
        <f>VLOOKUP($B28,'[1]IAC - Base'!$A$6:$BH$45,'[1]IAC - Base'!Q$1,0)</f>
        <v>0</v>
      </c>
      <c r="Q28" s="20">
        <f>VLOOKUP($B28,'[1]IAC - Base'!$A$6:$BH$45,'[1]IAC - Base'!R$1,0)</f>
        <v>0</v>
      </c>
      <c r="R28" s="20">
        <f>VLOOKUP($B28,'[1]IAC - Base'!$A$6:$BH$45,'[1]IAC - Base'!S$1,0)</f>
        <v>0</v>
      </c>
      <c r="S28" s="20">
        <f>VLOOKUP($B28,'[1]IAC - Base'!$A$6:$BH$45,'[1]IAC - Base'!T$1,0)</f>
        <v>0</v>
      </c>
      <c r="T28" s="20">
        <f>VLOOKUP($B28,'[1]IAC - Base'!$A$6:$BH$45,'[1]IAC - Base'!U$1,0)</f>
        <v>0</v>
      </c>
      <c r="U28" s="20">
        <f>VLOOKUP($B28,'[1]IAC - Base'!$A$6:$BH$45,'[1]IAC - Base'!V$1,0)</f>
        <v>0</v>
      </c>
      <c r="V28" s="20">
        <f>VLOOKUP($B28,'[1]IAC - Base'!$A$6:$BH$45,'[1]IAC - Base'!W$1,0)</f>
        <v>0</v>
      </c>
      <c r="W28" s="20">
        <f>VLOOKUP($B28,'[1]IAC - Base'!$A$6:$BH$45,'[1]IAC - Base'!X$1,0)</f>
        <v>0</v>
      </c>
      <c r="X28" s="20">
        <f>VLOOKUP($B28,'[1]IAC - Base'!$A$6:$BH$45,'[1]IAC - Base'!Y$1,0)</f>
        <v>0</v>
      </c>
      <c r="Y28" s="20">
        <f>VLOOKUP($B28,'[1]IAC - Base'!$A$6:$BH$45,'[1]IAC - Base'!Z$1,0)</f>
        <v>0</v>
      </c>
      <c r="Z28" s="20">
        <f>VLOOKUP($B28,'[1]IAC - Base'!$A$6:$BH$45,'[1]IAC - Base'!AA$1,0)</f>
        <v>0</v>
      </c>
      <c r="AA28" s="20">
        <f>VLOOKUP($B28,'[1]IAC - Base'!$A$6:$BH$45,'[1]IAC - Base'!AB$1,0)</f>
        <v>0</v>
      </c>
      <c r="AB28" s="20">
        <f>VLOOKUP($B28,'[1]IAC - Base'!$A$6:$BH$45,'[1]IAC - Base'!AC$1,0)</f>
        <v>0</v>
      </c>
      <c r="AC28" s="20">
        <f>VLOOKUP($B28,'[1]IAC - Base'!$A$6:$BH$45,'[1]IAC - Base'!AD$1,0)</f>
        <v>0</v>
      </c>
      <c r="AD28" s="20">
        <f>VLOOKUP($B28,'[1]IAC - Base'!$A$6:$BH$45,'[1]IAC - Base'!AE$1,0)</f>
        <v>0</v>
      </c>
      <c r="AE28" s="20">
        <f t="shared" si="0"/>
        <v>1061636829.3000001</v>
      </c>
      <c r="AF28" s="21">
        <f t="shared" si="1"/>
        <v>0.33171314444684646</v>
      </c>
      <c r="AH28" s="20">
        <f>VLOOKUP($B28,'[1]IAC - Base'!$A$6:$BH$45,'[1]IAC - Base'!AI$1,0)</f>
        <v>153573276.41999999</v>
      </c>
      <c r="AI28" s="20">
        <f>VLOOKUP($B28,'[1]IAC - Base'!$A$6:$BH$45,'[1]IAC - Base'!AJ$1,0)</f>
        <v>113080024.91</v>
      </c>
      <c r="AJ28" s="20">
        <f>VLOOKUP($B28,'[1]IAC - Base'!$A$6:$BH$45,'[1]IAC - Base'!AK$1,0)</f>
        <v>116493336.43000001</v>
      </c>
      <c r="AK28" s="20">
        <f>VLOOKUP($B28,'[1]IAC - Base'!$A$6:$BH$45,'[1]IAC - Base'!AL$1,0)</f>
        <v>140075526.03</v>
      </c>
      <c r="AL28" s="20">
        <f>VLOOKUP($B28,'[1]IAC - Base'!$A$6:$BH$45,'[1]IAC - Base'!AM$1,0)</f>
        <v>121790470.72</v>
      </c>
      <c r="AM28" s="20">
        <f>VLOOKUP($B28,'[1]IAC - Base'!$A$6:$BH$45,'[1]IAC - Base'!AN$1,0)</f>
        <v>108292720.18000001</v>
      </c>
      <c r="AN28" s="20">
        <f>VLOOKUP($B28,'[1]IAC - Base'!$A$6:$BH$45,'[1]IAC - Base'!AO$1,0)</f>
        <v>148276142.24000001</v>
      </c>
      <c r="AO28" s="20">
        <f>VLOOKUP($B28,'[1]IAC - Base'!$A$6:$BH$45,'[1]IAC - Base'!AP$1,0)</f>
        <v>142979007.97</v>
      </c>
      <c r="AP28" s="20">
        <f>VLOOKUP($B28,'[1]IAC - Base'!$A$6:$BH$45,'[1]IAC - Base'!AQ$1,0)</f>
        <v>108292720.18000001</v>
      </c>
      <c r="AQ28" s="20">
        <f>VLOOKUP($B28,'[1]IAC - Base'!$A$6:$BH$45,'[1]IAC - Base'!AR$1,0)</f>
        <v>153573276.53</v>
      </c>
      <c r="AR28" s="20">
        <f>VLOOKUP($B28,'[1]IAC - Base'!$A$6:$BH$45,'[1]IAC - Base'!AS$1,0)</f>
        <v>145372660.30000001</v>
      </c>
      <c r="AS28" s="20">
        <f>VLOOKUP($B28,'[1]IAC - Base'!$A$6:$BH$45,'[1]IAC - Base'!AT$1,0)</f>
        <v>137681873.63999999</v>
      </c>
      <c r="AT28" s="20">
        <f>VLOOKUP($B28,'[1]IAC - Base'!$A$6:$BH$45,'[1]IAC - Base'!AU$1,0)</f>
        <v>144501405.05000001</v>
      </c>
      <c r="AU28" s="20">
        <f>VLOOKUP($B28,'[1]IAC - Base'!$A$6:$BH$45,'[1]IAC - Base'!AV$1,0)</f>
        <v>115066861.56999999</v>
      </c>
      <c r="AV28" s="20">
        <f>VLOOKUP($B28,'[1]IAC - Base'!$A$6:$BH$45,'[1]IAC - Base'!AW$1,0)</f>
        <v>113929121.48999999</v>
      </c>
      <c r="AW28" s="20">
        <f>VLOOKUP($B28,'[1]IAC - Base'!$A$6:$BH$45,'[1]IAC - Base'!AX$1,0)</f>
        <v>151674492.65000001</v>
      </c>
      <c r="AX28" s="20">
        <f>VLOOKUP($B28,'[1]IAC - Base'!$A$6:$BH$45,'[1]IAC - Base'!AY$1,0)</f>
        <v>129215263.31</v>
      </c>
      <c r="AY28" s="20">
        <f>VLOOKUP($B28,'[1]IAC - Base'!$A$6:$BH$45,'[1]IAC - Base'!AZ$1,0)</f>
        <v>121102208.98999999</v>
      </c>
      <c r="AZ28" s="20">
        <f>VLOOKUP($B28,'[1]IAC - Base'!$A$6:$BH$45,'[1]IAC - Base'!BA$1,0)</f>
        <v>149596785.75</v>
      </c>
      <c r="BA28" s="20">
        <f>VLOOKUP($B28,'[1]IAC - Base'!$A$6:$BH$45,'[1]IAC - Base'!BB$1,0)</f>
        <v>144501405.16999999</v>
      </c>
      <c r="BB28" s="20">
        <f>VLOOKUP($B28,'[1]IAC - Base'!$A$6:$BH$45,'[1]IAC - Base'!BC$1,0)</f>
        <v>110911447.78</v>
      </c>
      <c r="BC28" s="20">
        <f>VLOOKUP($B28,'[1]IAC - Base'!$A$6:$BH$45,'[1]IAC - Base'!BD$1,0)</f>
        <v>154692166.36000001</v>
      </c>
      <c r="BD28" s="20">
        <f>VLOOKUP($B28,'[1]IAC - Base'!$A$6:$BH$45,'[1]IAC - Base'!BE$1,0)</f>
        <v>141483731.46000001</v>
      </c>
      <c r="BE28" s="20">
        <f>VLOOKUP($B28,'[1]IAC - Base'!$A$6:$BH$45,'[1]IAC - Base'!BF$1,0)</f>
        <v>134310643.88999999</v>
      </c>
      <c r="BF28" s="20">
        <f t="shared" si="2"/>
        <v>3200466569.0200005</v>
      </c>
      <c r="BG28" s="21">
        <f t="shared" si="3"/>
        <v>1.0000000000062492</v>
      </c>
    </row>
    <row r="29" spans="2:59" ht="15" customHeight="1" x14ac:dyDescent="0.25">
      <c r="B29" s="19" t="s">
        <v>68</v>
      </c>
      <c r="C29" s="19" t="s">
        <v>42</v>
      </c>
      <c r="D29" s="19" t="s">
        <v>58</v>
      </c>
      <c r="E29" s="19" t="s">
        <v>69</v>
      </c>
      <c r="F29" s="20">
        <f>VLOOKUP($B29,'[1]IAC - Base'!$A$6:$BH$45,'[1]IAC - Base'!G$1,0)</f>
        <v>691427135</v>
      </c>
      <c r="G29" s="20">
        <f>VLOOKUP($B29,'[1]IAC - Base'!$A$6:$BH$45,'[1]IAC - Base'!H$1,0)</f>
        <v>0</v>
      </c>
      <c r="H29" s="20">
        <f>VLOOKUP($B29,'[1]IAC - Base'!$A$6:$BH$45,'[1]IAC - Base'!I$1,0)</f>
        <v>0</v>
      </c>
      <c r="I29" s="20">
        <f>VLOOKUP($B29,'[1]IAC - Base'!$A$6:$BH$45,'[1]IAC - Base'!J$1,0)</f>
        <v>0</v>
      </c>
      <c r="J29" s="20">
        <f>VLOOKUP($B29,'[1]IAC - Base'!$A$6:$BH$45,'[1]IAC - Base'!K$1,0)</f>
        <v>0</v>
      </c>
      <c r="K29" s="20">
        <f>VLOOKUP($B29,'[1]IAC - Base'!$A$6:$BH$45,'[1]IAC - Base'!L$1,0)</f>
        <v>137904428.55000001</v>
      </c>
      <c r="L29" s="20">
        <f>VLOOKUP($B29,'[1]IAC - Base'!$A$6:$BH$45,'[1]IAC - Base'!M$1,0)</f>
        <v>22692024.870000001</v>
      </c>
      <c r="M29" s="20">
        <f>VLOOKUP($B29,'[1]IAC - Base'!$A$6:$BH$45,'[1]IAC - Base'!N$1,0)</f>
        <v>24783552.530000001</v>
      </c>
      <c r="N29" s="20">
        <f>VLOOKUP($B29,'[1]IAC - Base'!$A$6:$BH$45,'[1]IAC - Base'!O$1,0)</f>
        <v>20393600.48</v>
      </c>
      <c r="O29" s="20">
        <f>VLOOKUP($B29,'[1]IAC - Base'!$A$6:$BH$45,'[1]IAC - Base'!P$1,0)</f>
        <v>23581862.670000002</v>
      </c>
      <c r="P29" s="20">
        <f>VLOOKUP($B29,'[1]IAC - Base'!$A$6:$BH$45,'[1]IAC - Base'!Q$1,0)</f>
        <v>0</v>
      </c>
      <c r="Q29" s="20">
        <f>VLOOKUP($B29,'[1]IAC - Base'!$A$6:$BH$45,'[1]IAC - Base'!R$1,0)</f>
        <v>0</v>
      </c>
      <c r="R29" s="20">
        <f>VLOOKUP($B29,'[1]IAC - Base'!$A$6:$BH$45,'[1]IAC - Base'!S$1,0)</f>
        <v>0</v>
      </c>
      <c r="S29" s="20">
        <f>VLOOKUP($B29,'[1]IAC - Base'!$A$6:$BH$45,'[1]IAC - Base'!T$1,0)</f>
        <v>0</v>
      </c>
      <c r="T29" s="20">
        <f>VLOOKUP($B29,'[1]IAC - Base'!$A$6:$BH$45,'[1]IAC - Base'!U$1,0)</f>
        <v>0</v>
      </c>
      <c r="U29" s="20">
        <f>VLOOKUP($B29,'[1]IAC - Base'!$A$6:$BH$45,'[1]IAC - Base'!V$1,0)</f>
        <v>0</v>
      </c>
      <c r="V29" s="20">
        <f>VLOOKUP($B29,'[1]IAC - Base'!$A$6:$BH$45,'[1]IAC - Base'!W$1,0)</f>
        <v>0</v>
      </c>
      <c r="W29" s="20">
        <f>VLOOKUP($B29,'[1]IAC - Base'!$A$6:$BH$45,'[1]IAC - Base'!X$1,0)</f>
        <v>0</v>
      </c>
      <c r="X29" s="20">
        <f>VLOOKUP($B29,'[1]IAC - Base'!$A$6:$BH$45,'[1]IAC - Base'!Y$1,0)</f>
        <v>0</v>
      </c>
      <c r="Y29" s="20">
        <f>VLOOKUP($B29,'[1]IAC - Base'!$A$6:$BH$45,'[1]IAC - Base'!Z$1,0)</f>
        <v>0</v>
      </c>
      <c r="Z29" s="20">
        <f>VLOOKUP($B29,'[1]IAC - Base'!$A$6:$BH$45,'[1]IAC - Base'!AA$1,0)</f>
        <v>0</v>
      </c>
      <c r="AA29" s="20">
        <f>VLOOKUP($B29,'[1]IAC - Base'!$A$6:$BH$45,'[1]IAC - Base'!AB$1,0)</f>
        <v>0</v>
      </c>
      <c r="AB29" s="20">
        <f>VLOOKUP($B29,'[1]IAC - Base'!$A$6:$BH$45,'[1]IAC - Base'!AC$1,0)</f>
        <v>0</v>
      </c>
      <c r="AC29" s="20">
        <f>VLOOKUP($B29,'[1]IAC - Base'!$A$6:$BH$45,'[1]IAC - Base'!AD$1,0)</f>
        <v>0</v>
      </c>
      <c r="AD29" s="20">
        <f>VLOOKUP($B29,'[1]IAC - Base'!$A$6:$BH$45,'[1]IAC - Base'!AE$1,0)</f>
        <v>0</v>
      </c>
      <c r="AE29" s="20">
        <f t="shared" si="0"/>
        <v>229355469.10000002</v>
      </c>
      <c r="AF29" s="21">
        <f t="shared" si="1"/>
        <v>0.33171314443712135</v>
      </c>
      <c r="AH29" s="20">
        <f>VLOOKUP($B29,'[1]IAC - Base'!$A$6:$BH$45,'[1]IAC - Base'!AI$1,0)</f>
        <v>33177890.859999999</v>
      </c>
      <c r="AI29" s="20">
        <f>VLOOKUP($B29,'[1]IAC - Base'!$A$6:$BH$45,'[1]IAC - Base'!AJ$1,0)</f>
        <v>24429749.84</v>
      </c>
      <c r="AJ29" s="20">
        <f>VLOOKUP($B29,'[1]IAC - Base'!$A$6:$BH$45,'[1]IAC - Base'!AK$1,0)</f>
        <v>25167159.890000001</v>
      </c>
      <c r="AK29" s="20">
        <f>VLOOKUP($B29,'[1]IAC - Base'!$A$6:$BH$45,'[1]IAC - Base'!AL$1,0)</f>
        <v>30261843.879999999</v>
      </c>
      <c r="AL29" s="20">
        <f>VLOOKUP($B29,'[1]IAC - Base'!$A$6:$BH$45,'[1]IAC - Base'!AM$1,0)</f>
        <v>26311550.030000001</v>
      </c>
      <c r="AM29" s="20">
        <f>VLOOKUP($B29,'[1]IAC - Base'!$A$6:$BH$45,'[1]IAC - Base'!AN$1,0)</f>
        <v>23395503.010000002</v>
      </c>
      <c r="AN29" s="20">
        <f>VLOOKUP($B29,'[1]IAC - Base'!$A$6:$BH$45,'[1]IAC - Base'!AO$1,0)</f>
        <v>32033500.739999998</v>
      </c>
      <c r="AO29" s="20">
        <f>VLOOKUP($B29,'[1]IAC - Base'!$A$6:$BH$45,'[1]IAC - Base'!AP$1,0)</f>
        <v>30889110.609999999</v>
      </c>
      <c r="AP29" s="20">
        <f>VLOOKUP($B29,'[1]IAC - Base'!$A$6:$BH$45,'[1]IAC - Base'!AQ$1,0)</f>
        <v>23395503.010000002</v>
      </c>
      <c r="AQ29" s="20">
        <f>VLOOKUP($B29,'[1]IAC - Base'!$A$6:$BH$45,'[1]IAC - Base'!AR$1,0)</f>
        <v>33177890.879999999</v>
      </c>
      <c r="AR29" s="20">
        <f>VLOOKUP($B29,'[1]IAC - Base'!$A$6:$BH$45,'[1]IAC - Base'!AS$1,0)</f>
        <v>31406234.010000002</v>
      </c>
      <c r="AS29" s="20">
        <f>VLOOKUP($B29,'[1]IAC - Base'!$A$6:$BH$45,'[1]IAC - Base'!AT$1,0)</f>
        <v>29744720.460000001</v>
      </c>
      <c r="AT29" s="20">
        <f>VLOOKUP($B29,'[1]IAC - Base'!$A$6:$BH$45,'[1]IAC - Base'!AU$1,0)</f>
        <v>31218008.48</v>
      </c>
      <c r="AU29" s="20">
        <f>VLOOKUP($B29,'[1]IAC - Base'!$A$6:$BH$45,'[1]IAC - Base'!AV$1,0)</f>
        <v>24858985</v>
      </c>
      <c r="AV29" s="20">
        <f>VLOOKUP($B29,'[1]IAC - Base'!$A$6:$BH$45,'[1]IAC - Base'!AW$1,0)</f>
        <v>24613188.219999999</v>
      </c>
      <c r="AW29" s="20">
        <f>VLOOKUP($B29,'[1]IAC - Base'!$A$6:$BH$45,'[1]IAC - Base'!AX$1,0)</f>
        <v>32767678.600000001</v>
      </c>
      <c r="AX29" s="20">
        <f>VLOOKUP($B29,'[1]IAC - Base'!$A$6:$BH$45,'[1]IAC - Base'!AY$1,0)</f>
        <v>27915598.359999999</v>
      </c>
      <c r="AY29" s="20">
        <f>VLOOKUP($B29,'[1]IAC - Base'!$A$6:$BH$45,'[1]IAC - Base'!AZ$1,0)</f>
        <v>26162858.32</v>
      </c>
      <c r="AZ29" s="20">
        <f>VLOOKUP($B29,'[1]IAC - Base'!$A$6:$BH$45,'[1]IAC - Base'!BA$1,0)</f>
        <v>32318811.879999999</v>
      </c>
      <c r="BA29" s="20">
        <f>VLOOKUP($B29,'[1]IAC - Base'!$A$6:$BH$45,'[1]IAC - Base'!BB$1,0)</f>
        <v>31218008.510000002</v>
      </c>
      <c r="BB29" s="20">
        <f>VLOOKUP($B29,'[1]IAC - Base'!$A$6:$BH$45,'[1]IAC - Base'!BC$1,0)</f>
        <v>23961251.559999999</v>
      </c>
      <c r="BC29" s="20">
        <f>VLOOKUP($B29,'[1]IAC - Base'!$A$6:$BH$45,'[1]IAC - Base'!BD$1,0)</f>
        <v>33419615.260000002</v>
      </c>
      <c r="BD29" s="20">
        <f>VLOOKUP($B29,'[1]IAC - Base'!$A$6:$BH$45,'[1]IAC - Base'!BE$1,0)</f>
        <v>30566071.850000001</v>
      </c>
      <c r="BE29" s="20">
        <f>VLOOKUP($B29,'[1]IAC - Base'!$A$6:$BH$45,'[1]IAC - Base'!BF$1,0)</f>
        <v>29016401.739999998</v>
      </c>
      <c r="BF29" s="20">
        <f t="shared" si="2"/>
        <v>691427135</v>
      </c>
      <c r="BG29" s="21">
        <f t="shared" si="3"/>
        <v>1</v>
      </c>
    </row>
    <row r="30" spans="2:59" ht="15" customHeight="1" x14ac:dyDescent="0.25">
      <c r="B30" s="19" t="s">
        <v>70</v>
      </c>
      <c r="C30" s="19" t="s">
        <v>42</v>
      </c>
      <c r="D30" s="19" t="s">
        <v>58</v>
      </c>
      <c r="E30" s="19" t="s">
        <v>71</v>
      </c>
      <c r="F30" s="20">
        <f>VLOOKUP($B30,'[1]IAC - Base'!$A$6:$BH$45,'[1]IAC - Base'!G$1,0)</f>
        <v>1674510757</v>
      </c>
      <c r="G30" s="20">
        <f>VLOOKUP($B30,'[1]IAC - Base'!$A$6:$BH$45,'[1]IAC - Base'!H$1,0)</f>
        <v>0</v>
      </c>
      <c r="H30" s="20">
        <f>VLOOKUP($B30,'[1]IAC - Base'!$A$6:$BH$45,'[1]IAC - Base'!I$1,0)</f>
        <v>0</v>
      </c>
      <c r="I30" s="20">
        <f>VLOOKUP($B30,'[1]IAC - Base'!$A$6:$BH$45,'[1]IAC - Base'!J$1,0)</f>
        <v>0</v>
      </c>
      <c r="J30" s="20">
        <f>VLOOKUP($B30,'[1]IAC - Base'!$A$6:$BH$45,'[1]IAC - Base'!K$1,0)</f>
        <v>0</v>
      </c>
      <c r="K30" s="20">
        <f>VLOOKUP($B30,'[1]IAC - Base'!$A$6:$BH$45,'[1]IAC - Base'!L$1,0)</f>
        <v>333979442.45999998</v>
      </c>
      <c r="L30" s="20">
        <f>VLOOKUP($B30,'[1]IAC - Base'!$A$6:$BH$45,'[1]IAC - Base'!M$1,0)</f>
        <v>54955956.780000001</v>
      </c>
      <c r="M30" s="20">
        <f>VLOOKUP($B30,'[1]IAC - Base'!$A$6:$BH$45,'[1]IAC - Base'!N$1,0)</f>
        <v>60021256.340000004</v>
      </c>
      <c r="N30" s="20">
        <f>VLOOKUP($B30,'[1]IAC - Base'!$A$6:$BH$45,'[1]IAC - Base'!O$1,0)</f>
        <v>49389590.960000001</v>
      </c>
      <c r="O30" s="20">
        <f>VLOOKUP($B30,'[1]IAC - Base'!$A$6:$BH$45,'[1]IAC - Base'!P$1,0)</f>
        <v>57110982.07</v>
      </c>
      <c r="P30" s="20">
        <f>VLOOKUP($B30,'[1]IAC - Base'!$A$6:$BH$45,'[1]IAC - Base'!Q$1,0)</f>
        <v>0</v>
      </c>
      <c r="Q30" s="20">
        <f>VLOOKUP($B30,'[1]IAC - Base'!$A$6:$BH$45,'[1]IAC - Base'!R$1,0)</f>
        <v>0</v>
      </c>
      <c r="R30" s="20">
        <f>VLOOKUP($B30,'[1]IAC - Base'!$A$6:$BH$45,'[1]IAC - Base'!S$1,0)</f>
        <v>0</v>
      </c>
      <c r="S30" s="20">
        <f>VLOOKUP($B30,'[1]IAC - Base'!$A$6:$BH$45,'[1]IAC - Base'!T$1,0)</f>
        <v>0</v>
      </c>
      <c r="T30" s="20">
        <f>VLOOKUP($B30,'[1]IAC - Base'!$A$6:$BH$45,'[1]IAC - Base'!U$1,0)</f>
        <v>0</v>
      </c>
      <c r="U30" s="20">
        <f>VLOOKUP($B30,'[1]IAC - Base'!$A$6:$BH$45,'[1]IAC - Base'!V$1,0)</f>
        <v>0</v>
      </c>
      <c r="V30" s="20">
        <f>VLOOKUP($B30,'[1]IAC - Base'!$A$6:$BH$45,'[1]IAC - Base'!W$1,0)</f>
        <v>0</v>
      </c>
      <c r="W30" s="20">
        <f>VLOOKUP($B30,'[1]IAC - Base'!$A$6:$BH$45,'[1]IAC - Base'!X$1,0)</f>
        <v>0</v>
      </c>
      <c r="X30" s="20">
        <f>VLOOKUP($B30,'[1]IAC - Base'!$A$6:$BH$45,'[1]IAC - Base'!Y$1,0)</f>
        <v>0</v>
      </c>
      <c r="Y30" s="20">
        <f>VLOOKUP($B30,'[1]IAC - Base'!$A$6:$BH$45,'[1]IAC - Base'!Z$1,0)</f>
        <v>0</v>
      </c>
      <c r="Z30" s="20">
        <f>VLOOKUP($B30,'[1]IAC - Base'!$A$6:$BH$45,'[1]IAC - Base'!AA$1,0)</f>
        <v>0</v>
      </c>
      <c r="AA30" s="20">
        <f>VLOOKUP($B30,'[1]IAC - Base'!$A$6:$BH$45,'[1]IAC - Base'!AB$1,0)</f>
        <v>0</v>
      </c>
      <c r="AB30" s="20">
        <f>VLOOKUP($B30,'[1]IAC - Base'!$A$6:$BH$45,'[1]IAC - Base'!AC$1,0)</f>
        <v>0</v>
      </c>
      <c r="AC30" s="20">
        <f>VLOOKUP($B30,'[1]IAC - Base'!$A$6:$BH$45,'[1]IAC - Base'!AD$1,0)</f>
        <v>0</v>
      </c>
      <c r="AD30" s="20">
        <f>VLOOKUP($B30,'[1]IAC - Base'!$A$6:$BH$45,'[1]IAC - Base'!AE$1,0)</f>
        <v>0</v>
      </c>
      <c r="AE30" s="20">
        <f t="shared" si="0"/>
        <v>555457228.61000001</v>
      </c>
      <c r="AF30" s="21">
        <f t="shared" si="1"/>
        <v>0.33171314444413569</v>
      </c>
      <c r="AH30" s="20">
        <f>VLOOKUP($B30,'[1]IAC - Base'!$A$6:$BH$45,'[1]IAC - Base'!AI$1,0)</f>
        <v>80350816.920000002</v>
      </c>
      <c r="AI30" s="20">
        <f>VLOOKUP($B30,'[1]IAC - Base'!$A$6:$BH$45,'[1]IAC - Base'!AJ$1,0)</f>
        <v>59164410.57</v>
      </c>
      <c r="AJ30" s="20">
        <f>VLOOKUP($B30,'[1]IAC - Base'!$A$6:$BH$45,'[1]IAC - Base'!AK$1,0)</f>
        <v>60950283.579999998</v>
      </c>
      <c r="AK30" s="20">
        <f>VLOOKUP($B30,'[1]IAC - Base'!$A$6:$BH$45,'[1]IAC - Base'!AL$1,0)</f>
        <v>73288681.530000001</v>
      </c>
      <c r="AL30" s="20">
        <f>VLOOKUP($B30,'[1]IAC - Base'!$A$6:$BH$45,'[1]IAC - Base'!AM$1,0)</f>
        <v>63721788.340000004</v>
      </c>
      <c r="AM30" s="20">
        <f>VLOOKUP($B30,'[1]IAC - Base'!$A$6:$BH$45,'[1]IAC - Base'!AN$1,0)</f>
        <v>56659652.880000003</v>
      </c>
      <c r="AN30" s="20">
        <f>VLOOKUP($B30,'[1]IAC - Base'!$A$6:$BH$45,'[1]IAC - Base'!AO$1,0)</f>
        <v>77579312.209999993</v>
      </c>
      <c r="AO30" s="20">
        <f>VLOOKUP($B30,'[1]IAC - Base'!$A$6:$BH$45,'[1]IAC - Base'!AP$1,0)</f>
        <v>74807807.459999993</v>
      </c>
      <c r="AP30" s="20">
        <f>VLOOKUP($B30,'[1]IAC - Base'!$A$6:$BH$45,'[1]IAC - Base'!AQ$1,0)</f>
        <v>56659652.880000003</v>
      </c>
      <c r="AQ30" s="20">
        <f>VLOOKUP($B30,'[1]IAC - Base'!$A$6:$BH$45,'[1]IAC - Base'!AR$1,0)</f>
        <v>80350816.980000004</v>
      </c>
      <c r="AR30" s="20">
        <f>VLOOKUP($B30,'[1]IAC - Base'!$A$6:$BH$45,'[1]IAC - Base'!AS$1,0)</f>
        <v>76060186.290000007</v>
      </c>
      <c r="AS30" s="20">
        <f>VLOOKUP($B30,'[1]IAC - Base'!$A$6:$BH$45,'[1]IAC - Base'!AT$1,0)</f>
        <v>72036302.670000002</v>
      </c>
      <c r="AT30" s="20">
        <f>VLOOKUP($B30,'[1]IAC - Base'!$A$6:$BH$45,'[1]IAC - Base'!AU$1,0)</f>
        <v>75604338.280000001</v>
      </c>
      <c r="AU30" s="20">
        <f>VLOOKUP($B30,'[1]IAC - Base'!$A$6:$BH$45,'[1]IAC - Base'!AV$1,0)</f>
        <v>60203940.060000002</v>
      </c>
      <c r="AV30" s="20">
        <f>VLOOKUP($B30,'[1]IAC - Base'!$A$6:$BH$45,'[1]IAC - Base'!AW$1,0)</f>
        <v>59608664.969999999</v>
      </c>
      <c r="AW30" s="20">
        <f>VLOOKUP($B30,'[1]IAC - Base'!$A$6:$BH$45,'[1]IAC - Base'!AX$1,0)</f>
        <v>79357357.439999998</v>
      </c>
      <c r="AX30" s="20">
        <f>VLOOKUP($B30,'[1]IAC - Base'!$A$6:$BH$45,'[1]IAC - Base'!AY$1,0)</f>
        <v>67606501.650000006</v>
      </c>
      <c r="AY30" s="20">
        <f>VLOOKUP($B30,'[1]IAC - Base'!$A$6:$BH$45,'[1]IAC - Base'!AZ$1,0)</f>
        <v>63361684.079999998</v>
      </c>
      <c r="AZ30" s="20">
        <f>VLOOKUP($B30,'[1]IAC - Base'!$A$6:$BH$45,'[1]IAC - Base'!BA$1,0)</f>
        <v>78270283.900000006</v>
      </c>
      <c r="BA30" s="20">
        <f>VLOOKUP($B30,'[1]IAC - Base'!$A$6:$BH$45,'[1]IAC - Base'!BB$1,0)</f>
        <v>75604338.349999994</v>
      </c>
      <c r="BB30" s="20">
        <f>VLOOKUP($B30,'[1]IAC - Base'!$A$6:$BH$45,'[1]IAC - Base'!BC$1,0)</f>
        <v>58029792.960000001</v>
      </c>
      <c r="BC30" s="20">
        <f>VLOOKUP($B30,'[1]IAC - Base'!$A$6:$BH$45,'[1]IAC - Base'!BD$1,0)</f>
        <v>80936229.459999993</v>
      </c>
      <c r="BD30" s="20">
        <f>VLOOKUP($B30,'[1]IAC - Base'!$A$6:$BH$45,'[1]IAC - Base'!BE$1,0)</f>
        <v>74025466.340000004</v>
      </c>
      <c r="BE30" s="20">
        <f>VLOOKUP($B30,'[1]IAC - Base'!$A$6:$BH$45,'[1]IAC - Base'!BF$1,0)</f>
        <v>70272447.200000003</v>
      </c>
      <c r="BF30" s="20">
        <f t="shared" si="2"/>
        <v>1674510757</v>
      </c>
      <c r="BG30" s="21">
        <f t="shared" si="3"/>
        <v>1</v>
      </c>
    </row>
    <row r="31" spans="2:59" ht="15" customHeight="1" x14ac:dyDescent="0.25">
      <c r="B31" s="19" t="s">
        <v>72</v>
      </c>
      <c r="C31" s="19" t="s">
        <v>42</v>
      </c>
      <c r="D31" s="19" t="s">
        <v>58</v>
      </c>
      <c r="E31" s="19" t="s">
        <v>73</v>
      </c>
      <c r="F31" s="20">
        <f>VLOOKUP($B31,'[1]IAC - Base'!$A$6:$BH$45,'[1]IAC - Base'!G$1,0)</f>
        <v>115656043</v>
      </c>
      <c r="G31" s="20">
        <f>VLOOKUP($B31,'[1]IAC - Base'!$A$6:$BH$45,'[1]IAC - Base'!H$1,0)</f>
        <v>0</v>
      </c>
      <c r="H31" s="20">
        <f>VLOOKUP($B31,'[1]IAC - Base'!$A$6:$BH$45,'[1]IAC - Base'!I$1,0)</f>
        <v>0</v>
      </c>
      <c r="I31" s="20">
        <f>VLOOKUP($B31,'[1]IAC - Base'!$A$6:$BH$45,'[1]IAC - Base'!J$1,0)</f>
        <v>0</v>
      </c>
      <c r="J31" s="20">
        <f>VLOOKUP($B31,'[1]IAC - Base'!$A$6:$BH$45,'[1]IAC - Base'!K$1,0)</f>
        <v>0</v>
      </c>
      <c r="K31" s="20">
        <f>VLOOKUP($B31,'[1]IAC - Base'!$A$6:$BH$45,'[1]IAC - Base'!L$1,0)</f>
        <v>23067478.420000002</v>
      </c>
      <c r="L31" s="20">
        <f>VLOOKUP($B31,'[1]IAC - Base'!$A$6:$BH$45,'[1]IAC - Base'!M$1,0)</f>
        <v>3795728.68</v>
      </c>
      <c r="M31" s="20">
        <f>VLOOKUP($B31,'[1]IAC - Base'!$A$6:$BH$45,'[1]IAC - Base'!N$1,0)</f>
        <v>4145581.61</v>
      </c>
      <c r="N31" s="20">
        <f>VLOOKUP($B31,'[1]IAC - Base'!$A$6:$BH$45,'[1]IAC - Base'!O$1,0)</f>
        <v>3411267.82</v>
      </c>
      <c r="O31" s="20">
        <f>VLOOKUP($B31,'[1]IAC - Base'!$A$6:$BH$45,'[1]IAC - Base'!P$1,0)</f>
        <v>3944573.17</v>
      </c>
      <c r="P31" s="20">
        <f>VLOOKUP($B31,'[1]IAC - Base'!$A$6:$BH$45,'[1]IAC - Base'!Q$1,0)</f>
        <v>0</v>
      </c>
      <c r="Q31" s="20">
        <f>VLOOKUP($B31,'[1]IAC - Base'!$A$6:$BH$45,'[1]IAC - Base'!R$1,0)</f>
        <v>0</v>
      </c>
      <c r="R31" s="20">
        <f>VLOOKUP($B31,'[1]IAC - Base'!$A$6:$BH$45,'[1]IAC - Base'!S$1,0)</f>
        <v>0</v>
      </c>
      <c r="S31" s="20">
        <f>VLOOKUP($B31,'[1]IAC - Base'!$A$6:$BH$45,'[1]IAC - Base'!T$1,0)</f>
        <v>0</v>
      </c>
      <c r="T31" s="20">
        <f>VLOOKUP($B31,'[1]IAC - Base'!$A$6:$BH$45,'[1]IAC - Base'!U$1,0)</f>
        <v>0</v>
      </c>
      <c r="U31" s="20">
        <f>VLOOKUP($B31,'[1]IAC - Base'!$A$6:$BH$45,'[1]IAC - Base'!V$1,0)</f>
        <v>0</v>
      </c>
      <c r="V31" s="20">
        <f>VLOOKUP($B31,'[1]IAC - Base'!$A$6:$BH$45,'[1]IAC - Base'!W$1,0)</f>
        <v>0</v>
      </c>
      <c r="W31" s="20">
        <f>VLOOKUP($B31,'[1]IAC - Base'!$A$6:$BH$45,'[1]IAC - Base'!X$1,0)</f>
        <v>0</v>
      </c>
      <c r="X31" s="20">
        <f>VLOOKUP($B31,'[1]IAC - Base'!$A$6:$BH$45,'[1]IAC - Base'!Y$1,0)</f>
        <v>0</v>
      </c>
      <c r="Y31" s="20">
        <f>VLOOKUP($B31,'[1]IAC - Base'!$A$6:$BH$45,'[1]IAC - Base'!Z$1,0)</f>
        <v>0</v>
      </c>
      <c r="Z31" s="20">
        <f>VLOOKUP($B31,'[1]IAC - Base'!$A$6:$BH$45,'[1]IAC - Base'!AA$1,0)</f>
        <v>0</v>
      </c>
      <c r="AA31" s="20">
        <f>VLOOKUP($B31,'[1]IAC - Base'!$A$6:$BH$45,'[1]IAC - Base'!AB$1,0)</f>
        <v>0</v>
      </c>
      <c r="AB31" s="20">
        <f>VLOOKUP($B31,'[1]IAC - Base'!$A$6:$BH$45,'[1]IAC - Base'!AC$1,0)</f>
        <v>0</v>
      </c>
      <c r="AC31" s="20">
        <f>VLOOKUP($B31,'[1]IAC - Base'!$A$6:$BH$45,'[1]IAC - Base'!AD$1,0)</f>
        <v>0</v>
      </c>
      <c r="AD31" s="20">
        <f>VLOOKUP($B31,'[1]IAC - Base'!$A$6:$BH$45,'[1]IAC - Base'!AE$1,0)</f>
        <v>0</v>
      </c>
      <c r="AE31" s="20">
        <f t="shared" si="0"/>
        <v>38364629.700000003</v>
      </c>
      <c r="AF31" s="21">
        <f t="shared" si="1"/>
        <v>0.33171314446578465</v>
      </c>
      <c r="AH31" s="20">
        <f>VLOOKUP($B31,'[1]IAC - Base'!$A$6:$BH$45,'[1]IAC - Base'!AI$1,0)</f>
        <v>5549715.04</v>
      </c>
      <c r="AI31" s="20">
        <f>VLOOKUP($B31,'[1]IAC - Base'!$A$6:$BH$45,'[1]IAC - Base'!AJ$1,0)</f>
        <v>4086400.51</v>
      </c>
      <c r="AJ31" s="20">
        <f>VLOOKUP($B31,'[1]IAC - Base'!$A$6:$BH$45,'[1]IAC - Base'!AK$1,0)</f>
        <v>4209748.18</v>
      </c>
      <c r="AK31" s="20">
        <f>VLOOKUP($B31,'[1]IAC - Base'!$A$6:$BH$45,'[1]IAC - Base'!AL$1,0)</f>
        <v>5061943.54</v>
      </c>
      <c r="AL31" s="20">
        <f>VLOOKUP($B31,'[1]IAC - Base'!$A$6:$BH$45,'[1]IAC - Base'!AM$1,0)</f>
        <v>4401172.0199999996</v>
      </c>
      <c r="AM31" s="20">
        <f>VLOOKUP($B31,'[1]IAC - Base'!$A$6:$BH$45,'[1]IAC - Base'!AN$1,0)</f>
        <v>3913400.51</v>
      </c>
      <c r="AN31" s="20">
        <f>VLOOKUP($B31,'[1]IAC - Base'!$A$6:$BH$45,'[1]IAC - Base'!AO$1,0)</f>
        <v>5358291.21</v>
      </c>
      <c r="AO31" s="20">
        <f>VLOOKUP($B31,'[1]IAC - Base'!$A$6:$BH$45,'[1]IAC - Base'!AP$1,0)</f>
        <v>5166867.37</v>
      </c>
      <c r="AP31" s="20">
        <f>VLOOKUP($B31,'[1]IAC - Base'!$A$6:$BH$45,'[1]IAC - Base'!AQ$1,0)</f>
        <v>3913400.51</v>
      </c>
      <c r="AQ31" s="20">
        <f>VLOOKUP($B31,'[1]IAC - Base'!$A$6:$BH$45,'[1]IAC - Base'!AR$1,0)</f>
        <v>5549715.0499999998</v>
      </c>
      <c r="AR31" s="20">
        <f>VLOOKUP($B31,'[1]IAC - Base'!$A$6:$BH$45,'[1]IAC - Base'!AS$1,0)</f>
        <v>5253367.37</v>
      </c>
      <c r="AS31" s="20">
        <f>VLOOKUP($B31,'[1]IAC - Base'!$A$6:$BH$45,'[1]IAC - Base'!AT$1,0)</f>
        <v>4975443.53</v>
      </c>
      <c r="AT31" s="20">
        <f>VLOOKUP($B31,'[1]IAC - Base'!$A$6:$BH$45,'[1]IAC - Base'!AU$1,0)</f>
        <v>5221882.6100000003</v>
      </c>
      <c r="AU31" s="20">
        <f>VLOOKUP($B31,'[1]IAC - Base'!$A$6:$BH$45,'[1]IAC - Base'!AV$1,0)</f>
        <v>4158199.31</v>
      </c>
      <c r="AV31" s="20">
        <f>VLOOKUP($B31,'[1]IAC - Base'!$A$6:$BH$45,'[1]IAC - Base'!AW$1,0)</f>
        <v>4117084.52</v>
      </c>
      <c r="AW31" s="20">
        <f>VLOOKUP($B31,'[1]IAC - Base'!$A$6:$BH$45,'[1]IAC - Base'!AX$1,0)</f>
        <v>5481098.2300000004</v>
      </c>
      <c r="AX31" s="20">
        <f>VLOOKUP($B31,'[1]IAC - Base'!$A$6:$BH$45,'[1]IAC - Base'!AY$1,0)</f>
        <v>4669483.57</v>
      </c>
      <c r="AY31" s="20">
        <f>VLOOKUP($B31,'[1]IAC - Base'!$A$6:$BH$45,'[1]IAC - Base'!AZ$1,0)</f>
        <v>4376300.1399999997</v>
      </c>
      <c r="AZ31" s="20">
        <f>VLOOKUP($B31,'[1]IAC - Base'!$A$6:$BH$45,'[1]IAC - Base'!BA$1,0)</f>
        <v>5406015.6299999999</v>
      </c>
      <c r="BA31" s="20">
        <f>VLOOKUP($B31,'[1]IAC - Base'!$A$6:$BH$45,'[1]IAC - Base'!BB$1,0)</f>
        <v>5221882.6100000003</v>
      </c>
      <c r="BB31" s="20">
        <f>VLOOKUP($B31,'[1]IAC - Base'!$A$6:$BH$45,'[1]IAC - Base'!BC$1,0)</f>
        <v>4008034.11</v>
      </c>
      <c r="BC31" s="20">
        <f>VLOOKUP($B31,'[1]IAC - Base'!$A$6:$BH$45,'[1]IAC - Base'!BD$1,0)</f>
        <v>5590148.6399999997</v>
      </c>
      <c r="BD31" s="20">
        <f>VLOOKUP($B31,'[1]IAC - Base'!$A$6:$BH$45,'[1]IAC - Base'!BE$1,0)</f>
        <v>5112832.2</v>
      </c>
      <c r="BE31" s="20">
        <f>VLOOKUP($B31,'[1]IAC - Base'!$A$6:$BH$45,'[1]IAC - Base'!BF$1,0)</f>
        <v>4853616.58</v>
      </c>
      <c r="BF31" s="20">
        <f t="shared" si="2"/>
        <v>115656042.98999998</v>
      </c>
      <c r="BG31" s="21">
        <f t="shared" si="3"/>
        <v>0.9999999999135365</v>
      </c>
    </row>
    <row r="32" spans="2:59" ht="15" customHeight="1" x14ac:dyDescent="0.25">
      <c r="B32" s="19" t="s">
        <v>74</v>
      </c>
      <c r="C32" s="19" t="s">
        <v>42</v>
      </c>
      <c r="D32" s="19" t="s">
        <v>46</v>
      </c>
      <c r="E32" s="19" t="s">
        <v>75</v>
      </c>
      <c r="F32" s="20">
        <f>VLOOKUP($B32,'[1]IAC - Base'!$A$6:$BH$45,'[1]IAC - Base'!G$1,0)</f>
        <v>2622967462</v>
      </c>
      <c r="G32" s="20">
        <f>VLOOKUP($B32,'[1]IAC - Base'!$A$6:$BH$45,'[1]IAC - Base'!H$1,0)</f>
        <v>0</v>
      </c>
      <c r="H32" s="20">
        <f>VLOOKUP($B32,'[1]IAC - Base'!$A$6:$BH$45,'[1]IAC - Base'!I$1,0)</f>
        <v>0</v>
      </c>
      <c r="I32" s="20">
        <f>VLOOKUP($B32,'[1]IAC - Base'!$A$6:$BH$45,'[1]IAC - Base'!J$1,0)</f>
        <v>0</v>
      </c>
      <c r="J32" s="20">
        <f>VLOOKUP($B32,'[1]IAC - Base'!$A$6:$BH$45,'[1]IAC - Base'!K$1,0)</f>
        <v>0</v>
      </c>
      <c r="K32" s="20">
        <f>VLOOKUP($B32,'[1]IAC - Base'!$A$6:$BH$45,'[1]IAC - Base'!L$1,0)</f>
        <v>523148153.50999999</v>
      </c>
      <c r="L32" s="20">
        <f>VLOOKUP($B32,'[1]IAC - Base'!$A$6:$BH$45,'[1]IAC - Base'!M$1,0)</f>
        <v>86083464</v>
      </c>
      <c r="M32" s="20">
        <f>VLOOKUP($B32,'[1]IAC - Base'!$A$6:$BH$45,'[1]IAC - Base'!N$1,0)</f>
        <v>94017791.019999996</v>
      </c>
      <c r="N32" s="20">
        <f>VLOOKUP($B32,'[1]IAC - Base'!$A$6:$BH$45,'[1]IAC - Base'!O$1,0)</f>
        <v>77364262.670000002</v>
      </c>
      <c r="O32" s="20">
        <f>VLOOKUP($B32,'[1]IAC - Base'!$A$6:$BH$45,'[1]IAC - Base'!P$1,0)</f>
        <v>89459113.400000006</v>
      </c>
      <c r="P32" s="20">
        <f>VLOOKUP($B32,'[1]IAC - Base'!$A$6:$BH$45,'[1]IAC - Base'!Q$1,0)</f>
        <v>0</v>
      </c>
      <c r="Q32" s="20">
        <f>VLOOKUP($B32,'[1]IAC - Base'!$A$6:$BH$45,'[1]IAC - Base'!R$1,0)</f>
        <v>0</v>
      </c>
      <c r="R32" s="20">
        <f>VLOOKUP($B32,'[1]IAC - Base'!$A$6:$BH$45,'[1]IAC - Base'!S$1,0)</f>
        <v>0</v>
      </c>
      <c r="S32" s="20">
        <f>VLOOKUP($B32,'[1]IAC - Base'!$A$6:$BH$45,'[1]IAC - Base'!T$1,0)</f>
        <v>0</v>
      </c>
      <c r="T32" s="20">
        <f>VLOOKUP($B32,'[1]IAC - Base'!$A$6:$BH$45,'[1]IAC - Base'!U$1,0)</f>
        <v>0</v>
      </c>
      <c r="U32" s="20">
        <f>VLOOKUP($B32,'[1]IAC - Base'!$A$6:$BH$45,'[1]IAC - Base'!V$1,0)</f>
        <v>0</v>
      </c>
      <c r="V32" s="20">
        <f>VLOOKUP($B32,'[1]IAC - Base'!$A$6:$BH$45,'[1]IAC - Base'!W$1,0)</f>
        <v>0</v>
      </c>
      <c r="W32" s="20">
        <f>VLOOKUP($B32,'[1]IAC - Base'!$A$6:$BH$45,'[1]IAC - Base'!X$1,0)</f>
        <v>0</v>
      </c>
      <c r="X32" s="20">
        <f>VLOOKUP($B32,'[1]IAC - Base'!$A$6:$BH$45,'[1]IAC - Base'!Y$1,0)</f>
        <v>0</v>
      </c>
      <c r="Y32" s="20">
        <f>VLOOKUP($B32,'[1]IAC - Base'!$A$6:$BH$45,'[1]IAC - Base'!Z$1,0)</f>
        <v>0</v>
      </c>
      <c r="Z32" s="20">
        <f>VLOOKUP($B32,'[1]IAC - Base'!$A$6:$BH$45,'[1]IAC - Base'!AA$1,0)</f>
        <v>0</v>
      </c>
      <c r="AA32" s="20">
        <f>VLOOKUP($B32,'[1]IAC - Base'!$A$6:$BH$45,'[1]IAC - Base'!AB$1,0)</f>
        <v>0</v>
      </c>
      <c r="AB32" s="20">
        <f>VLOOKUP($B32,'[1]IAC - Base'!$A$6:$BH$45,'[1]IAC - Base'!AC$1,0)</f>
        <v>0</v>
      </c>
      <c r="AC32" s="20">
        <f>VLOOKUP($B32,'[1]IAC - Base'!$A$6:$BH$45,'[1]IAC - Base'!AD$1,0)</f>
        <v>0</v>
      </c>
      <c r="AD32" s="20">
        <f>VLOOKUP($B32,'[1]IAC - Base'!$A$6:$BH$45,'[1]IAC - Base'!AE$1,0)</f>
        <v>0</v>
      </c>
      <c r="AE32" s="20">
        <f t="shared" si="0"/>
        <v>870072784.5999999</v>
      </c>
      <c r="AF32" s="21">
        <f t="shared" si="1"/>
        <v>0.33171314444616617</v>
      </c>
      <c r="AH32" s="20">
        <f>VLOOKUP($B32,'[1]IAC - Base'!$A$6:$BH$45,'[1]IAC - Base'!AI$1,0)</f>
        <v>125862182.40000001</v>
      </c>
      <c r="AI32" s="20">
        <f>VLOOKUP($B32,'[1]IAC - Base'!$A$6:$BH$45,'[1]IAC - Base'!AJ$1,0)</f>
        <v>92675620.739999995</v>
      </c>
      <c r="AJ32" s="20">
        <f>VLOOKUP($B32,'[1]IAC - Base'!$A$6:$BH$45,'[1]IAC - Base'!AK$1,0)</f>
        <v>95473026.950000003</v>
      </c>
      <c r="AK32" s="20">
        <f>VLOOKUP($B32,'[1]IAC - Base'!$A$6:$BH$45,'[1]IAC - Base'!AL$1,0)</f>
        <v>114799995.27</v>
      </c>
      <c r="AL32" s="20">
        <f>VLOOKUP($B32,'[1]IAC - Base'!$A$6:$BH$45,'[1]IAC - Base'!AM$1,0)</f>
        <v>99814334.870000005</v>
      </c>
      <c r="AM32" s="20">
        <f>VLOOKUP($B32,'[1]IAC - Base'!$A$6:$BH$45,'[1]IAC - Base'!AN$1,0)</f>
        <v>88752147.620000005</v>
      </c>
      <c r="AN32" s="20">
        <f>VLOOKUP($B32,'[1]IAC - Base'!$A$6:$BH$45,'[1]IAC - Base'!AO$1,0)</f>
        <v>121520874.56999999</v>
      </c>
      <c r="AO32" s="20">
        <f>VLOOKUP($B32,'[1]IAC - Base'!$A$6:$BH$45,'[1]IAC - Base'!AP$1,0)</f>
        <v>117179566.65000001</v>
      </c>
      <c r="AP32" s="20">
        <f>VLOOKUP($B32,'[1]IAC - Base'!$A$6:$BH$45,'[1]IAC - Base'!AQ$1,0)</f>
        <v>88752147.620000005</v>
      </c>
      <c r="AQ32" s="20">
        <f>VLOOKUP($B32,'[1]IAC - Base'!$A$6:$BH$45,'[1]IAC - Base'!AR$1,0)</f>
        <v>125862182.48999999</v>
      </c>
      <c r="AR32" s="20">
        <f>VLOOKUP($B32,'[1]IAC - Base'!$A$6:$BH$45,'[1]IAC - Base'!AS$1,0)</f>
        <v>119141303.19</v>
      </c>
      <c r="AS32" s="20">
        <f>VLOOKUP($B32,'[1]IAC - Base'!$A$6:$BH$45,'[1]IAC - Base'!AT$1,0)</f>
        <v>112838258.7</v>
      </c>
      <c r="AT32" s="20">
        <f>VLOOKUP($B32,'[1]IAC - Base'!$A$6:$BH$45,'[1]IAC - Base'!AU$1,0)</f>
        <v>118427259.11</v>
      </c>
      <c r="AU32" s="20">
        <f>VLOOKUP($B32,'[1]IAC - Base'!$A$6:$BH$45,'[1]IAC - Base'!AV$1,0)</f>
        <v>94303948.299999997</v>
      </c>
      <c r="AV32" s="20">
        <f>VLOOKUP($B32,'[1]IAC - Base'!$A$6:$BH$45,'[1]IAC - Base'!AW$1,0)</f>
        <v>93371504.5</v>
      </c>
      <c r="AW32" s="20">
        <f>VLOOKUP($B32,'[1]IAC - Base'!$A$6:$BH$45,'[1]IAC - Base'!AX$1,0)</f>
        <v>124306019.28</v>
      </c>
      <c r="AX32" s="20">
        <f>VLOOKUP($B32,'[1]IAC - Base'!$A$6:$BH$45,'[1]IAC - Base'!AY$1,0)</f>
        <v>105899381.84</v>
      </c>
      <c r="AY32" s="20">
        <f>VLOOKUP($B32,'[1]IAC - Base'!$A$6:$BH$45,'[1]IAC - Base'!AZ$1,0)</f>
        <v>99250264.579999998</v>
      </c>
      <c r="AZ32" s="20">
        <f>VLOOKUP($B32,'[1]IAC - Base'!$A$6:$BH$45,'[1]IAC - Base'!BA$1,0)</f>
        <v>122603218.31</v>
      </c>
      <c r="BA32" s="20">
        <f>VLOOKUP($B32,'[1]IAC - Base'!$A$6:$BH$45,'[1]IAC - Base'!BB$1,0)</f>
        <v>118427259.22</v>
      </c>
      <c r="BB32" s="20">
        <f>VLOOKUP($B32,'[1]IAC - Base'!$A$6:$BH$45,'[1]IAC - Base'!BC$1,0)</f>
        <v>90898346.349999994</v>
      </c>
      <c r="BC32" s="20">
        <f>VLOOKUP($B32,'[1]IAC - Base'!$A$6:$BH$45,'[1]IAC - Base'!BD$1,0)</f>
        <v>126779177.42</v>
      </c>
      <c r="BD32" s="20">
        <f>VLOOKUP($B32,'[1]IAC - Base'!$A$6:$BH$45,'[1]IAC - Base'!BE$1,0)</f>
        <v>115954101.06999999</v>
      </c>
      <c r="BE32" s="20">
        <f>VLOOKUP($B32,'[1]IAC - Base'!$A$6:$BH$45,'[1]IAC - Base'!BF$1,0)</f>
        <v>110075340.93000001</v>
      </c>
      <c r="BF32" s="20">
        <f t="shared" si="2"/>
        <v>2622967461.9799995</v>
      </c>
      <c r="BG32" s="21">
        <f t="shared" si="3"/>
        <v>0.99999999999237488</v>
      </c>
    </row>
    <row r="33" spans="1:59" ht="15" customHeight="1" x14ac:dyDescent="0.25">
      <c r="B33" s="19" t="s">
        <v>76</v>
      </c>
      <c r="C33" s="19" t="s">
        <v>42</v>
      </c>
      <c r="D33" s="19" t="s">
        <v>51</v>
      </c>
      <c r="E33" s="19" t="s">
        <v>77</v>
      </c>
      <c r="F33" s="20">
        <f>VLOOKUP($B33,'[1]IAC - Base'!$A$6:$BH$45,'[1]IAC - Base'!G$1,0)</f>
        <v>8902504924</v>
      </c>
      <c r="G33" s="20">
        <f>VLOOKUP($B33,'[1]IAC - Base'!$A$6:$BH$45,'[1]IAC - Base'!H$1,0)</f>
        <v>0</v>
      </c>
      <c r="H33" s="20">
        <f>VLOOKUP($B33,'[1]IAC - Base'!$A$6:$BH$45,'[1]IAC - Base'!I$1,0)</f>
        <v>0</v>
      </c>
      <c r="I33" s="20">
        <f>VLOOKUP($B33,'[1]IAC - Base'!$A$6:$BH$45,'[1]IAC - Base'!J$1,0)</f>
        <v>0</v>
      </c>
      <c r="J33" s="20">
        <f>VLOOKUP($B33,'[1]IAC - Base'!$A$6:$BH$45,'[1]IAC - Base'!K$1,0)</f>
        <v>0</v>
      </c>
      <c r="K33" s="20">
        <f>VLOOKUP($B33,'[1]IAC - Base'!$A$6:$BH$45,'[1]IAC - Base'!L$1,0)</f>
        <v>1775595420.0799999</v>
      </c>
      <c r="L33" s="20">
        <f>VLOOKUP($B33,'[1]IAC - Base'!$A$6:$BH$45,'[1]IAC - Base'!M$1,0)</f>
        <v>292172309.89999998</v>
      </c>
      <c r="M33" s="20">
        <f>VLOOKUP($B33,'[1]IAC - Base'!$A$6:$BH$45,'[1]IAC - Base'!N$1,0)</f>
        <v>319101879.68000001</v>
      </c>
      <c r="N33" s="20">
        <f>VLOOKUP($B33,'[1]IAC - Base'!$A$6:$BH$45,'[1]IAC - Base'!O$1,0)</f>
        <v>262578830.78</v>
      </c>
      <c r="O33" s="20">
        <f>VLOOKUP($B33,'[1]IAC - Base'!$A$6:$BH$45,'[1]IAC - Base'!P$1,0)</f>
        <v>303629461.31999999</v>
      </c>
      <c r="P33" s="20">
        <f>VLOOKUP($B33,'[1]IAC - Base'!$A$6:$BH$45,'[1]IAC - Base'!Q$1,0)</f>
        <v>0</v>
      </c>
      <c r="Q33" s="20">
        <f>VLOOKUP($B33,'[1]IAC - Base'!$A$6:$BH$45,'[1]IAC - Base'!R$1,0)</f>
        <v>0</v>
      </c>
      <c r="R33" s="20">
        <f>VLOOKUP($B33,'[1]IAC - Base'!$A$6:$BH$45,'[1]IAC - Base'!S$1,0)</f>
        <v>0</v>
      </c>
      <c r="S33" s="20">
        <f>VLOOKUP($B33,'[1]IAC - Base'!$A$6:$BH$45,'[1]IAC - Base'!T$1,0)</f>
        <v>0</v>
      </c>
      <c r="T33" s="20">
        <f>VLOOKUP($B33,'[1]IAC - Base'!$A$6:$BH$45,'[1]IAC - Base'!U$1,0)</f>
        <v>0</v>
      </c>
      <c r="U33" s="20">
        <f>VLOOKUP($B33,'[1]IAC - Base'!$A$6:$BH$45,'[1]IAC - Base'!V$1,0)</f>
        <v>0</v>
      </c>
      <c r="V33" s="20">
        <f>VLOOKUP($B33,'[1]IAC - Base'!$A$6:$BH$45,'[1]IAC - Base'!W$1,0)</f>
        <v>0</v>
      </c>
      <c r="W33" s="20">
        <f>VLOOKUP($B33,'[1]IAC - Base'!$A$6:$BH$45,'[1]IAC - Base'!X$1,0)</f>
        <v>0</v>
      </c>
      <c r="X33" s="20">
        <f>VLOOKUP($B33,'[1]IAC - Base'!$A$6:$BH$45,'[1]IAC - Base'!Y$1,0)</f>
        <v>0</v>
      </c>
      <c r="Y33" s="20">
        <f>VLOOKUP($B33,'[1]IAC - Base'!$A$6:$BH$45,'[1]IAC - Base'!Z$1,0)</f>
        <v>0</v>
      </c>
      <c r="Z33" s="20">
        <f>VLOOKUP($B33,'[1]IAC - Base'!$A$6:$BH$45,'[1]IAC - Base'!AA$1,0)</f>
        <v>0</v>
      </c>
      <c r="AA33" s="20">
        <f>VLOOKUP($B33,'[1]IAC - Base'!$A$6:$BH$45,'[1]IAC - Base'!AB$1,0)</f>
        <v>0</v>
      </c>
      <c r="AB33" s="20">
        <f>VLOOKUP($B33,'[1]IAC - Base'!$A$6:$BH$45,'[1]IAC - Base'!AC$1,0)</f>
        <v>0</v>
      </c>
      <c r="AC33" s="20">
        <f>VLOOKUP($B33,'[1]IAC - Base'!$A$6:$BH$45,'[1]IAC - Base'!AD$1,0)</f>
        <v>0</v>
      </c>
      <c r="AD33" s="20">
        <f>VLOOKUP($B33,'[1]IAC - Base'!$A$6:$BH$45,'[1]IAC - Base'!AE$1,0)</f>
        <v>0</v>
      </c>
      <c r="AE33" s="20">
        <f t="shared" si="0"/>
        <v>2953077901.7600002</v>
      </c>
      <c r="AF33" s="21">
        <f t="shared" si="1"/>
        <v>0.3317131444430752</v>
      </c>
      <c r="AH33" s="20">
        <f>VLOOKUP($B33,'[1]IAC - Base'!$A$6:$BH$45,'[1]IAC - Base'!AI$1,0)</f>
        <v>427183605.88999999</v>
      </c>
      <c r="AI33" s="20">
        <f>VLOOKUP($B33,'[1]IAC - Base'!$A$6:$BH$45,'[1]IAC - Base'!AJ$1,0)</f>
        <v>314546475.30000001</v>
      </c>
      <c r="AJ33" s="20">
        <f>VLOOKUP($B33,'[1]IAC - Base'!$A$6:$BH$45,'[1]IAC - Base'!AK$1,0)</f>
        <v>324041035.51999998</v>
      </c>
      <c r="AK33" s="20">
        <f>VLOOKUP($B33,'[1]IAC - Base'!$A$6:$BH$45,'[1]IAC - Base'!AL$1,0)</f>
        <v>389637896.00999999</v>
      </c>
      <c r="AL33" s="20">
        <f>VLOOKUP($B33,'[1]IAC - Base'!$A$6:$BH$45,'[1]IAC - Base'!AM$1,0)</f>
        <v>338775688.44</v>
      </c>
      <c r="AM33" s="20">
        <f>VLOOKUP($B33,'[1]IAC - Base'!$A$6:$BH$45,'[1]IAC - Base'!AN$1,0)</f>
        <v>301229978.13999999</v>
      </c>
      <c r="AN33" s="20">
        <f>VLOOKUP($B33,'[1]IAC - Base'!$A$6:$BH$45,'[1]IAC - Base'!AO$1,0)</f>
        <v>412448953.29000002</v>
      </c>
      <c r="AO33" s="20">
        <f>VLOOKUP($B33,'[1]IAC - Base'!$A$6:$BH$45,'[1]IAC - Base'!AP$1,0)</f>
        <v>397714300.39999998</v>
      </c>
      <c r="AP33" s="20">
        <f>VLOOKUP($B33,'[1]IAC - Base'!$A$6:$BH$45,'[1]IAC - Base'!AQ$1,0)</f>
        <v>301229978.13999999</v>
      </c>
      <c r="AQ33" s="20">
        <f>VLOOKUP($B33,'[1]IAC - Base'!$A$6:$BH$45,'[1]IAC - Base'!AR$1,0)</f>
        <v>427183606.20999998</v>
      </c>
      <c r="AR33" s="20">
        <f>VLOOKUP($B33,'[1]IAC - Base'!$A$6:$BH$45,'[1]IAC - Base'!AS$1,0)</f>
        <v>404372548.88999999</v>
      </c>
      <c r="AS33" s="20">
        <f>VLOOKUP($B33,'[1]IAC - Base'!$A$6:$BH$45,'[1]IAC - Base'!AT$1,0)</f>
        <v>382979647.38</v>
      </c>
      <c r="AT33" s="20">
        <f>VLOOKUP($B33,'[1]IAC - Base'!$A$6:$BH$45,'[1]IAC - Base'!AU$1,0)</f>
        <v>401949041.56</v>
      </c>
      <c r="AU33" s="20">
        <f>VLOOKUP($B33,'[1]IAC - Base'!$A$6:$BH$45,'[1]IAC - Base'!AV$1,0)</f>
        <v>320073114.22000003</v>
      </c>
      <c r="AV33" s="20">
        <f>VLOOKUP($B33,'[1]IAC - Base'!$A$6:$BH$45,'[1]IAC - Base'!AW$1,0)</f>
        <v>316908345.44999999</v>
      </c>
      <c r="AW33" s="20">
        <f>VLOOKUP($B33,'[1]IAC - Base'!$A$6:$BH$45,'[1]IAC - Base'!AX$1,0)</f>
        <v>421901897.27999997</v>
      </c>
      <c r="AX33" s="20">
        <f>VLOOKUP($B33,'[1]IAC - Base'!$A$6:$BH$45,'[1]IAC - Base'!AY$1,0)</f>
        <v>359428693.62</v>
      </c>
      <c r="AY33" s="20">
        <f>VLOOKUP($B33,'[1]IAC - Base'!$A$6:$BH$45,'[1]IAC - Base'!AZ$1,0)</f>
        <v>336861200.89999998</v>
      </c>
      <c r="AZ33" s="20">
        <f>VLOOKUP($B33,'[1]IAC - Base'!$A$6:$BH$45,'[1]IAC - Base'!BA$1,0)</f>
        <v>416122491.23000002</v>
      </c>
      <c r="BA33" s="20">
        <f>VLOOKUP($B33,'[1]IAC - Base'!$A$6:$BH$45,'[1]IAC - Base'!BB$1,0)</f>
        <v>401949041.91000003</v>
      </c>
      <c r="BB33" s="20">
        <f>VLOOKUP($B33,'[1]IAC - Base'!$A$6:$BH$45,'[1]IAC - Base'!BC$1,0)</f>
        <v>308514302.11000001</v>
      </c>
      <c r="BC33" s="20">
        <f>VLOOKUP($B33,'[1]IAC - Base'!$A$6:$BH$45,'[1]IAC - Base'!BD$1,0)</f>
        <v>430295940.62</v>
      </c>
      <c r="BD33" s="20">
        <f>VLOOKUP($B33,'[1]IAC - Base'!$A$6:$BH$45,'[1]IAC - Base'!BE$1,0)</f>
        <v>393554998.56999999</v>
      </c>
      <c r="BE33" s="20">
        <f>VLOOKUP($B33,'[1]IAC - Base'!$A$6:$BH$45,'[1]IAC - Base'!BF$1,0)</f>
        <v>373602142.94999999</v>
      </c>
      <c r="BF33" s="20">
        <f t="shared" si="2"/>
        <v>8902504924.0299988</v>
      </c>
      <c r="BG33" s="21">
        <f t="shared" si="3"/>
        <v>1.0000000000033697</v>
      </c>
    </row>
    <row r="34" spans="1:59" ht="15" customHeight="1" x14ac:dyDescent="0.25">
      <c r="B34" s="19" t="s">
        <v>78</v>
      </c>
      <c r="C34" s="19" t="s">
        <v>42</v>
      </c>
      <c r="D34" s="19" t="s">
        <v>43</v>
      </c>
      <c r="E34" s="19" t="s">
        <v>79</v>
      </c>
      <c r="F34" s="20">
        <f>VLOOKUP($B34,'[1]IAC - Base'!$A$6:$BH$45,'[1]IAC - Base'!G$1,0)</f>
        <v>22455738389</v>
      </c>
      <c r="G34" s="20">
        <f>VLOOKUP($B34,'[1]IAC - Base'!$A$6:$BH$45,'[1]IAC - Base'!H$1,0)</f>
        <v>0</v>
      </c>
      <c r="H34" s="20">
        <f>VLOOKUP($B34,'[1]IAC - Base'!$A$6:$BH$45,'[1]IAC - Base'!I$1,0)</f>
        <v>0</v>
      </c>
      <c r="I34" s="20">
        <f>VLOOKUP($B34,'[1]IAC - Base'!$A$6:$BH$45,'[1]IAC - Base'!J$1,0)</f>
        <v>0</v>
      </c>
      <c r="J34" s="20">
        <f>VLOOKUP($B34,'[1]IAC - Base'!$A$6:$BH$45,'[1]IAC - Base'!K$1,0)</f>
        <v>0</v>
      </c>
      <c r="K34" s="20">
        <f>VLOOKUP($B34,'[1]IAC - Base'!$A$6:$BH$45,'[1]IAC - Base'!L$1,0)</f>
        <v>4478773848.3199997</v>
      </c>
      <c r="L34" s="20">
        <f>VLOOKUP($B34,'[1]IAC - Base'!$A$6:$BH$45,'[1]IAC - Base'!M$1,0)</f>
        <v>736977402.61000001</v>
      </c>
      <c r="M34" s="20">
        <f>VLOOKUP($B34,'[1]IAC - Base'!$A$6:$BH$45,'[1]IAC - Base'!N$1,0)</f>
        <v>804904730.83000004</v>
      </c>
      <c r="N34" s="20">
        <f>VLOOKUP($B34,'[1]IAC - Base'!$A$6:$BH$45,'[1]IAC - Base'!O$1,0)</f>
        <v>662330611.53999996</v>
      </c>
      <c r="O34" s="20">
        <f>VLOOKUP($B34,'[1]IAC - Base'!$A$6:$BH$45,'[1]IAC - Base'!P$1,0)</f>
        <v>765876998.53999996</v>
      </c>
      <c r="P34" s="20">
        <f>VLOOKUP($B34,'[1]IAC - Base'!$A$6:$BH$45,'[1]IAC - Base'!Q$1,0)</f>
        <v>0</v>
      </c>
      <c r="Q34" s="20">
        <f>VLOOKUP($B34,'[1]IAC - Base'!$A$6:$BH$45,'[1]IAC - Base'!R$1,0)</f>
        <v>0</v>
      </c>
      <c r="R34" s="20">
        <f>VLOOKUP($B34,'[1]IAC - Base'!$A$6:$BH$45,'[1]IAC - Base'!S$1,0)</f>
        <v>0</v>
      </c>
      <c r="S34" s="20">
        <f>VLOOKUP($B34,'[1]IAC - Base'!$A$6:$BH$45,'[1]IAC - Base'!T$1,0)</f>
        <v>0</v>
      </c>
      <c r="T34" s="20">
        <f>VLOOKUP($B34,'[1]IAC - Base'!$A$6:$BH$45,'[1]IAC - Base'!U$1,0)</f>
        <v>0</v>
      </c>
      <c r="U34" s="20">
        <f>VLOOKUP($B34,'[1]IAC - Base'!$A$6:$BH$45,'[1]IAC - Base'!V$1,0)</f>
        <v>0</v>
      </c>
      <c r="V34" s="20">
        <f>VLOOKUP($B34,'[1]IAC - Base'!$A$6:$BH$45,'[1]IAC - Base'!W$1,0)</f>
        <v>0</v>
      </c>
      <c r="W34" s="20">
        <f>VLOOKUP($B34,'[1]IAC - Base'!$A$6:$BH$45,'[1]IAC - Base'!X$1,0)</f>
        <v>0</v>
      </c>
      <c r="X34" s="20">
        <f>VLOOKUP($B34,'[1]IAC - Base'!$A$6:$BH$45,'[1]IAC - Base'!Y$1,0)</f>
        <v>0</v>
      </c>
      <c r="Y34" s="20">
        <f>VLOOKUP($B34,'[1]IAC - Base'!$A$6:$BH$45,'[1]IAC - Base'!Z$1,0)</f>
        <v>0</v>
      </c>
      <c r="Z34" s="20">
        <f>VLOOKUP($B34,'[1]IAC - Base'!$A$6:$BH$45,'[1]IAC - Base'!AA$1,0)</f>
        <v>0</v>
      </c>
      <c r="AA34" s="20">
        <f>VLOOKUP($B34,'[1]IAC - Base'!$A$6:$BH$45,'[1]IAC - Base'!AB$1,0)</f>
        <v>0</v>
      </c>
      <c r="AB34" s="20">
        <f>VLOOKUP($B34,'[1]IAC - Base'!$A$6:$BH$45,'[1]IAC - Base'!AC$1,0)</f>
        <v>0</v>
      </c>
      <c r="AC34" s="20">
        <f>VLOOKUP($B34,'[1]IAC - Base'!$A$6:$BH$45,'[1]IAC - Base'!AD$1,0)</f>
        <v>0</v>
      </c>
      <c r="AD34" s="20">
        <f>VLOOKUP($B34,'[1]IAC - Base'!$A$6:$BH$45,'[1]IAC - Base'!AE$1,0)</f>
        <v>0</v>
      </c>
      <c r="AE34" s="20">
        <f t="shared" si="0"/>
        <v>7448863591.8399992</v>
      </c>
      <c r="AF34" s="21">
        <f t="shared" si="1"/>
        <v>0.33171314444457739</v>
      </c>
      <c r="AH34" s="20">
        <f>VLOOKUP($B34,'[1]IAC - Base'!$A$6:$BH$45,'[1]IAC - Base'!AI$1,0)</f>
        <v>1077530805.0799999</v>
      </c>
      <c r="AI34" s="20">
        <f>VLOOKUP($B34,'[1]IAC - Base'!$A$6:$BH$45,'[1]IAC - Base'!AJ$1,0)</f>
        <v>793414148.12</v>
      </c>
      <c r="AJ34" s="20">
        <f>VLOOKUP($B34,'[1]IAC - Base'!$A$6:$BH$45,'[1]IAC - Base'!AK$1,0)</f>
        <v>817363290.78999996</v>
      </c>
      <c r="AK34" s="20">
        <f>VLOOKUP($B34,'[1]IAC - Base'!$A$6:$BH$45,'[1]IAC - Base'!AL$1,0)</f>
        <v>982825253.54999995</v>
      </c>
      <c r="AL34" s="20">
        <f>VLOOKUP($B34,'[1]IAC - Base'!$A$6:$BH$45,'[1]IAC - Base'!AM$1,0)</f>
        <v>854530078.57000005</v>
      </c>
      <c r="AM34" s="20">
        <f>VLOOKUP($B34,'[1]IAC - Base'!$A$6:$BH$45,'[1]IAC - Base'!AN$1,0)</f>
        <v>759824525.98000002</v>
      </c>
      <c r="AN34" s="20">
        <f>VLOOKUP($B34,'[1]IAC - Base'!$A$6:$BH$45,'[1]IAC - Base'!AO$1,0)</f>
        <v>1040364018.09</v>
      </c>
      <c r="AO34" s="20">
        <f>VLOOKUP($B34,'[1]IAC - Base'!$A$6:$BH$45,'[1]IAC - Base'!AP$1,0)</f>
        <v>1003197230.4</v>
      </c>
      <c r="AP34" s="20">
        <f>VLOOKUP($B34,'[1]IAC - Base'!$A$6:$BH$45,'[1]IAC - Base'!AQ$1,0)</f>
        <v>759824525.98000002</v>
      </c>
      <c r="AQ34" s="20">
        <f>VLOOKUP($B34,'[1]IAC - Base'!$A$6:$BH$45,'[1]IAC - Base'!AR$1,0)</f>
        <v>1077530805.8699999</v>
      </c>
      <c r="AR34" s="20">
        <f>VLOOKUP($B34,'[1]IAC - Base'!$A$6:$BH$45,'[1]IAC - Base'!AS$1,0)</f>
        <v>1019992041.25</v>
      </c>
      <c r="AS34" s="20">
        <f>VLOOKUP($B34,'[1]IAC - Base'!$A$6:$BH$45,'[1]IAC - Base'!AT$1,0)</f>
        <v>966030442.35000002</v>
      </c>
      <c r="AT34" s="20">
        <f>VLOOKUP($B34,'[1]IAC - Base'!$A$6:$BH$45,'[1]IAC - Base'!AU$1,0)</f>
        <v>1013878970.02</v>
      </c>
      <c r="AU34" s="20">
        <f>VLOOKUP($B34,'[1]IAC - Base'!$A$6:$BH$45,'[1]IAC - Base'!AV$1,0)</f>
        <v>807354579.38</v>
      </c>
      <c r="AV34" s="20">
        <f>VLOOKUP($B34,'[1]IAC - Base'!$A$6:$BH$45,'[1]IAC - Base'!AW$1,0)</f>
        <v>799371745.30999994</v>
      </c>
      <c r="AW34" s="20">
        <f>VLOOKUP($B34,'[1]IAC - Base'!$A$6:$BH$45,'[1]IAC - Base'!AX$1,0)</f>
        <v>1064208187.71</v>
      </c>
      <c r="AX34" s="20">
        <f>VLOOKUP($B34,'[1]IAC - Base'!$A$6:$BH$45,'[1]IAC - Base'!AY$1,0)</f>
        <v>906625357.97000003</v>
      </c>
      <c r="AY34" s="20">
        <f>VLOOKUP($B34,'[1]IAC - Base'!$A$6:$BH$45,'[1]IAC - Base'!AZ$1,0)</f>
        <v>849700962.28999996</v>
      </c>
      <c r="AZ34" s="20">
        <f>VLOOKUP($B34,'[1]IAC - Base'!$A$6:$BH$45,'[1]IAC - Base'!BA$1,0)</f>
        <v>1049630174.9400001</v>
      </c>
      <c r="BA34" s="20">
        <f>VLOOKUP($B34,'[1]IAC - Base'!$A$6:$BH$45,'[1]IAC - Base'!BB$1,0)</f>
        <v>1013878970.9</v>
      </c>
      <c r="BB34" s="20">
        <f>VLOOKUP($B34,'[1]IAC - Base'!$A$6:$BH$45,'[1]IAC - Base'!BC$1,0)</f>
        <v>778198553.85000002</v>
      </c>
      <c r="BC34" s="20">
        <f>VLOOKUP($B34,'[1]IAC - Base'!$A$6:$BH$45,'[1]IAC - Base'!BD$1,0)</f>
        <v>1085381379.1600001</v>
      </c>
      <c r="BD34" s="20">
        <f>VLOOKUP($B34,'[1]IAC - Base'!$A$6:$BH$45,'[1]IAC - Base'!BE$1,0)</f>
        <v>992705779.44000006</v>
      </c>
      <c r="BE34" s="20">
        <f>VLOOKUP($B34,'[1]IAC - Base'!$A$6:$BH$45,'[1]IAC - Base'!BF$1,0)</f>
        <v>942376562.00999999</v>
      </c>
      <c r="BF34" s="20">
        <f t="shared" si="2"/>
        <v>22455738389.009995</v>
      </c>
      <c r="BG34" s="21">
        <f t="shared" si="3"/>
        <v>1.000000000000445</v>
      </c>
    </row>
    <row r="35" spans="1:59" ht="15" customHeight="1" x14ac:dyDescent="0.25">
      <c r="B35" s="19" t="s">
        <v>80</v>
      </c>
      <c r="C35" s="19" t="s">
        <v>42</v>
      </c>
      <c r="D35" s="19" t="s">
        <v>43</v>
      </c>
      <c r="E35" s="19" t="s">
        <v>81</v>
      </c>
      <c r="F35" s="20">
        <f>VLOOKUP($B35,'[1]IAC - Base'!$A$6:$BH$45,'[1]IAC - Base'!G$1,0)</f>
        <v>30683257639</v>
      </c>
      <c r="G35" s="20">
        <f>VLOOKUP($B35,'[1]IAC - Base'!$A$6:$BH$45,'[1]IAC - Base'!H$1,0)</f>
        <v>0</v>
      </c>
      <c r="H35" s="20">
        <f>VLOOKUP($B35,'[1]IAC - Base'!$A$6:$BH$45,'[1]IAC - Base'!I$1,0)</f>
        <v>0</v>
      </c>
      <c r="I35" s="20">
        <f>VLOOKUP($B35,'[1]IAC - Base'!$A$6:$BH$45,'[1]IAC - Base'!J$1,0)</f>
        <v>0</v>
      </c>
      <c r="J35" s="20">
        <f>VLOOKUP($B35,'[1]IAC - Base'!$A$6:$BH$45,'[1]IAC - Base'!K$1,0)</f>
        <v>0</v>
      </c>
      <c r="K35" s="20">
        <f>VLOOKUP($B35,'[1]IAC - Base'!$A$6:$BH$45,'[1]IAC - Base'!L$1,0)</f>
        <v>6119744072.2699995</v>
      </c>
      <c r="L35" s="20">
        <f>VLOOKUP($B35,'[1]IAC - Base'!$A$6:$BH$45,'[1]IAC - Base'!M$1,0)</f>
        <v>1006997281.79</v>
      </c>
      <c r="M35" s="20">
        <f>VLOOKUP($B35,'[1]IAC - Base'!$A$6:$BH$45,'[1]IAC - Base'!N$1,0)</f>
        <v>1099812386.6199999</v>
      </c>
      <c r="N35" s="20">
        <f>VLOOKUP($B35,'[1]IAC - Base'!$A$6:$BH$45,'[1]IAC - Base'!O$1,0)</f>
        <v>905000781.71000004</v>
      </c>
      <c r="O35" s="20">
        <f>VLOOKUP($B35,'[1]IAC - Base'!$A$6:$BH$45,'[1]IAC - Base'!P$1,0)</f>
        <v>1046485350.8200001</v>
      </c>
      <c r="P35" s="20">
        <f>VLOOKUP($B35,'[1]IAC - Base'!$A$6:$BH$45,'[1]IAC - Base'!Q$1,0)</f>
        <v>0</v>
      </c>
      <c r="Q35" s="20">
        <f>VLOOKUP($B35,'[1]IAC - Base'!$A$6:$BH$45,'[1]IAC - Base'!R$1,0)</f>
        <v>0</v>
      </c>
      <c r="R35" s="20">
        <f>VLOOKUP($B35,'[1]IAC - Base'!$A$6:$BH$45,'[1]IAC - Base'!S$1,0)</f>
        <v>0</v>
      </c>
      <c r="S35" s="20">
        <f>VLOOKUP($B35,'[1]IAC - Base'!$A$6:$BH$45,'[1]IAC - Base'!T$1,0)</f>
        <v>0</v>
      </c>
      <c r="T35" s="20">
        <f>VLOOKUP($B35,'[1]IAC - Base'!$A$6:$BH$45,'[1]IAC - Base'!U$1,0)</f>
        <v>0</v>
      </c>
      <c r="U35" s="20">
        <f>VLOOKUP($B35,'[1]IAC - Base'!$A$6:$BH$45,'[1]IAC - Base'!V$1,0)</f>
        <v>0</v>
      </c>
      <c r="V35" s="20">
        <f>VLOOKUP($B35,'[1]IAC - Base'!$A$6:$BH$45,'[1]IAC - Base'!W$1,0)</f>
        <v>0</v>
      </c>
      <c r="W35" s="20">
        <f>VLOOKUP($B35,'[1]IAC - Base'!$A$6:$BH$45,'[1]IAC - Base'!X$1,0)</f>
        <v>0</v>
      </c>
      <c r="X35" s="20">
        <f>VLOOKUP($B35,'[1]IAC - Base'!$A$6:$BH$45,'[1]IAC - Base'!Y$1,0)</f>
        <v>0</v>
      </c>
      <c r="Y35" s="20">
        <f>VLOOKUP($B35,'[1]IAC - Base'!$A$6:$BH$45,'[1]IAC - Base'!Z$1,0)</f>
        <v>0</v>
      </c>
      <c r="Z35" s="20">
        <f>VLOOKUP($B35,'[1]IAC - Base'!$A$6:$BH$45,'[1]IAC - Base'!AA$1,0)</f>
        <v>0</v>
      </c>
      <c r="AA35" s="20">
        <f>VLOOKUP($B35,'[1]IAC - Base'!$A$6:$BH$45,'[1]IAC - Base'!AB$1,0)</f>
        <v>0</v>
      </c>
      <c r="AB35" s="20">
        <f>VLOOKUP($B35,'[1]IAC - Base'!$A$6:$BH$45,'[1]IAC - Base'!AC$1,0)</f>
        <v>0</v>
      </c>
      <c r="AC35" s="20">
        <f>VLOOKUP($B35,'[1]IAC - Base'!$A$6:$BH$45,'[1]IAC - Base'!AD$1,0)</f>
        <v>0</v>
      </c>
      <c r="AD35" s="20">
        <f>VLOOKUP($B35,'[1]IAC - Base'!$A$6:$BH$45,'[1]IAC - Base'!AE$1,0)</f>
        <v>0</v>
      </c>
      <c r="AE35" s="20">
        <f t="shared" si="0"/>
        <v>10178039873.209999</v>
      </c>
      <c r="AF35" s="21">
        <f t="shared" si="1"/>
        <v>0.33171314444373684</v>
      </c>
      <c r="AH35" s="20">
        <f>VLOOKUP($B35,'[1]IAC - Base'!$A$6:$BH$45,'[1]IAC - Base'!AI$1,0)</f>
        <v>1472325457.9100001</v>
      </c>
      <c r="AI35" s="20">
        <f>VLOOKUP($B35,'[1]IAC - Base'!$A$6:$BH$45,'[1]IAC - Base'!AJ$1,0)</f>
        <v>1084111789.1300001</v>
      </c>
      <c r="AJ35" s="20">
        <f>VLOOKUP($B35,'[1]IAC - Base'!$A$6:$BH$45,'[1]IAC - Base'!AK$1,0)</f>
        <v>1116835616.8599999</v>
      </c>
      <c r="AK35" s="20">
        <f>VLOOKUP($B35,'[1]IAC - Base'!$A$6:$BH$45,'[1]IAC - Base'!AL$1,0)</f>
        <v>1342920902.73</v>
      </c>
      <c r="AL35" s="20">
        <f>VLOOKUP($B35,'[1]IAC - Base'!$A$6:$BH$45,'[1]IAC - Base'!AM$1,0)</f>
        <v>1167619879.9000001</v>
      </c>
      <c r="AM35" s="20">
        <f>VLOOKUP($B35,'[1]IAC - Base'!$A$6:$BH$45,'[1]IAC - Base'!AN$1,0)</f>
        <v>1038215323.29</v>
      </c>
      <c r="AN35" s="20">
        <f>VLOOKUP($B35,'[1]IAC - Base'!$A$6:$BH$45,'[1]IAC - Base'!AO$1,0)</f>
        <v>1421541195.95</v>
      </c>
      <c r="AO35" s="20">
        <f>VLOOKUP($B35,'[1]IAC - Base'!$A$6:$BH$45,'[1]IAC - Base'!AP$1,0)</f>
        <v>1370756933.03</v>
      </c>
      <c r="AP35" s="20">
        <f>VLOOKUP($B35,'[1]IAC - Base'!$A$6:$BH$45,'[1]IAC - Base'!AQ$1,0)</f>
        <v>1038215323.29</v>
      </c>
      <c r="AQ35" s="20">
        <f>VLOOKUP($B35,'[1]IAC - Base'!$A$6:$BH$45,'[1]IAC - Base'!AR$1,0)</f>
        <v>1472325458.99</v>
      </c>
      <c r="AR35" s="20">
        <f>VLOOKUP($B35,'[1]IAC - Base'!$A$6:$BH$45,'[1]IAC - Base'!AS$1,0)</f>
        <v>1393705165.6500001</v>
      </c>
      <c r="AS35" s="20">
        <f>VLOOKUP($B35,'[1]IAC - Base'!$A$6:$BH$45,'[1]IAC - Base'!AT$1,0)</f>
        <v>1319972669.6300001</v>
      </c>
      <c r="AT35" s="20">
        <f>VLOOKUP($B35,'[1]IAC - Base'!$A$6:$BH$45,'[1]IAC - Base'!AU$1,0)</f>
        <v>1385352336.8</v>
      </c>
      <c r="AU35" s="20">
        <f>VLOOKUP($B35,'[1]IAC - Base'!$A$6:$BH$45,'[1]IAC - Base'!AV$1,0)</f>
        <v>1103159830.95</v>
      </c>
      <c r="AV35" s="20">
        <f>VLOOKUP($B35,'[1]IAC - Base'!$A$6:$BH$45,'[1]IAC - Base'!AW$1,0)</f>
        <v>1092252180.0699999</v>
      </c>
      <c r="AW35" s="20">
        <f>VLOOKUP($B35,'[1]IAC - Base'!$A$6:$BH$45,'[1]IAC - Base'!AX$1,0)</f>
        <v>1454121589.74</v>
      </c>
      <c r="AX35" s="20">
        <f>VLOOKUP($B35,'[1]IAC - Base'!$A$6:$BH$45,'[1]IAC - Base'!AY$1,0)</f>
        <v>1238802258.8599999</v>
      </c>
      <c r="AY35" s="20">
        <f>VLOOKUP($B35,'[1]IAC - Base'!$A$6:$BH$45,'[1]IAC - Base'!AZ$1,0)</f>
        <v>1161021432.05</v>
      </c>
      <c r="AZ35" s="20">
        <f>VLOOKUP($B35,'[1]IAC - Base'!$A$6:$BH$45,'[1]IAC - Base'!BA$1,0)</f>
        <v>1434202364.02</v>
      </c>
      <c r="BA35" s="20">
        <f>VLOOKUP($B35,'[1]IAC - Base'!$A$6:$BH$45,'[1]IAC - Base'!BB$1,0)</f>
        <v>1385352338</v>
      </c>
      <c r="BB35" s="20">
        <f>VLOOKUP($B35,'[1]IAC - Base'!$A$6:$BH$45,'[1]IAC - Base'!BC$1,0)</f>
        <v>1063321379.53</v>
      </c>
      <c r="BC35" s="20">
        <f>VLOOKUP($B35,'[1]IAC - Base'!$A$6:$BH$45,'[1]IAC - Base'!BD$1,0)</f>
        <v>1483052390.28</v>
      </c>
      <c r="BD35" s="20">
        <f>VLOOKUP($B35,'[1]IAC - Base'!$A$6:$BH$45,'[1]IAC - Base'!BE$1,0)</f>
        <v>1356421537.45</v>
      </c>
      <c r="BE35" s="20">
        <f>VLOOKUP($B35,'[1]IAC - Base'!$A$6:$BH$45,'[1]IAC - Base'!BF$1,0)</f>
        <v>1287652284.8800001</v>
      </c>
      <c r="BF35" s="20">
        <f t="shared" si="2"/>
        <v>30683257638.990002</v>
      </c>
      <c r="BG35" s="21">
        <f t="shared" si="3"/>
        <v>0.99999999999967415</v>
      </c>
    </row>
    <row r="36" spans="1:59" ht="15" customHeight="1" x14ac:dyDescent="0.25">
      <c r="B36" s="19" t="s">
        <v>82</v>
      </c>
      <c r="C36" s="19" t="s">
        <v>42</v>
      </c>
      <c r="D36" s="19" t="s">
        <v>58</v>
      </c>
      <c r="E36" s="19" t="s">
        <v>83</v>
      </c>
      <c r="F36" s="20">
        <f>VLOOKUP($B36,'[1]IAC - Base'!$A$6:$BH$45,'[1]IAC - Base'!G$1,0)</f>
        <v>471980337</v>
      </c>
      <c r="G36" s="20">
        <f>VLOOKUP($B36,'[1]IAC - Base'!$A$6:$BH$45,'[1]IAC - Base'!H$1,0)</f>
        <v>0</v>
      </c>
      <c r="H36" s="20">
        <f>VLOOKUP($B36,'[1]IAC - Base'!$A$6:$BH$45,'[1]IAC - Base'!I$1,0)</f>
        <v>0</v>
      </c>
      <c r="I36" s="20">
        <f>VLOOKUP($B36,'[1]IAC - Base'!$A$6:$BH$45,'[1]IAC - Base'!J$1,0)</f>
        <v>0</v>
      </c>
      <c r="J36" s="20">
        <f>VLOOKUP($B36,'[1]IAC - Base'!$A$6:$BH$45,'[1]IAC - Base'!K$1,0)</f>
        <v>0</v>
      </c>
      <c r="K36" s="20">
        <f>VLOOKUP($B36,'[1]IAC - Base'!$A$6:$BH$45,'[1]IAC - Base'!L$1,0)</f>
        <v>94135991.159999996</v>
      </c>
      <c r="L36" s="20">
        <f>VLOOKUP($B36,'[1]IAC - Base'!$A$6:$BH$45,'[1]IAC - Base'!M$1,0)</f>
        <v>15489975.74</v>
      </c>
      <c r="M36" s="20">
        <f>VLOOKUP($B36,'[1]IAC - Base'!$A$6:$BH$45,'[1]IAC - Base'!N$1,0)</f>
        <v>16917689.350000001</v>
      </c>
      <c r="N36" s="20">
        <f>VLOOKUP($B36,'[1]IAC - Base'!$A$6:$BH$45,'[1]IAC - Base'!O$1,0)</f>
        <v>13921030.779999999</v>
      </c>
      <c r="O36" s="20">
        <f>VLOOKUP($B36,'[1]IAC - Base'!$A$6:$BH$45,'[1]IAC - Base'!P$1,0)</f>
        <v>16097394.689999999</v>
      </c>
      <c r="P36" s="20">
        <f>VLOOKUP($B36,'[1]IAC - Base'!$A$6:$BH$45,'[1]IAC - Base'!Q$1,0)</f>
        <v>0</v>
      </c>
      <c r="Q36" s="20">
        <f>VLOOKUP($B36,'[1]IAC - Base'!$A$6:$BH$45,'[1]IAC - Base'!R$1,0)</f>
        <v>0</v>
      </c>
      <c r="R36" s="20">
        <f>VLOOKUP($B36,'[1]IAC - Base'!$A$6:$BH$45,'[1]IAC - Base'!S$1,0)</f>
        <v>0</v>
      </c>
      <c r="S36" s="20">
        <f>VLOOKUP($B36,'[1]IAC - Base'!$A$6:$BH$45,'[1]IAC - Base'!T$1,0)</f>
        <v>0</v>
      </c>
      <c r="T36" s="20">
        <f>VLOOKUP($B36,'[1]IAC - Base'!$A$6:$BH$45,'[1]IAC - Base'!U$1,0)</f>
        <v>0</v>
      </c>
      <c r="U36" s="20">
        <f>VLOOKUP($B36,'[1]IAC - Base'!$A$6:$BH$45,'[1]IAC - Base'!V$1,0)</f>
        <v>0</v>
      </c>
      <c r="V36" s="20">
        <f>VLOOKUP($B36,'[1]IAC - Base'!$A$6:$BH$45,'[1]IAC - Base'!W$1,0)</f>
        <v>0</v>
      </c>
      <c r="W36" s="20">
        <f>VLOOKUP($B36,'[1]IAC - Base'!$A$6:$BH$45,'[1]IAC - Base'!X$1,0)</f>
        <v>0</v>
      </c>
      <c r="X36" s="20">
        <f>VLOOKUP($B36,'[1]IAC - Base'!$A$6:$BH$45,'[1]IAC - Base'!Y$1,0)</f>
        <v>0</v>
      </c>
      <c r="Y36" s="20">
        <f>VLOOKUP($B36,'[1]IAC - Base'!$A$6:$BH$45,'[1]IAC - Base'!Z$1,0)</f>
        <v>0</v>
      </c>
      <c r="Z36" s="20">
        <f>VLOOKUP($B36,'[1]IAC - Base'!$A$6:$BH$45,'[1]IAC - Base'!AA$1,0)</f>
        <v>0</v>
      </c>
      <c r="AA36" s="20">
        <f>VLOOKUP($B36,'[1]IAC - Base'!$A$6:$BH$45,'[1]IAC - Base'!AB$1,0)</f>
        <v>0</v>
      </c>
      <c r="AB36" s="20">
        <f>VLOOKUP($B36,'[1]IAC - Base'!$A$6:$BH$45,'[1]IAC - Base'!AC$1,0)</f>
        <v>0</v>
      </c>
      <c r="AC36" s="20">
        <f>VLOOKUP($B36,'[1]IAC - Base'!$A$6:$BH$45,'[1]IAC - Base'!AD$1,0)</f>
        <v>0</v>
      </c>
      <c r="AD36" s="20">
        <f>VLOOKUP($B36,'[1]IAC - Base'!$A$6:$BH$45,'[1]IAC - Base'!AE$1,0)</f>
        <v>0</v>
      </c>
      <c r="AE36" s="20">
        <f t="shared" si="0"/>
        <v>156562081.72</v>
      </c>
      <c r="AF36" s="21">
        <f t="shared" si="1"/>
        <v>0.33171314448211853</v>
      </c>
      <c r="AH36" s="20">
        <f>VLOOKUP($B36,'[1]IAC - Base'!$A$6:$BH$45,'[1]IAC - Base'!AI$1,0)</f>
        <v>22647812.5</v>
      </c>
      <c r="AI36" s="20">
        <f>VLOOKUP($B36,'[1]IAC - Base'!$A$6:$BH$45,'[1]IAC - Base'!AJ$1,0)</f>
        <v>16676177.4</v>
      </c>
      <c r="AJ36" s="20">
        <f>VLOOKUP($B36,'[1]IAC - Base'!$A$6:$BH$45,'[1]IAC - Base'!AK$1,0)</f>
        <v>17179546.48</v>
      </c>
      <c r="AK36" s="20">
        <f>VLOOKUP($B36,'[1]IAC - Base'!$A$6:$BH$45,'[1]IAC - Base'!AL$1,0)</f>
        <v>20657267.48</v>
      </c>
      <c r="AL36" s="20">
        <f>VLOOKUP($B36,'[1]IAC - Base'!$A$6:$BH$45,'[1]IAC - Base'!AM$1,0)</f>
        <v>17960727.34</v>
      </c>
      <c r="AM36" s="20">
        <f>VLOOKUP($B36,'[1]IAC - Base'!$A$6:$BH$45,'[1]IAC - Base'!AN$1,0)</f>
        <v>15970182.300000001</v>
      </c>
      <c r="AN36" s="20">
        <f>VLOOKUP($B36,'[1]IAC - Base'!$A$6:$BH$45,'[1]IAC - Base'!AO$1,0)</f>
        <v>21866631.649999999</v>
      </c>
      <c r="AO36" s="20">
        <f>VLOOKUP($B36,'[1]IAC - Base'!$A$6:$BH$45,'[1]IAC - Base'!AP$1,0)</f>
        <v>21085450.800000001</v>
      </c>
      <c r="AP36" s="20">
        <f>VLOOKUP($B36,'[1]IAC - Base'!$A$6:$BH$45,'[1]IAC - Base'!AQ$1,0)</f>
        <v>15970182.300000001</v>
      </c>
      <c r="AQ36" s="20">
        <f>VLOOKUP($B36,'[1]IAC - Base'!$A$6:$BH$45,'[1]IAC - Base'!AR$1,0)</f>
        <v>22647812.510000002</v>
      </c>
      <c r="AR36" s="20">
        <f>VLOOKUP($B36,'[1]IAC - Base'!$A$6:$BH$45,'[1]IAC - Base'!AS$1,0)</f>
        <v>21438448.34</v>
      </c>
      <c r="AS36" s="20">
        <f>VLOOKUP($B36,'[1]IAC - Base'!$A$6:$BH$45,'[1]IAC - Base'!AT$1,0)</f>
        <v>20304269.93</v>
      </c>
      <c r="AT36" s="20">
        <f>VLOOKUP($B36,'[1]IAC - Base'!$A$6:$BH$45,'[1]IAC - Base'!AU$1,0)</f>
        <v>21309962.280000001</v>
      </c>
      <c r="AU36" s="20">
        <f>VLOOKUP($B36,'[1]IAC - Base'!$A$6:$BH$45,'[1]IAC - Base'!AV$1,0)</f>
        <v>16969180.879999999</v>
      </c>
      <c r="AV36" s="20">
        <f>VLOOKUP($B36,'[1]IAC - Base'!$A$6:$BH$45,'[1]IAC - Base'!AW$1,0)</f>
        <v>16801395.670000002</v>
      </c>
      <c r="AW36" s="20">
        <f>VLOOKUP($B36,'[1]IAC - Base'!$A$6:$BH$45,'[1]IAC - Base'!AX$1,0)</f>
        <v>22367794.390000001</v>
      </c>
      <c r="AX36" s="20">
        <f>VLOOKUP($B36,'[1]IAC - Base'!$A$6:$BH$45,'[1]IAC - Base'!AY$1,0)</f>
        <v>19055678.98</v>
      </c>
      <c r="AY36" s="20">
        <f>VLOOKUP($B36,'[1]IAC - Base'!$A$6:$BH$45,'[1]IAC - Base'!AZ$1,0)</f>
        <v>17859227.77</v>
      </c>
      <c r="AZ36" s="20">
        <f>VLOOKUP($B36,'[1]IAC - Base'!$A$6:$BH$45,'[1]IAC - Base'!BA$1,0)</f>
        <v>22061390.059999999</v>
      </c>
      <c r="BA36" s="20">
        <f>VLOOKUP($B36,'[1]IAC - Base'!$A$6:$BH$45,'[1]IAC - Base'!BB$1,0)</f>
        <v>21309962.289999999</v>
      </c>
      <c r="BB36" s="20">
        <f>VLOOKUP($B36,'[1]IAC - Base'!$A$6:$BH$45,'[1]IAC - Base'!BC$1,0)</f>
        <v>16356372.23</v>
      </c>
      <c r="BC36" s="20">
        <f>VLOOKUP($B36,'[1]IAC - Base'!$A$6:$BH$45,'[1]IAC - Base'!BD$1,0)</f>
        <v>22812817.829999998</v>
      </c>
      <c r="BD36" s="20">
        <f>VLOOKUP($B36,'[1]IAC - Base'!$A$6:$BH$45,'[1]IAC - Base'!BE$1,0)</f>
        <v>20864938.850000001</v>
      </c>
      <c r="BE36" s="20">
        <f>VLOOKUP($B36,'[1]IAC - Base'!$A$6:$BH$45,'[1]IAC - Base'!BF$1,0)</f>
        <v>19807106.75</v>
      </c>
      <c r="BF36" s="20">
        <f t="shared" si="2"/>
        <v>471980337.01000011</v>
      </c>
      <c r="BG36" s="21">
        <f t="shared" si="3"/>
        <v>1.0000000000211875</v>
      </c>
    </row>
    <row r="37" spans="1:59" ht="15" customHeight="1" x14ac:dyDescent="0.25">
      <c r="B37" s="19" t="s">
        <v>84</v>
      </c>
      <c r="C37" s="19" t="s">
        <v>42</v>
      </c>
      <c r="D37" s="19" t="s">
        <v>43</v>
      </c>
      <c r="E37" s="19" t="s">
        <v>85</v>
      </c>
      <c r="F37" s="20">
        <f>VLOOKUP($B37,'[1]IAC - Base'!$A$6:$BH$45,'[1]IAC - Base'!G$1,0)</f>
        <v>9160798033</v>
      </c>
      <c r="G37" s="20">
        <f>VLOOKUP($B37,'[1]IAC - Base'!$A$6:$BH$45,'[1]IAC - Base'!H$1,0)</f>
        <v>12259028389.959999</v>
      </c>
      <c r="H37" s="20">
        <f>VLOOKUP($B37,'[1]IAC - Base'!$A$6:$BH$45,'[1]IAC - Base'!I$1,0)</f>
        <v>7815637639.4899998</v>
      </c>
      <c r="I37" s="20">
        <f>VLOOKUP($B37,'[1]IAC - Base'!$A$6:$BH$45,'[1]IAC - Base'!J$1,0)</f>
        <v>10407908773.799999</v>
      </c>
      <c r="J37" s="20">
        <f>VLOOKUP($B37,'[1]IAC - Base'!$A$6:$BH$45,'[1]IAC - Base'!K$1,0)</f>
        <v>9533725664.7600002</v>
      </c>
      <c r="K37" s="20">
        <f>VLOOKUP($B37,'[1]IAC - Base'!$A$6:$BH$45,'[1]IAC - Base'!L$1,0)</f>
        <v>-38189188753.909996</v>
      </c>
      <c r="L37" s="20">
        <f>VLOOKUP($B37,'[1]IAC - Base'!$A$6:$BH$45,'[1]IAC - Base'!M$1,0)</f>
        <v>300649260.47000003</v>
      </c>
      <c r="M37" s="20">
        <f>VLOOKUP($B37,'[1]IAC - Base'!$A$6:$BH$45,'[1]IAC - Base'!N$1,0)</f>
        <v>328360152.19</v>
      </c>
      <c r="N37" s="20">
        <f>VLOOKUP($B37,'[1]IAC - Base'!$A$6:$BH$45,'[1]IAC - Base'!O$1,0)</f>
        <v>270197170.01999998</v>
      </c>
      <c r="O37" s="20">
        <f>VLOOKUP($B37,'[1]IAC - Base'!$A$6:$BH$45,'[1]IAC - Base'!P$1,0)</f>
        <v>312438824.32999998</v>
      </c>
      <c r="P37" s="20">
        <f>VLOOKUP($B37,'[1]IAC - Base'!$A$6:$BH$45,'[1]IAC - Base'!Q$1,0)</f>
        <v>0</v>
      </c>
      <c r="Q37" s="20">
        <f>VLOOKUP($B37,'[1]IAC - Base'!$A$6:$BH$45,'[1]IAC - Base'!R$1,0)</f>
        <v>0</v>
      </c>
      <c r="R37" s="20">
        <f>VLOOKUP($B37,'[1]IAC - Base'!$A$6:$BH$45,'[1]IAC - Base'!S$1,0)</f>
        <v>0</v>
      </c>
      <c r="S37" s="20">
        <f>VLOOKUP($B37,'[1]IAC - Base'!$A$6:$BH$45,'[1]IAC - Base'!T$1,0)</f>
        <v>0</v>
      </c>
      <c r="T37" s="20">
        <f>VLOOKUP($B37,'[1]IAC - Base'!$A$6:$BH$45,'[1]IAC - Base'!U$1,0)</f>
        <v>0</v>
      </c>
      <c r="U37" s="20">
        <f>VLOOKUP($B37,'[1]IAC - Base'!$A$6:$BH$45,'[1]IAC - Base'!V$1,0)</f>
        <v>0</v>
      </c>
      <c r="V37" s="20">
        <f>VLOOKUP($B37,'[1]IAC - Base'!$A$6:$BH$45,'[1]IAC - Base'!W$1,0)</f>
        <v>0</v>
      </c>
      <c r="W37" s="20">
        <f>VLOOKUP($B37,'[1]IAC - Base'!$A$6:$BH$45,'[1]IAC - Base'!X$1,0)</f>
        <v>0</v>
      </c>
      <c r="X37" s="20">
        <f>VLOOKUP($B37,'[1]IAC - Base'!$A$6:$BH$45,'[1]IAC - Base'!Y$1,0)</f>
        <v>0</v>
      </c>
      <c r="Y37" s="20">
        <f>VLOOKUP($B37,'[1]IAC - Base'!$A$6:$BH$45,'[1]IAC - Base'!Z$1,0)</f>
        <v>0</v>
      </c>
      <c r="Z37" s="20">
        <f>VLOOKUP($B37,'[1]IAC - Base'!$A$6:$BH$45,'[1]IAC - Base'!AA$1,0)</f>
        <v>0</v>
      </c>
      <c r="AA37" s="20">
        <f>VLOOKUP($B37,'[1]IAC - Base'!$A$6:$BH$45,'[1]IAC - Base'!AB$1,0)</f>
        <v>0</v>
      </c>
      <c r="AB37" s="20">
        <f>VLOOKUP($B37,'[1]IAC - Base'!$A$6:$BH$45,'[1]IAC - Base'!AC$1,0)</f>
        <v>0</v>
      </c>
      <c r="AC37" s="20">
        <f>VLOOKUP($B37,'[1]IAC - Base'!$A$6:$BH$45,'[1]IAC - Base'!AD$1,0)</f>
        <v>0</v>
      </c>
      <c r="AD37" s="20">
        <f>VLOOKUP($B37,'[1]IAC - Base'!$A$6:$BH$45,'[1]IAC - Base'!AE$1,0)</f>
        <v>0</v>
      </c>
      <c r="AE37" s="20">
        <f t="shared" si="0"/>
        <v>3038757121.1099982</v>
      </c>
      <c r="AF37" s="21">
        <f t="shared" si="1"/>
        <v>0.33171314444041494</v>
      </c>
      <c r="AH37" s="20">
        <f>VLOOKUP($B37,'[1]IAC - Base'!$A$6:$BH$45,'[1]IAC - Base'!AI$1,0)</f>
        <v>439577710.99000001</v>
      </c>
      <c r="AI37" s="20">
        <f>VLOOKUP($B37,'[1]IAC - Base'!$A$6:$BH$45,'[1]IAC - Base'!AJ$1,0)</f>
        <v>323672579.43000001</v>
      </c>
      <c r="AJ37" s="20">
        <f>VLOOKUP($B37,'[1]IAC - Base'!$A$6:$BH$45,'[1]IAC - Base'!AK$1,0)</f>
        <v>333442610.38</v>
      </c>
      <c r="AK37" s="20">
        <f>VLOOKUP($B37,'[1]IAC - Base'!$A$6:$BH$45,'[1]IAC - Base'!AL$1,0)</f>
        <v>400942667.45999998</v>
      </c>
      <c r="AL37" s="20">
        <f>VLOOKUP($B37,'[1]IAC - Base'!$A$6:$BH$45,'[1]IAC - Base'!AM$1,0)</f>
        <v>348604767.62</v>
      </c>
      <c r="AM37" s="20">
        <f>VLOOKUP($B37,'[1]IAC - Base'!$A$6:$BH$45,'[1]IAC - Base'!AN$1,0)</f>
        <v>309969723.66000003</v>
      </c>
      <c r="AN37" s="20">
        <f>VLOOKUP($B37,'[1]IAC - Base'!$A$6:$BH$45,'[1]IAC - Base'!AO$1,0)</f>
        <v>424415554.07999998</v>
      </c>
      <c r="AO37" s="20">
        <f>VLOOKUP($B37,'[1]IAC - Base'!$A$6:$BH$45,'[1]IAC - Base'!AP$1,0)</f>
        <v>409253396.87</v>
      </c>
      <c r="AP37" s="20">
        <f>VLOOKUP($B37,'[1]IAC - Base'!$A$6:$BH$45,'[1]IAC - Base'!AQ$1,0)</f>
        <v>309969723.66000003</v>
      </c>
      <c r="AQ37" s="20">
        <f>VLOOKUP($B37,'[1]IAC - Base'!$A$6:$BH$45,'[1]IAC - Base'!AR$1,0)</f>
        <v>439577711.31999999</v>
      </c>
      <c r="AR37" s="20">
        <f>VLOOKUP($B37,'[1]IAC - Base'!$A$6:$BH$45,'[1]IAC - Base'!AS$1,0)</f>
        <v>416104824.67000002</v>
      </c>
      <c r="AS37" s="20">
        <f>VLOOKUP($B37,'[1]IAC - Base'!$A$6:$BH$45,'[1]IAC - Base'!AT$1,0)</f>
        <v>394091239.51999998</v>
      </c>
      <c r="AT37" s="20">
        <f>VLOOKUP($B37,'[1]IAC - Base'!$A$6:$BH$45,'[1]IAC - Base'!AU$1,0)</f>
        <v>413611002.81999999</v>
      </c>
      <c r="AU37" s="20">
        <f>VLOOKUP($B37,'[1]IAC - Base'!$A$6:$BH$45,'[1]IAC - Base'!AV$1,0)</f>
        <v>329359565.67000002</v>
      </c>
      <c r="AV37" s="20">
        <f>VLOOKUP($B37,'[1]IAC - Base'!$A$6:$BH$45,'[1]IAC - Base'!AW$1,0)</f>
        <v>326102975.77999997</v>
      </c>
      <c r="AW37" s="20">
        <f>VLOOKUP($B37,'[1]IAC - Base'!$A$6:$BH$45,'[1]IAC - Base'!AX$1,0)</f>
        <v>434142761.36000001</v>
      </c>
      <c r="AX37" s="20">
        <f>VLOOKUP($B37,'[1]IAC - Base'!$A$6:$BH$45,'[1]IAC - Base'!AY$1,0)</f>
        <v>369856989.43000001</v>
      </c>
      <c r="AY37" s="20">
        <f>VLOOKUP($B37,'[1]IAC - Base'!$A$6:$BH$45,'[1]IAC - Base'!AZ$1,0)</f>
        <v>346634734.02999997</v>
      </c>
      <c r="AZ37" s="20">
        <f>VLOOKUP($B37,'[1]IAC - Base'!$A$6:$BH$45,'[1]IAC - Base'!BA$1,0)</f>
        <v>428195674.32999998</v>
      </c>
      <c r="BA37" s="20">
        <f>VLOOKUP($B37,'[1]IAC - Base'!$A$6:$BH$45,'[1]IAC - Base'!BB$1,0)</f>
        <v>413611003.18000001</v>
      </c>
      <c r="BB37" s="20">
        <f>VLOOKUP($B37,'[1]IAC - Base'!$A$6:$BH$45,'[1]IAC - Base'!BC$1,0)</f>
        <v>317465391.60000002</v>
      </c>
      <c r="BC37" s="20">
        <f>VLOOKUP($B37,'[1]IAC - Base'!$A$6:$BH$45,'[1]IAC - Base'!BD$1,0)</f>
        <v>442780345.54000002</v>
      </c>
      <c r="BD37" s="20">
        <f>VLOOKUP($B37,'[1]IAC - Base'!$A$6:$BH$45,'[1]IAC - Base'!BE$1,0)</f>
        <v>404973419</v>
      </c>
      <c r="BE37" s="20">
        <f>VLOOKUP($B37,'[1]IAC - Base'!$A$6:$BH$45,'[1]IAC - Base'!BF$1,0)</f>
        <v>384441660.56999999</v>
      </c>
      <c r="BF37" s="20">
        <f t="shared" si="2"/>
        <v>9160798032.9699993</v>
      </c>
      <c r="BG37" s="21">
        <f t="shared" si="3"/>
        <v>0.99999999999672506</v>
      </c>
    </row>
    <row r="38" spans="1:59" ht="15" customHeight="1" x14ac:dyDescent="0.25">
      <c r="B38" s="19" t="s">
        <v>86</v>
      </c>
      <c r="C38" s="19" t="s">
        <v>42</v>
      </c>
      <c r="D38" s="19" t="s">
        <v>51</v>
      </c>
      <c r="E38" s="19" t="s">
        <v>87</v>
      </c>
      <c r="F38" s="20">
        <f>VLOOKUP($B38,'[1]IAC - Base'!$A$6:$BH$45,'[1]IAC - Base'!G$1,0)</f>
        <v>5032827499</v>
      </c>
      <c r="G38" s="20">
        <f>VLOOKUP($B38,'[1]IAC - Base'!$A$6:$BH$45,'[1]IAC - Base'!H$1,0)</f>
        <v>0</v>
      </c>
      <c r="H38" s="20">
        <f>VLOOKUP($B38,'[1]IAC - Base'!$A$6:$BH$45,'[1]IAC - Base'!I$1,0)</f>
        <v>0</v>
      </c>
      <c r="I38" s="20">
        <f>VLOOKUP($B38,'[1]IAC - Base'!$A$6:$BH$45,'[1]IAC - Base'!J$1,0)</f>
        <v>0</v>
      </c>
      <c r="J38" s="20">
        <f>VLOOKUP($B38,'[1]IAC - Base'!$A$6:$BH$45,'[1]IAC - Base'!K$1,0)</f>
        <v>0</v>
      </c>
      <c r="K38" s="20">
        <f>VLOOKUP($B38,'[1]IAC - Base'!$A$6:$BH$45,'[1]IAC - Base'!L$1,0)</f>
        <v>1003792251.01</v>
      </c>
      <c r="L38" s="20">
        <f>VLOOKUP($B38,'[1]IAC - Base'!$A$6:$BH$45,'[1]IAC - Base'!M$1,0)</f>
        <v>165172931.47</v>
      </c>
      <c r="M38" s="20">
        <f>VLOOKUP($B38,'[1]IAC - Base'!$A$6:$BH$45,'[1]IAC - Base'!N$1,0)</f>
        <v>180396947.69</v>
      </c>
      <c r="N38" s="20">
        <f>VLOOKUP($B38,'[1]IAC - Base'!$A$6:$BH$45,'[1]IAC - Base'!O$1,0)</f>
        <v>148442935.05000001</v>
      </c>
      <c r="O38" s="20">
        <f>VLOOKUP($B38,'[1]IAC - Base'!$A$6:$BH$45,'[1]IAC - Base'!P$1,0)</f>
        <v>171649969.91999999</v>
      </c>
      <c r="P38" s="20">
        <f>VLOOKUP($B38,'[1]IAC - Base'!$A$6:$BH$45,'[1]IAC - Base'!Q$1,0)</f>
        <v>0</v>
      </c>
      <c r="Q38" s="20">
        <f>VLOOKUP($B38,'[1]IAC - Base'!$A$6:$BH$45,'[1]IAC - Base'!R$1,0)</f>
        <v>0</v>
      </c>
      <c r="R38" s="20">
        <f>VLOOKUP($B38,'[1]IAC - Base'!$A$6:$BH$45,'[1]IAC - Base'!S$1,0)</f>
        <v>0</v>
      </c>
      <c r="S38" s="20">
        <f>VLOOKUP($B38,'[1]IAC - Base'!$A$6:$BH$45,'[1]IAC - Base'!T$1,0)</f>
        <v>0</v>
      </c>
      <c r="T38" s="20">
        <f>VLOOKUP($B38,'[1]IAC - Base'!$A$6:$BH$45,'[1]IAC - Base'!U$1,0)</f>
        <v>0</v>
      </c>
      <c r="U38" s="20">
        <f>VLOOKUP($B38,'[1]IAC - Base'!$A$6:$BH$45,'[1]IAC - Base'!V$1,0)</f>
        <v>0</v>
      </c>
      <c r="V38" s="20">
        <f>VLOOKUP($B38,'[1]IAC - Base'!$A$6:$BH$45,'[1]IAC - Base'!W$1,0)</f>
        <v>0</v>
      </c>
      <c r="W38" s="20">
        <f>VLOOKUP($B38,'[1]IAC - Base'!$A$6:$BH$45,'[1]IAC - Base'!X$1,0)</f>
        <v>0</v>
      </c>
      <c r="X38" s="20">
        <f>VLOOKUP($B38,'[1]IAC - Base'!$A$6:$BH$45,'[1]IAC - Base'!Y$1,0)</f>
        <v>0</v>
      </c>
      <c r="Y38" s="20">
        <f>VLOOKUP($B38,'[1]IAC - Base'!$A$6:$BH$45,'[1]IAC - Base'!Z$1,0)</f>
        <v>0</v>
      </c>
      <c r="Z38" s="20">
        <f>VLOOKUP($B38,'[1]IAC - Base'!$A$6:$BH$45,'[1]IAC - Base'!AA$1,0)</f>
        <v>0</v>
      </c>
      <c r="AA38" s="20">
        <f>VLOOKUP($B38,'[1]IAC - Base'!$A$6:$BH$45,'[1]IAC - Base'!AB$1,0)</f>
        <v>0</v>
      </c>
      <c r="AB38" s="20">
        <f>VLOOKUP($B38,'[1]IAC - Base'!$A$6:$BH$45,'[1]IAC - Base'!AC$1,0)</f>
        <v>0</v>
      </c>
      <c r="AC38" s="20">
        <f>VLOOKUP($B38,'[1]IAC - Base'!$A$6:$BH$45,'[1]IAC - Base'!AD$1,0)</f>
        <v>0</v>
      </c>
      <c r="AD38" s="20">
        <f>VLOOKUP($B38,'[1]IAC - Base'!$A$6:$BH$45,'[1]IAC - Base'!AE$1,0)</f>
        <v>0</v>
      </c>
      <c r="AE38" s="20">
        <f t="shared" si="0"/>
        <v>1669455035.1400001</v>
      </c>
      <c r="AF38" s="21">
        <f t="shared" si="1"/>
        <v>0.33171314444449235</v>
      </c>
      <c r="AH38" s="20">
        <f>VLOOKUP($B38,'[1]IAC - Base'!$A$6:$BH$45,'[1]IAC - Base'!AI$1,0)</f>
        <v>241498479.05000001</v>
      </c>
      <c r="AI38" s="20">
        <f>VLOOKUP($B38,'[1]IAC - Base'!$A$6:$BH$45,'[1]IAC - Base'!AJ$1,0)</f>
        <v>177821654.03</v>
      </c>
      <c r="AJ38" s="20">
        <f>VLOOKUP($B38,'[1]IAC - Base'!$A$6:$BH$45,'[1]IAC - Base'!AK$1,0)</f>
        <v>183189186.44999999</v>
      </c>
      <c r="AK38" s="20">
        <f>VLOOKUP($B38,'[1]IAC - Base'!$A$6:$BH$45,'[1]IAC - Base'!AL$1,0)</f>
        <v>220272870.88999999</v>
      </c>
      <c r="AL38" s="20">
        <f>VLOOKUP($B38,'[1]IAC - Base'!$A$6:$BH$45,'[1]IAC - Base'!AM$1,0)</f>
        <v>191519085.40000001</v>
      </c>
      <c r="AM38" s="20">
        <f>VLOOKUP($B38,'[1]IAC - Base'!$A$6:$BH$45,'[1]IAC - Base'!AN$1,0)</f>
        <v>170293477</v>
      </c>
      <c r="AN38" s="20">
        <f>VLOOKUP($B38,'[1]IAC - Base'!$A$6:$BH$45,'[1]IAC - Base'!AO$1,0)</f>
        <v>233168580.28</v>
      </c>
      <c r="AO38" s="20">
        <f>VLOOKUP($B38,'[1]IAC - Base'!$A$6:$BH$45,'[1]IAC - Base'!AP$1,0)</f>
        <v>224838681.34999999</v>
      </c>
      <c r="AP38" s="20">
        <f>VLOOKUP($B38,'[1]IAC - Base'!$A$6:$BH$45,'[1]IAC - Base'!AQ$1,0)</f>
        <v>170293477</v>
      </c>
      <c r="AQ38" s="20">
        <f>VLOOKUP($B38,'[1]IAC - Base'!$A$6:$BH$45,'[1]IAC - Base'!AR$1,0)</f>
        <v>241498479.22</v>
      </c>
      <c r="AR38" s="20">
        <f>VLOOKUP($B38,'[1]IAC - Base'!$A$6:$BH$45,'[1]IAC - Base'!AS$1,0)</f>
        <v>228602769.81</v>
      </c>
      <c r="AS38" s="20">
        <f>VLOOKUP($B38,'[1]IAC - Base'!$A$6:$BH$45,'[1]IAC - Base'!AT$1,0)</f>
        <v>216508782.34</v>
      </c>
      <c r="AT38" s="20">
        <f>VLOOKUP($B38,'[1]IAC - Base'!$A$6:$BH$45,'[1]IAC - Base'!AU$1,0)</f>
        <v>227232695.38</v>
      </c>
      <c r="AU38" s="20">
        <f>VLOOKUP($B38,'[1]IAC - Base'!$A$6:$BH$45,'[1]IAC - Base'!AV$1,0)</f>
        <v>180946012.91</v>
      </c>
      <c r="AV38" s="20">
        <f>VLOOKUP($B38,'[1]IAC - Base'!$A$6:$BH$45,'[1]IAC - Base'!AW$1,0)</f>
        <v>179156883.28999999</v>
      </c>
      <c r="AW38" s="20">
        <f>VLOOKUP($B38,'[1]IAC - Base'!$A$6:$BH$45,'[1]IAC - Base'!AX$1,0)</f>
        <v>238512585.91</v>
      </c>
      <c r="AX38" s="20">
        <f>VLOOKUP($B38,'[1]IAC - Base'!$A$6:$BH$45,'[1]IAC - Base'!AY$1,0)</f>
        <v>203194789.40000001</v>
      </c>
      <c r="AY38" s="20">
        <f>VLOOKUP($B38,'[1]IAC - Base'!$A$6:$BH$45,'[1]IAC - Base'!AZ$1,0)</f>
        <v>190436773.66</v>
      </c>
      <c r="AZ38" s="20">
        <f>VLOOKUP($B38,'[1]IAC - Base'!$A$6:$BH$45,'[1]IAC - Base'!BA$1,0)</f>
        <v>235245330.91</v>
      </c>
      <c r="BA38" s="20">
        <f>VLOOKUP($B38,'[1]IAC - Base'!$A$6:$BH$45,'[1]IAC - Base'!BB$1,0)</f>
        <v>227232695.58000001</v>
      </c>
      <c r="BB38" s="20">
        <f>VLOOKUP($B38,'[1]IAC - Base'!$A$6:$BH$45,'[1]IAC - Base'!BC$1,0)</f>
        <v>174411502.91999999</v>
      </c>
      <c r="BC38" s="20">
        <f>VLOOKUP($B38,'[1]IAC - Base'!$A$6:$BH$45,'[1]IAC - Base'!BD$1,0)</f>
        <v>243257966.28999999</v>
      </c>
      <c r="BD38" s="20">
        <f>VLOOKUP($B38,'[1]IAC - Base'!$A$6:$BH$45,'[1]IAC - Base'!BE$1,0)</f>
        <v>222487315.21000001</v>
      </c>
      <c r="BE38" s="20">
        <f>VLOOKUP($B38,'[1]IAC - Base'!$A$6:$BH$45,'[1]IAC - Base'!BF$1,0)</f>
        <v>211207424.74000001</v>
      </c>
      <c r="BF38" s="20">
        <f t="shared" si="2"/>
        <v>5032827499.0199995</v>
      </c>
      <c r="BG38" s="21">
        <f t="shared" si="3"/>
        <v>1.0000000000039737</v>
      </c>
    </row>
    <row r="39" spans="1:59" ht="15" customHeight="1" x14ac:dyDescent="0.25">
      <c r="B39" s="19" t="s">
        <v>88</v>
      </c>
      <c r="C39" s="19" t="s">
        <v>42</v>
      </c>
      <c r="D39" s="19" t="s">
        <v>43</v>
      </c>
      <c r="E39" s="19" t="s">
        <v>89</v>
      </c>
      <c r="F39" s="20">
        <f>VLOOKUP($B39,'[1]IAC - Base'!$A$6:$BH$45,'[1]IAC - Base'!G$1,0)</f>
        <v>5660037019</v>
      </c>
      <c r="G39" s="20">
        <f>VLOOKUP($B39,'[1]IAC - Base'!$A$6:$BH$45,'[1]IAC - Base'!H$1,0)</f>
        <v>0</v>
      </c>
      <c r="H39" s="20">
        <f>VLOOKUP($B39,'[1]IAC - Base'!$A$6:$BH$45,'[1]IAC - Base'!I$1,0)</f>
        <v>0</v>
      </c>
      <c r="I39" s="20">
        <f>VLOOKUP($B39,'[1]IAC - Base'!$A$6:$BH$45,'[1]IAC - Base'!J$1,0)</f>
        <v>0</v>
      </c>
      <c r="J39" s="20">
        <f>VLOOKUP($B39,'[1]IAC - Base'!$A$6:$BH$45,'[1]IAC - Base'!K$1,0)</f>
        <v>0</v>
      </c>
      <c r="K39" s="20">
        <f>VLOOKUP($B39,'[1]IAC - Base'!$A$6:$BH$45,'[1]IAC - Base'!L$1,0)</f>
        <v>1128888542.52</v>
      </c>
      <c r="L39" s="20">
        <f>VLOOKUP($B39,'[1]IAC - Base'!$A$6:$BH$45,'[1]IAC - Base'!M$1,0)</f>
        <v>185757391.21000001</v>
      </c>
      <c r="M39" s="20">
        <f>VLOOKUP($B39,'[1]IAC - Base'!$A$6:$BH$45,'[1]IAC - Base'!N$1,0)</f>
        <v>202878680.47</v>
      </c>
      <c r="N39" s="20">
        <f>VLOOKUP($B39,'[1]IAC - Base'!$A$6:$BH$45,'[1]IAC - Base'!O$1,0)</f>
        <v>166942440.96000001</v>
      </c>
      <c r="O39" s="20">
        <f>VLOOKUP($B39,'[1]IAC - Base'!$A$6:$BH$45,'[1]IAC - Base'!P$1,0)</f>
        <v>193041622.09</v>
      </c>
      <c r="P39" s="20">
        <f>VLOOKUP($B39,'[1]IAC - Base'!$A$6:$BH$45,'[1]IAC - Base'!Q$1,0)</f>
        <v>0</v>
      </c>
      <c r="Q39" s="20">
        <f>VLOOKUP($B39,'[1]IAC - Base'!$A$6:$BH$45,'[1]IAC - Base'!R$1,0)</f>
        <v>0</v>
      </c>
      <c r="R39" s="20">
        <f>VLOOKUP($B39,'[1]IAC - Base'!$A$6:$BH$45,'[1]IAC - Base'!S$1,0)</f>
        <v>0</v>
      </c>
      <c r="S39" s="20">
        <f>VLOOKUP($B39,'[1]IAC - Base'!$A$6:$BH$45,'[1]IAC - Base'!T$1,0)</f>
        <v>0</v>
      </c>
      <c r="T39" s="20">
        <f>VLOOKUP($B39,'[1]IAC - Base'!$A$6:$BH$45,'[1]IAC - Base'!U$1,0)</f>
        <v>0</v>
      </c>
      <c r="U39" s="20">
        <f>VLOOKUP($B39,'[1]IAC - Base'!$A$6:$BH$45,'[1]IAC - Base'!V$1,0)</f>
        <v>0</v>
      </c>
      <c r="V39" s="20">
        <f>VLOOKUP($B39,'[1]IAC - Base'!$A$6:$BH$45,'[1]IAC - Base'!W$1,0)</f>
        <v>0</v>
      </c>
      <c r="W39" s="20">
        <f>VLOOKUP($B39,'[1]IAC - Base'!$A$6:$BH$45,'[1]IAC - Base'!X$1,0)</f>
        <v>0</v>
      </c>
      <c r="X39" s="20">
        <f>VLOOKUP($B39,'[1]IAC - Base'!$A$6:$BH$45,'[1]IAC - Base'!Y$1,0)</f>
        <v>0</v>
      </c>
      <c r="Y39" s="20">
        <f>VLOOKUP($B39,'[1]IAC - Base'!$A$6:$BH$45,'[1]IAC - Base'!Z$1,0)</f>
        <v>0</v>
      </c>
      <c r="Z39" s="20">
        <f>VLOOKUP($B39,'[1]IAC - Base'!$A$6:$BH$45,'[1]IAC - Base'!AA$1,0)</f>
        <v>0</v>
      </c>
      <c r="AA39" s="20">
        <f>VLOOKUP($B39,'[1]IAC - Base'!$A$6:$BH$45,'[1]IAC - Base'!AB$1,0)</f>
        <v>0</v>
      </c>
      <c r="AB39" s="20">
        <f>VLOOKUP($B39,'[1]IAC - Base'!$A$6:$BH$45,'[1]IAC - Base'!AC$1,0)</f>
        <v>0</v>
      </c>
      <c r="AC39" s="20">
        <f>VLOOKUP($B39,'[1]IAC - Base'!$A$6:$BH$45,'[1]IAC - Base'!AD$1,0)</f>
        <v>0</v>
      </c>
      <c r="AD39" s="20">
        <f>VLOOKUP($B39,'[1]IAC - Base'!$A$6:$BH$45,'[1]IAC - Base'!AE$1,0)</f>
        <v>0</v>
      </c>
      <c r="AE39" s="20">
        <f t="shared" si="0"/>
        <v>1877508677.25</v>
      </c>
      <c r="AF39" s="21">
        <f t="shared" si="1"/>
        <v>0.33171314444542505</v>
      </c>
      <c r="AH39" s="20">
        <f>VLOOKUP($B39,'[1]IAC - Base'!$A$6:$BH$45,'[1]IAC - Base'!AI$1,0)</f>
        <v>271594909.95999998</v>
      </c>
      <c r="AI39" s="20">
        <f>VLOOKUP($B39,'[1]IAC - Base'!$A$6:$BH$45,'[1]IAC - Base'!AJ$1,0)</f>
        <v>199982444.22</v>
      </c>
      <c r="AJ39" s="20">
        <f>VLOOKUP($B39,'[1]IAC - Base'!$A$6:$BH$45,'[1]IAC - Base'!AK$1,0)</f>
        <v>206018898.31999999</v>
      </c>
      <c r="AK39" s="20">
        <f>VLOOKUP($B39,'[1]IAC - Base'!$A$6:$BH$45,'[1]IAC - Base'!AL$1,0)</f>
        <v>247724088.25</v>
      </c>
      <c r="AL39" s="20">
        <f>VLOOKUP($B39,'[1]IAC - Base'!$A$6:$BH$45,'[1]IAC - Base'!AM$1,0)</f>
        <v>215386899.99000001</v>
      </c>
      <c r="AM39" s="20">
        <f>VLOOKUP($B39,'[1]IAC - Base'!$A$6:$BH$45,'[1]IAC - Base'!AN$1,0)</f>
        <v>191516078.00999999</v>
      </c>
      <c r="AN39" s="20">
        <f>VLOOKUP($B39,'[1]IAC - Base'!$A$6:$BH$45,'[1]IAC - Base'!AO$1,0)</f>
        <v>262226908.49000001</v>
      </c>
      <c r="AO39" s="20">
        <f>VLOOKUP($B39,'[1]IAC - Base'!$A$6:$BH$45,'[1]IAC - Base'!AP$1,0)</f>
        <v>252858906.84</v>
      </c>
      <c r="AP39" s="20">
        <f>VLOOKUP($B39,'[1]IAC - Base'!$A$6:$BH$45,'[1]IAC - Base'!AQ$1,0)</f>
        <v>191516078.00999999</v>
      </c>
      <c r="AQ39" s="20">
        <f>VLOOKUP($B39,'[1]IAC - Base'!$A$6:$BH$45,'[1]IAC - Base'!AR$1,0)</f>
        <v>271594910.16000003</v>
      </c>
      <c r="AR39" s="20">
        <f>VLOOKUP($B39,'[1]IAC - Base'!$A$6:$BH$45,'[1]IAC - Base'!AS$1,0)</f>
        <v>257092089.88999999</v>
      </c>
      <c r="AS39" s="20">
        <f>VLOOKUP($B39,'[1]IAC - Base'!$A$6:$BH$45,'[1]IAC - Base'!AT$1,0)</f>
        <v>243490905.11000001</v>
      </c>
      <c r="AT39" s="20">
        <f>VLOOKUP($B39,'[1]IAC - Base'!$A$6:$BH$45,'[1]IAC - Base'!AU$1,0)</f>
        <v>255551271.74000001</v>
      </c>
      <c r="AU39" s="20">
        <f>VLOOKUP($B39,'[1]IAC - Base'!$A$6:$BH$45,'[1]IAC - Base'!AV$1,0)</f>
        <v>203496172.22999999</v>
      </c>
      <c r="AV39" s="20">
        <f>VLOOKUP($B39,'[1]IAC - Base'!$A$6:$BH$45,'[1]IAC - Base'!AW$1,0)</f>
        <v>201484074.66999999</v>
      </c>
      <c r="AW39" s="20">
        <f>VLOOKUP($B39,'[1]IAC - Base'!$A$6:$BH$45,'[1]IAC - Base'!AX$1,0)</f>
        <v>268236903.81</v>
      </c>
      <c r="AX39" s="20">
        <f>VLOOKUP($B39,'[1]IAC - Base'!$A$6:$BH$45,'[1]IAC - Base'!AY$1,0)</f>
        <v>228517673.28</v>
      </c>
      <c r="AY39" s="20">
        <f>VLOOKUP($B39,'[1]IAC - Base'!$A$6:$BH$45,'[1]IAC - Base'!AZ$1,0)</f>
        <v>214169706.56999999</v>
      </c>
      <c r="AZ39" s="20">
        <f>VLOOKUP($B39,'[1]IAC - Base'!$A$6:$BH$45,'[1]IAC - Base'!BA$1,0)</f>
        <v>264562471.44999999</v>
      </c>
      <c r="BA39" s="20">
        <f>VLOOKUP($B39,'[1]IAC - Base'!$A$6:$BH$45,'[1]IAC - Base'!BB$1,0)</f>
        <v>255551271.96000001</v>
      </c>
      <c r="BB39" s="20">
        <f>VLOOKUP($B39,'[1]IAC - Base'!$A$6:$BH$45,'[1]IAC - Base'!BC$1,0)</f>
        <v>196147307.5</v>
      </c>
      <c r="BC39" s="20">
        <f>VLOOKUP($B39,'[1]IAC - Base'!$A$6:$BH$45,'[1]IAC - Base'!BD$1,0)</f>
        <v>273573670.99000001</v>
      </c>
      <c r="BD39" s="20">
        <f>VLOOKUP($B39,'[1]IAC - Base'!$A$6:$BH$45,'[1]IAC - Base'!BE$1,0)</f>
        <v>250214504.78999999</v>
      </c>
      <c r="BE39" s="20">
        <f>VLOOKUP($B39,'[1]IAC - Base'!$A$6:$BH$45,'[1]IAC - Base'!BF$1,0)</f>
        <v>237528872.77000001</v>
      </c>
      <c r="BF39" s="20">
        <f t="shared" si="2"/>
        <v>5660037019.0100002</v>
      </c>
      <c r="BG39" s="21">
        <f t="shared" si="3"/>
        <v>1.0000000000017668</v>
      </c>
    </row>
    <row r="40" spans="1:59" ht="15" customHeight="1" x14ac:dyDescent="0.25">
      <c r="B40" s="19" t="s">
        <v>90</v>
      </c>
      <c r="C40" s="19" t="s">
        <v>42</v>
      </c>
      <c r="D40" s="19" t="s">
        <v>51</v>
      </c>
      <c r="E40" s="19" t="s">
        <v>91</v>
      </c>
      <c r="F40" s="20">
        <f>VLOOKUP($B40,'[1]IAC - Base'!$A$6:$BH$45,'[1]IAC - Base'!G$1,0)</f>
        <v>419402292</v>
      </c>
      <c r="G40" s="20">
        <f>VLOOKUP($B40,'[1]IAC - Base'!$A$6:$BH$45,'[1]IAC - Base'!H$1,0)</f>
        <v>0</v>
      </c>
      <c r="H40" s="20">
        <f>VLOOKUP($B40,'[1]IAC - Base'!$A$6:$BH$45,'[1]IAC - Base'!I$1,0)</f>
        <v>0</v>
      </c>
      <c r="I40" s="20">
        <f>VLOOKUP($B40,'[1]IAC - Base'!$A$6:$BH$45,'[1]IAC - Base'!J$1,0)</f>
        <v>0</v>
      </c>
      <c r="J40" s="20">
        <f>VLOOKUP($B40,'[1]IAC - Base'!$A$6:$BH$45,'[1]IAC - Base'!K$1,0)</f>
        <v>0</v>
      </c>
      <c r="K40" s="20">
        <f>VLOOKUP($B40,'[1]IAC - Base'!$A$6:$BH$45,'[1]IAC - Base'!L$1,0)</f>
        <v>83649354.340000004</v>
      </c>
      <c r="L40" s="20">
        <f>VLOOKUP($B40,'[1]IAC - Base'!$A$6:$BH$45,'[1]IAC - Base'!M$1,0)</f>
        <v>13764410.970000001</v>
      </c>
      <c r="M40" s="20">
        <f>VLOOKUP($B40,'[1]IAC - Base'!$A$6:$BH$45,'[1]IAC - Base'!N$1,0)</f>
        <v>15033078.99</v>
      </c>
      <c r="N40" s="20">
        <f>VLOOKUP($B40,'[1]IAC - Base'!$A$6:$BH$45,'[1]IAC - Base'!O$1,0)</f>
        <v>12370244.6</v>
      </c>
      <c r="O40" s="20">
        <f>VLOOKUP($B40,'[1]IAC - Base'!$A$6:$BH$45,'[1]IAC - Base'!P$1,0)</f>
        <v>14304164.17</v>
      </c>
      <c r="P40" s="20">
        <f>VLOOKUP($B40,'[1]IAC - Base'!$A$6:$BH$45,'[1]IAC - Base'!Q$1,0)</f>
        <v>0</v>
      </c>
      <c r="Q40" s="20">
        <f>VLOOKUP($B40,'[1]IAC - Base'!$A$6:$BH$45,'[1]IAC - Base'!R$1,0)</f>
        <v>0</v>
      </c>
      <c r="R40" s="20">
        <f>VLOOKUP($B40,'[1]IAC - Base'!$A$6:$BH$45,'[1]IAC - Base'!S$1,0)</f>
        <v>0</v>
      </c>
      <c r="S40" s="20">
        <f>VLOOKUP($B40,'[1]IAC - Base'!$A$6:$BH$45,'[1]IAC - Base'!T$1,0)</f>
        <v>0</v>
      </c>
      <c r="T40" s="20">
        <f>VLOOKUP($B40,'[1]IAC - Base'!$A$6:$BH$45,'[1]IAC - Base'!U$1,0)</f>
        <v>0</v>
      </c>
      <c r="U40" s="20">
        <f>VLOOKUP($B40,'[1]IAC - Base'!$A$6:$BH$45,'[1]IAC - Base'!V$1,0)</f>
        <v>0</v>
      </c>
      <c r="V40" s="20">
        <f>VLOOKUP($B40,'[1]IAC - Base'!$A$6:$BH$45,'[1]IAC - Base'!W$1,0)</f>
        <v>0</v>
      </c>
      <c r="W40" s="20">
        <f>VLOOKUP($B40,'[1]IAC - Base'!$A$6:$BH$45,'[1]IAC - Base'!X$1,0)</f>
        <v>0</v>
      </c>
      <c r="X40" s="20">
        <f>VLOOKUP($B40,'[1]IAC - Base'!$A$6:$BH$45,'[1]IAC - Base'!Y$1,0)</f>
        <v>0</v>
      </c>
      <c r="Y40" s="20">
        <f>VLOOKUP($B40,'[1]IAC - Base'!$A$6:$BH$45,'[1]IAC - Base'!Z$1,0)</f>
        <v>0</v>
      </c>
      <c r="Z40" s="20">
        <f>VLOOKUP($B40,'[1]IAC - Base'!$A$6:$BH$45,'[1]IAC - Base'!AA$1,0)</f>
        <v>0</v>
      </c>
      <c r="AA40" s="20">
        <f>VLOOKUP($B40,'[1]IAC - Base'!$A$6:$BH$45,'[1]IAC - Base'!AB$1,0)</f>
        <v>0</v>
      </c>
      <c r="AB40" s="20">
        <f>VLOOKUP($B40,'[1]IAC - Base'!$A$6:$BH$45,'[1]IAC - Base'!AC$1,0)</f>
        <v>0</v>
      </c>
      <c r="AC40" s="20">
        <f>VLOOKUP($B40,'[1]IAC - Base'!$A$6:$BH$45,'[1]IAC - Base'!AD$1,0)</f>
        <v>0</v>
      </c>
      <c r="AD40" s="20">
        <f>VLOOKUP($B40,'[1]IAC - Base'!$A$6:$BH$45,'[1]IAC - Base'!AE$1,0)</f>
        <v>0</v>
      </c>
      <c r="AE40" s="20">
        <f t="shared" si="0"/>
        <v>139121253.06999999</v>
      </c>
      <c r="AF40" s="21">
        <f t="shared" si="1"/>
        <v>0.33171314445272509</v>
      </c>
      <c r="AH40" s="20">
        <f>VLOOKUP($B40,'[1]IAC - Base'!$A$6:$BH$45,'[1]IAC - Base'!AI$1,0)</f>
        <v>20124873.27</v>
      </c>
      <c r="AI40" s="20">
        <f>VLOOKUP($B40,'[1]IAC - Base'!$A$6:$BH$45,'[1]IAC - Base'!AJ$1,0)</f>
        <v>14818471.18</v>
      </c>
      <c r="AJ40" s="20">
        <f>VLOOKUP($B40,'[1]IAC - Base'!$A$6:$BH$45,'[1]IAC - Base'!AK$1,0)</f>
        <v>15265765.550000001</v>
      </c>
      <c r="AK40" s="20">
        <f>VLOOKUP($B40,'[1]IAC - Base'!$A$6:$BH$45,'[1]IAC - Base'!AL$1,0)</f>
        <v>18356072.59</v>
      </c>
      <c r="AL40" s="20">
        <f>VLOOKUP($B40,'[1]IAC - Base'!$A$6:$BH$45,'[1]IAC - Base'!AM$1,0)</f>
        <v>15959923.800000001</v>
      </c>
      <c r="AM40" s="20">
        <f>VLOOKUP($B40,'[1]IAC - Base'!$A$6:$BH$45,'[1]IAC - Base'!AN$1,0)</f>
        <v>14191123.1</v>
      </c>
      <c r="AN40" s="20">
        <f>VLOOKUP($B40,'[1]IAC - Base'!$A$6:$BH$45,'[1]IAC - Base'!AO$1,0)</f>
        <v>19430715.039999999</v>
      </c>
      <c r="AO40" s="20">
        <f>VLOOKUP($B40,'[1]IAC - Base'!$A$6:$BH$45,'[1]IAC - Base'!AP$1,0)</f>
        <v>18736556.800000001</v>
      </c>
      <c r="AP40" s="20">
        <f>VLOOKUP($B40,'[1]IAC - Base'!$A$6:$BH$45,'[1]IAC - Base'!AQ$1,0)</f>
        <v>14191123.1</v>
      </c>
      <c r="AQ40" s="20">
        <f>VLOOKUP($B40,'[1]IAC - Base'!$A$6:$BH$45,'[1]IAC - Base'!AR$1,0)</f>
        <v>20124873.289999999</v>
      </c>
      <c r="AR40" s="20">
        <f>VLOOKUP($B40,'[1]IAC - Base'!$A$6:$BH$45,'[1]IAC - Base'!AS$1,0)</f>
        <v>19050230.84</v>
      </c>
      <c r="AS40" s="20">
        <f>VLOOKUP($B40,'[1]IAC - Base'!$A$6:$BH$45,'[1]IAC - Base'!AT$1,0)</f>
        <v>18042398.550000001</v>
      </c>
      <c r="AT40" s="20">
        <f>VLOOKUP($B40,'[1]IAC - Base'!$A$6:$BH$45,'[1]IAC - Base'!AU$1,0)</f>
        <v>18936057.969999999</v>
      </c>
      <c r="AU40" s="20">
        <f>VLOOKUP($B40,'[1]IAC - Base'!$A$6:$BH$45,'[1]IAC - Base'!AV$1,0)</f>
        <v>15078834.42</v>
      </c>
      <c r="AV40" s="20">
        <f>VLOOKUP($B40,'[1]IAC - Base'!$A$6:$BH$45,'[1]IAC - Base'!AW$1,0)</f>
        <v>14929740.289999999</v>
      </c>
      <c r="AW40" s="20">
        <f>VLOOKUP($B40,'[1]IAC - Base'!$A$6:$BH$45,'[1]IAC - Base'!AX$1,0)</f>
        <v>19876048.850000001</v>
      </c>
      <c r="AX40" s="20">
        <f>VLOOKUP($B40,'[1]IAC - Base'!$A$6:$BH$45,'[1]IAC - Base'!AY$1,0)</f>
        <v>16932899.129999999</v>
      </c>
      <c r="AY40" s="20">
        <f>VLOOKUP($B40,'[1]IAC - Base'!$A$6:$BH$45,'[1]IAC - Base'!AZ$1,0)</f>
        <v>15869731.15</v>
      </c>
      <c r="AZ40" s="20">
        <f>VLOOKUP($B40,'[1]IAC - Base'!$A$6:$BH$45,'[1]IAC - Base'!BA$1,0)</f>
        <v>19603777.600000001</v>
      </c>
      <c r="BA40" s="20">
        <f>VLOOKUP($B40,'[1]IAC - Base'!$A$6:$BH$45,'[1]IAC - Base'!BB$1,0)</f>
        <v>18936057.98</v>
      </c>
      <c r="BB40" s="20">
        <f>VLOOKUP($B40,'[1]IAC - Base'!$A$6:$BH$45,'[1]IAC - Base'!BC$1,0)</f>
        <v>14534291.92</v>
      </c>
      <c r="BC40" s="20">
        <f>VLOOKUP($B40,'[1]IAC - Base'!$A$6:$BH$45,'[1]IAC - Base'!BD$1,0)</f>
        <v>20271497.210000001</v>
      </c>
      <c r="BD40" s="20">
        <f>VLOOKUP($B40,'[1]IAC - Base'!$A$6:$BH$45,'[1]IAC - Base'!BE$1,0)</f>
        <v>18540609.620000001</v>
      </c>
      <c r="BE40" s="20">
        <f>VLOOKUP($B40,'[1]IAC - Base'!$A$6:$BH$45,'[1]IAC - Base'!BF$1,0)</f>
        <v>17600618.75</v>
      </c>
      <c r="BF40" s="20">
        <f t="shared" si="2"/>
        <v>419402292</v>
      </c>
      <c r="BG40" s="21">
        <f t="shared" si="3"/>
        <v>1</v>
      </c>
    </row>
    <row r="41" spans="1:59" ht="15" customHeight="1" x14ac:dyDescent="0.25">
      <c r="B41" s="19" t="s">
        <v>92</v>
      </c>
      <c r="C41" s="19" t="s">
        <v>42</v>
      </c>
      <c r="D41" s="19" t="s">
        <v>51</v>
      </c>
      <c r="E41" s="19" t="s">
        <v>93</v>
      </c>
      <c r="F41" s="20">
        <f>VLOOKUP($B41,'[1]IAC - Base'!$A$6:$BH$45,'[1]IAC - Base'!G$1,0)</f>
        <v>838804583</v>
      </c>
      <c r="G41" s="20">
        <f>VLOOKUP($B41,'[1]IAC - Base'!$A$6:$BH$45,'[1]IAC - Base'!H$1,0)</f>
        <v>0</v>
      </c>
      <c r="H41" s="20">
        <f>VLOOKUP($B41,'[1]IAC - Base'!$A$6:$BH$45,'[1]IAC - Base'!I$1,0)</f>
        <v>0</v>
      </c>
      <c r="I41" s="20">
        <f>VLOOKUP($B41,'[1]IAC - Base'!$A$6:$BH$45,'[1]IAC - Base'!J$1,0)</f>
        <v>0</v>
      </c>
      <c r="J41" s="20">
        <f>VLOOKUP($B41,'[1]IAC - Base'!$A$6:$BH$45,'[1]IAC - Base'!K$1,0)</f>
        <v>0</v>
      </c>
      <c r="K41" s="20">
        <f>VLOOKUP($B41,'[1]IAC - Base'!$A$6:$BH$45,'[1]IAC - Base'!L$1,0)</f>
        <v>167298708.47</v>
      </c>
      <c r="L41" s="20">
        <f>VLOOKUP($B41,'[1]IAC - Base'!$A$6:$BH$45,'[1]IAC - Base'!M$1,0)</f>
        <v>27528821.91</v>
      </c>
      <c r="M41" s="20">
        <f>VLOOKUP($B41,'[1]IAC - Base'!$A$6:$BH$45,'[1]IAC - Base'!N$1,0)</f>
        <v>30066157.940000001</v>
      </c>
      <c r="N41" s="20">
        <f>VLOOKUP($B41,'[1]IAC - Base'!$A$6:$BH$45,'[1]IAC - Base'!O$1,0)</f>
        <v>24740489.170000002</v>
      </c>
      <c r="O41" s="20">
        <f>VLOOKUP($B41,'[1]IAC - Base'!$A$6:$BH$45,'[1]IAC - Base'!P$1,0)</f>
        <v>28608328.32</v>
      </c>
      <c r="P41" s="20">
        <f>VLOOKUP($B41,'[1]IAC - Base'!$A$6:$BH$45,'[1]IAC - Base'!Q$1,0)</f>
        <v>0</v>
      </c>
      <c r="Q41" s="20">
        <f>VLOOKUP($B41,'[1]IAC - Base'!$A$6:$BH$45,'[1]IAC - Base'!R$1,0)</f>
        <v>0</v>
      </c>
      <c r="R41" s="20">
        <f>VLOOKUP($B41,'[1]IAC - Base'!$A$6:$BH$45,'[1]IAC - Base'!S$1,0)</f>
        <v>0</v>
      </c>
      <c r="S41" s="20">
        <f>VLOOKUP($B41,'[1]IAC - Base'!$A$6:$BH$45,'[1]IAC - Base'!T$1,0)</f>
        <v>0</v>
      </c>
      <c r="T41" s="20">
        <f>VLOOKUP($B41,'[1]IAC - Base'!$A$6:$BH$45,'[1]IAC - Base'!U$1,0)</f>
        <v>0</v>
      </c>
      <c r="U41" s="20">
        <f>VLOOKUP($B41,'[1]IAC - Base'!$A$6:$BH$45,'[1]IAC - Base'!V$1,0)</f>
        <v>0</v>
      </c>
      <c r="V41" s="20">
        <f>VLOOKUP($B41,'[1]IAC - Base'!$A$6:$BH$45,'[1]IAC - Base'!W$1,0)</f>
        <v>0</v>
      </c>
      <c r="W41" s="20">
        <f>VLOOKUP($B41,'[1]IAC - Base'!$A$6:$BH$45,'[1]IAC - Base'!X$1,0)</f>
        <v>0</v>
      </c>
      <c r="X41" s="20">
        <f>VLOOKUP($B41,'[1]IAC - Base'!$A$6:$BH$45,'[1]IAC - Base'!Y$1,0)</f>
        <v>0</v>
      </c>
      <c r="Y41" s="20">
        <f>VLOOKUP($B41,'[1]IAC - Base'!$A$6:$BH$45,'[1]IAC - Base'!Z$1,0)</f>
        <v>0</v>
      </c>
      <c r="Z41" s="20">
        <f>VLOOKUP($B41,'[1]IAC - Base'!$A$6:$BH$45,'[1]IAC - Base'!AA$1,0)</f>
        <v>0</v>
      </c>
      <c r="AA41" s="20">
        <f>VLOOKUP($B41,'[1]IAC - Base'!$A$6:$BH$45,'[1]IAC - Base'!AB$1,0)</f>
        <v>0</v>
      </c>
      <c r="AB41" s="20">
        <f>VLOOKUP($B41,'[1]IAC - Base'!$A$6:$BH$45,'[1]IAC - Base'!AC$1,0)</f>
        <v>0</v>
      </c>
      <c r="AC41" s="20">
        <f>VLOOKUP($B41,'[1]IAC - Base'!$A$6:$BH$45,'[1]IAC - Base'!AD$1,0)</f>
        <v>0</v>
      </c>
      <c r="AD41" s="20">
        <f>VLOOKUP($B41,'[1]IAC - Base'!$A$6:$BH$45,'[1]IAC - Base'!AE$1,0)</f>
        <v>0</v>
      </c>
      <c r="AE41" s="20">
        <f t="shared" si="0"/>
        <v>278242505.81</v>
      </c>
      <c r="AF41" s="21">
        <f t="shared" si="1"/>
        <v>0.33171314445476746</v>
      </c>
      <c r="AH41" s="20">
        <f>VLOOKUP($B41,'[1]IAC - Base'!$A$6:$BH$45,'[1]IAC - Base'!AI$1,0)</f>
        <v>40249746.5</v>
      </c>
      <c r="AI41" s="20">
        <f>VLOOKUP($B41,'[1]IAC - Base'!$A$6:$BH$45,'[1]IAC - Base'!AJ$1,0)</f>
        <v>29636942.329999998</v>
      </c>
      <c r="AJ41" s="20">
        <f>VLOOKUP($B41,'[1]IAC - Base'!$A$6:$BH$45,'[1]IAC - Base'!AK$1,0)</f>
        <v>30531531.07</v>
      </c>
      <c r="AK41" s="20">
        <f>VLOOKUP($B41,'[1]IAC - Base'!$A$6:$BH$45,'[1]IAC - Base'!AL$1,0)</f>
        <v>36712145.140000001</v>
      </c>
      <c r="AL41" s="20">
        <f>VLOOKUP($B41,'[1]IAC - Base'!$A$6:$BH$45,'[1]IAC - Base'!AM$1,0)</f>
        <v>31919847.559999999</v>
      </c>
      <c r="AM41" s="20">
        <f>VLOOKUP($B41,'[1]IAC - Base'!$A$6:$BH$45,'[1]IAC - Base'!AN$1,0)</f>
        <v>28382246.16</v>
      </c>
      <c r="AN41" s="20">
        <f>VLOOKUP($B41,'[1]IAC - Base'!$A$6:$BH$45,'[1]IAC - Base'!AO$1,0)</f>
        <v>38861430.039999999</v>
      </c>
      <c r="AO41" s="20">
        <f>VLOOKUP($B41,'[1]IAC - Base'!$A$6:$BH$45,'[1]IAC - Base'!AP$1,0)</f>
        <v>37473113.549999997</v>
      </c>
      <c r="AP41" s="20">
        <f>VLOOKUP($B41,'[1]IAC - Base'!$A$6:$BH$45,'[1]IAC - Base'!AQ$1,0)</f>
        <v>28382246.16</v>
      </c>
      <c r="AQ41" s="20">
        <f>VLOOKUP($B41,'[1]IAC - Base'!$A$6:$BH$45,'[1]IAC - Base'!AR$1,0)</f>
        <v>40249746.530000001</v>
      </c>
      <c r="AR41" s="20">
        <f>VLOOKUP($B41,'[1]IAC - Base'!$A$6:$BH$45,'[1]IAC - Base'!AS$1,0)</f>
        <v>38100461.630000003</v>
      </c>
      <c r="AS41" s="20">
        <f>VLOOKUP($B41,'[1]IAC - Base'!$A$6:$BH$45,'[1]IAC - Base'!AT$1,0)</f>
        <v>36084797.049999997</v>
      </c>
      <c r="AT41" s="20">
        <f>VLOOKUP($B41,'[1]IAC - Base'!$A$6:$BH$45,'[1]IAC - Base'!AU$1,0)</f>
        <v>37872115.890000001</v>
      </c>
      <c r="AU41" s="20">
        <f>VLOOKUP($B41,'[1]IAC - Base'!$A$6:$BH$45,'[1]IAC - Base'!AV$1,0)</f>
        <v>30157668.809999999</v>
      </c>
      <c r="AV41" s="20">
        <f>VLOOKUP($B41,'[1]IAC - Base'!$A$6:$BH$45,'[1]IAC - Base'!AW$1,0)</f>
        <v>29859480.539999999</v>
      </c>
      <c r="AW41" s="20">
        <f>VLOOKUP($B41,'[1]IAC - Base'!$A$6:$BH$45,'[1]IAC - Base'!AX$1,0)</f>
        <v>39752097.640000001</v>
      </c>
      <c r="AX41" s="20">
        <f>VLOOKUP($B41,'[1]IAC - Base'!$A$6:$BH$45,'[1]IAC - Base'!AY$1,0)</f>
        <v>33865798.229999997</v>
      </c>
      <c r="AY41" s="20">
        <f>VLOOKUP($B41,'[1]IAC - Base'!$A$6:$BH$45,'[1]IAC - Base'!AZ$1,0)</f>
        <v>31739462.27</v>
      </c>
      <c r="AZ41" s="20">
        <f>VLOOKUP($B41,'[1]IAC - Base'!$A$6:$BH$45,'[1]IAC - Base'!BA$1,0)</f>
        <v>39207555.140000001</v>
      </c>
      <c r="BA41" s="20">
        <f>VLOOKUP($B41,'[1]IAC - Base'!$A$6:$BH$45,'[1]IAC - Base'!BB$1,0)</f>
        <v>37872115.920000002</v>
      </c>
      <c r="BB41" s="20">
        <f>VLOOKUP($B41,'[1]IAC - Base'!$A$6:$BH$45,'[1]IAC - Base'!BC$1,0)</f>
        <v>29068583.809999999</v>
      </c>
      <c r="BC41" s="20">
        <f>VLOOKUP($B41,'[1]IAC - Base'!$A$6:$BH$45,'[1]IAC - Base'!BD$1,0)</f>
        <v>40542994.369999997</v>
      </c>
      <c r="BD41" s="20">
        <f>VLOOKUP($B41,'[1]IAC - Base'!$A$6:$BH$45,'[1]IAC - Base'!BE$1,0)</f>
        <v>37081219.189999998</v>
      </c>
      <c r="BE41" s="20">
        <f>VLOOKUP($B41,'[1]IAC - Base'!$A$6:$BH$45,'[1]IAC - Base'!BF$1,0)</f>
        <v>35201237.450000003</v>
      </c>
      <c r="BF41" s="20">
        <f t="shared" si="2"/>
        <v>838804582.98000002</v>
      </c>
      <c r="BG41" s="21">
        <f t="shared" si="3"/>
        <v>0.99999999997615652</v>
      </c>
    </row>
    <row r="42" spans="1:59" ht="15" customHeight="1" x14ac:dyDescent="0.25">
      <c r="B42" s="19" t="s">
        <v>94</v>
      </c>
      <c r="C42" s="19" t="s">
        <v>42</v>
      </c>
      <c r="D42" s="19" t="s">
        <v>46</v>
      </c>
      <c r="E42" s="19" t="s">
        <v>95</v>
      </c>
      <c r="F42" s="20">
        <f>VLOOKUP($B42,'[1]IAC - Base'!$A$6:$BH$45,'[1]IAC - Base'!G$1,0)</f>
        <v>6041195013</v>
      </c>
      <c r="G42" s="20">
        <f>VLOOKUP($B42,'[1]IAC - Base'!$A$6:$BH$45,'[1]IAC - Base'!H$1,0)</f>
        <v>0</v>
      </c>
      <c r="H42" s="20">
        <f>VLOOKUP($B42,'[1]IAC - Base'!$A$6:$BH$45,'[1]IAC - Base'!I$1,0)</f>
        <v>0</v>
      </c>
      <c r="I42" s="20">
        <f>VLOOKUP($B42,'[1]IAC - Base'!$A$6:$BH$45,'[1]IAC - Base'!J$1,0)</f>
        <v>0</v>
      </c>
      <c r="J42" s="20">
        <f>VLOOKUP($B42,'[1]IAC - Base'!$A$6:$BH$45,'[1]IAC - Base'!K$1,0)</f>
        <v>0</v>
      </c>
      <c r="K42" s="20">
        <f>VLOOKUP($B42,'[1]IAC - Base'!$A$6:$BH$45,'[1]IAC - Base'!L$1,0)</f>
        <v>1204910111.0799999</v>
      </c>
      <c r="L42" s="20">
        <f>VLOOKUP($B42,'[1]IAC - Base'!$A$6:$BH$45,'[1]IAC - Base'!M$1,0)</f>
        <v>198266658.27000001</v>
      </c>
      <c r="M42" s="20">
        <f>VLOOKUP($B42,'[1]IAC - Base'!$A$6:$BH$45,'[1]IAC - Base'!N$1,0)</f>
        <v>216540928.72</v>
      </c>
      <c r="N42" s="20">
        <f>VLOOKUP($B42,'[1]IAC - Base'!$A$6:$BH$45,'[1]IAC - Base'!O$1,0)</f>
        <v>178184672.36000001</v>
      </c>
      <c r="O42" s="20">
        <f>VLOOKUP($B42,'[1]IAC - Base'!$A$6:$BH$45,'[1]IAC - Base'!P$1,0)</f>
        <v>206041423.53</v>
      </c>
      <c r="P42" s="20">
        <f>VLOOKUP($B42,'[1]IAC - Base'!$A$6:$BH$45,'[1]IAC - Base'!Q$1,0)</f>
        <v>0</v>
      </c>
      <c r="Q42" s="20">
        <f>VLOOKUP($B42,'[1]IAC - Base'!$A$6:$BH$45,'[1]IAC - Base'!R$1,0)</f>
        <v>0</v>
      </c>
      <c r="R42" s="20">
        <f>VLOOKUP($B42,'[1]IAC - Base'!$A$6:$BH$45,'[1]IAC - Base'!S$1,0)</f>
        <v>0</v>
      </c>
      <c r="S42" s="20">
        <f>VLOOKUP($B42,'[1]IAC - Base'!$A$6:$BH$45,'[1]IAC - Base'!T$1,0)</f>
        <v>0</v>
      </c>
      <c r="T42" s="20">
        <f>VLOOKUP($B42,'[1]IAC - Base'!$A$6:$BH$45,'[1]IAC - Base'!U$1,0)</f>
        <v>0</v>
      </c>
      <c r="U42" s="20">
        <f>VLOOKUP($B42,'[1]IAC - Base'!$A$6:$BH$45,'[1]IAC - Base'!V$1,0)</f>
        <v>0</v>
      </c>
      <c r="V42" s="20">
        <f>VLOOKUP($B42,'[1]IAC - Base'!$A$6:$BH$45,'[1]IAC - Base'!W$1,0)</f>
        <v>0</v>
      </c>
      <c r="W42" s="20">
        <f>VLOOKUP($B42,'[1]IAC - Base'!$A$6:$BH$45,'[1]IAC - Base'!X$1,0)</f>
        <v>0</v>
      </c>
      <c r="X42" s="20">
        <f>VLOOKUP($B42,'[1]IAC - Base'!$A$6:$BH$45,'[1]IAC - Base'!Y$1,0)</f>
        <v>0</v>
      </c>
      <c r="Y42" s="20">
        <f>VLOOKUP($B42,'[1]IAC - Base'!$A$6:$BH$45,'[1]IAC - Base'!Z$1,0)</f>
        <v>0</v>
      </c>
      <c r="Z42" s="20">
        <f>VLOOKUP($B42,'[1]IAC - Base'!$A$6:$BH$45,'[1]IAC - Base'!AA$1,0)</f>
        <v>0</v>
      </c>
      <c r="AA42" s="20">
        <f>VLOOKUP($B42,'[1]IAC - Base'!$A$6:$BH$45,'[1]IAC - Base'!AB$1,0)</f>
        <v>0</v>
      </c>
      <c r="AB42" s="20">
        <f>VLOOKUP($B42,'[1]IAC - Base'!$A$6:$BH$45,'[1]IAC - Base'!AC$1,0)</f>
        <v>0</v>
      </c>
      <c r="AC42" s="20">
        <f>VLOOKUP($B42,'[1]IAC - Base'!$A$6:$BH$45,'[1]IAC - Base'!AD$1,0)</f>
        <v>0</v>
      </c>
      <c r="AD42" s="20">
        <f>VLOOKUP($B42,'[1]IAC - Base'!$A$6:$BH$45,'[1]IAC - Base'!AE$1,0)</f>
        <v>0</v>
      </c>
      <c r="AE42" s="20">
        <f t="shared" si="0"/>
        <v>2003943793.9599998</v>
      </c>
      <c r="AF42" s="21">
        <f t="shared" si="1"/>
        <v>0.33171314444372824</v>
      </c>
      <c r="AH42" s="20">
        <f>VLOOKUP($B42,'[1]IAC - Base'!$A$6:$BH$45,'[1]IAC - Base'!AI$1,0)</f>
        <v>289884643.88</v>
      </c>
      <c r="AI42" s="20">
        <f>VLOOKUP($B42,'[1]IAC - Base'!$A$6:$BH$45,'[1]IAC - Base'!AJ$1,0)</f>
        <v>213449654.24000001</v>
      </c>
      <c r="AJ42" s="20">
        <f>VLOOKUP($B42,'[1]IAC - Base'!$A$6:$BH$45,'[1]IAC - Base'!AK$1,0)</f>
        <v>219892615</v>
      </c>
      <c r="AK42" s="20">
        <f>VLOOKUP($B42,'[1]IAC - Base'!$A$6:$BH$45,'[1]IAC - Base'!AL$1,0)</f>
        <v>264406314.22</v>
      </c>
      <c r="AL42" s="20">
        <f>VLOOKUP($B42,'[1]IAC - Base'!$A$6:$BH$45,'[1]IAC - Base'!AM$1,0)</f>
        <v>229891476.28</v>
      </c>
      <c r="AM42" s="20">
        <f>VLOOKUP($B42,'[1]IAC - Base'!$A$6:$BH$45,'[1]IAC - Base'!AN$1,0)</f>
        <v>204413146.31999999</v>
      </c>
      <c r="AN42" s="20">
        <f>VLOOKUP($B42,'[1]IAC - Base'!$A$6:$BH$45,'[1]IAC - Base'!AO$1,0)</f>
        <v>279885782.81999999</v>
      </c>
      <c r="AO42" s="20">
        <f>VLOOKUP($B42,'[1]IAC - Base'!$A$6:$BH$45,'[1]IAC - Base'!AP$1,0)</f>
        <v>269886921.56999999</v>
      </c>
      <c r="AP42" s="20">
        <f>VLOOKUP($B42,'[1]IAC - Base'!$A$6:$BH$45,'[1]IAC - Base'!AQ$1,0)</f>
        <v>204413146.31999999</v>
      </c>
      <c r="AQ42" s="20">
        <f>VLOOKUP($B42,'[1]IAC - Base'!$A$6:$BH$45,'[1]IAC - Base'!AR$1,0)</f>
        <v>289884644.10000002</v>
      </c>
      <c r="AR42" s="20">
        <f>VLOOKUP($B42,'[1]IAC - Base'!$A$6:$BH$45,'[1]IAC - Base'!AS$1,0)</f>
        <v>274405175.47000003</v>
      </c>
      <c r="AS42" s="20">
        <f>VLOOKUP($B42,'[1]IAC - Base'!$A$6:$BH$45,'[1]IAC - Base'!AT$1,0)</f>
        <v>259888060.22</v>
      </c>
      <c r="AT42" s="20">
        <f>VLOOKUP($B42,'[1]IAC - Base'!$A$6:$BH$45,'[1]IAC - Base'!AU$1,0)</f>
        <v>272760595.58999997</v>
      </c>
      <c r="AU42" s="20">
        <f>VLOOKUP($B42,'[1]IAC - Base'!$A$6:$BH$45,'[1]IAC - Base'!AV$1,0)</f>
        <v>217200003.59</v>
      </c>
      <c r="AV42" s="20">
        <f>VLOOKUP($B42,'[1]IAC - Base'!$A$6:$BH$45,'[1]IAC - Base'!AW$1,0)</f>
        <v>215052407.43000001</v>
      </c>
      <c r="AW42" s="20">
        <f>VLOOKUP($B42,'[1]IAC - Base'!$A$6:$BH$45,'[1]IAC - Base'!AX$1,0)</f>
        <v>286300503.01999998</v>
      </c>
      <c r="AX42" s="20">
        <f>VLOOKUP($B42,'[1]IAC - Base'!$A$6:$BH$45,'[1]IAC - Base'!AY$1,0)</f>
        <v>243906501.59999999</v>
      </c>
      <c r="AY42" s="20">
        <f>VLOOKUP($B42,'[1]IAC - Base'!$A$6:$BH$45,'[1]IAC - Base'!AZ$1,0)</f>
        <v>228592314.66999999</v>
      </c>
      <c r="AZ42" s="20">
        <f>VLOOKUP($B42,'[1]IAC - Base'!$A$6:$BH$45,'[1]IAC - Base'!BA$1,0)</f>
        <v>282378627.17000002</v>
      </c>
      <c r="BA42" s="20">
        <f>VLOOKUP($B42,'[1]IAC - Base'!$A$6:$BH$45,'[1]IAC - Base'!BB$1,0)</f>
        <v>272760595.82999998</v>
      </c>
      <c r="BB42" s="20">
        <f>VLOOKUP($B42,'[1]IAC - Base'!$A$6:$BH$45,'[1]IAC - Base'!BC$1,0)</f>
        <v>209356251.88999999</v>
      </c>
      <c r="BC42" s="20">
        <f>VLOOKUP($B42,'[1]IAC - Base'!$A$6:$BH$45,'[1]IAC - Base'!BD$1,0)</f>
        <v>291996658.56</v>
      </c>
      <c r="BD42" s="20">
        <f>VLOOKUP($B42,'[1]IAC - Base'!$A$6:$BH$45,'[1]IAC - Base'!BE$1,0)</f>
        <v>267064440.28999999</v>
      </c>
      <c r="BE42" s="20">
        <f>VLOOKUP($B42,'[1]IAC - Base'!$A$6:$BH$45,'[1]IAC - Base'!BF$1,0)</f>
        <v>253524532.94</v>
      </c>
      <c r="BF42" s="20">
        <f t="shared" si="2"/>
        <v>6041195013.0200005</v>
      </c>
      <c r="BG42" s="21">
        <f t="shared" si="3"/>
        <v>1.0000000000033107</v>
      </c>
    </row>
    <row r="43" spans="1:59" ht="15" customHeight="1" x14ac:dyDescent="0.25">
      <c r="B43" s="19" t="s">
        <v>96</v>
      </c>
      <c r="C43" s="19" t="s">
        <v>42</v>
      </c>
      <c r="D43" s="19" t="s">
        <v>58</v>
      </c>
      <c r="E43" s="19" t="s">
        <v>97</v>
      </c>
      <c r="F43" s="20">
        <f>VLOOKUP($B43,'[1]IAC - Base'!$A$6:$BH$45,'[1]IAC - Base'!G$1,0)</f>
        <v>760795862</v>
      </c>
      <c r="G43" s="20">
        <f>VLOOKUP($B43,'[1]IAC - Base'!$A$6:$BH$45,'[1]IAC - Base'!H$1,0)</f>
        <v>0</v>
      </c>
      <c r="H43" s="20">
        <f>VLOOKUP($B43,'[1]IAC - Base'!$A$6:$BH$45,'[1]IAC - Base'!I$1,0)</f>
        <v>0</v>
      </c>
      <c r="I43" s="20">
        <f>VLOOKUP($B43,'[1]IAC - Base'!$A$6:$BH$45,'[1]IAC - Base'!J$1,0)</f>
        <v>0</v>
      </c>
      <c r="J43" s="20">
        <f>VLOOKUP($B43,'[1]IAC - Base'!$A$6:$BH$45,'[1]IAC - Base'!K$1,0)</f>
        <v>0</v>
      </c>
      <c r="K43" s="20">
        <f>VLOOKUP($B43,'[1]IAC - Base'!$A$6:$BH$45,'[1]IAC - Base'!L$1,0)</f>
        <v>151739949.56999999</v>
      </c>
      <c r="L43" s="20">
        <f>VLOOKUP($B43,'[1]IAC - Base'!$A$6:$BH$45,'[1]IAC - Base'!M$1,0)</f>
        <v>24968644.920000002</v>
      </c>
      <c r="M43" s="20">
        <f>VLOOKUP($B43,'[1]IAC - Base'!$A$6:$BH$45,'[1]IAC - Base'!N$1,0)</f>
        <v>27270009.02</v>
      </c>
      <c r="N43" s="20">
        <f>VLOOKUP($B43,'[1]IAC - Base'!$A$6:$BH$45,'[1]IAC - Base'!O$1,0)</f>
        <v>22439626.780000001</v>
      </c>
      <c r="O43" s="20">
        <f>VLOOKUP($B43,'[1]IAC - Base'!$A$6:$BH$45,'[1]IAC - Base'!P$1,0)</f>
        <v>25947757.370000001</v>
      </c>
      <c r="P43" s="20">
        <f>VLOOKUP($B43,'[1]IAC - Base'!$A$6:$BH$45,'[1]IAC - Base'!Q$1,0)</f>
        <v>0</v>
      </c>
      <c r="Q43" s="20">
        <f>VLOOKUP($B43,'[1]IAC - Base'!$A$6:$BH$45,'[1]IAC - Base'!R$1,0)</f>
        <v>0</v>
      </c>
      <c r="R43" s="20">
        <f>VLOOKUP($B43,'[1]IAC - Base'!$A$6:$BH$45,'[1]IAC - Base'!S$1,0)</f>
        <v>0</v>
      </c>
      <c r="S43" s="20">
        <f>VLOOKUP($B43,'[1]IAC - Base'!$A$6:$BH$45,'[1]IAC - Base'!T$1,0)</f>
        <v>0</v>
      </c>
      <c r="T43" s="20">
        <f>VLOOKUP($B43,'[1]IAC - Base'!$A$6:$BH$45,'[1]IAC - Base'!U$1,0)</f>
        <v>0</v>
      </c>
      <c r="U43" s="20">
        <f>VLOOKUP($B43,'[1]IAC - Base'!$A$6:$BH$45,'[1]IAC - Base'!V$1,0)</f>
        <v>0</v>
      </c>
      <c r="V43" s="20">
        <f>VLOOKUP($B43,'[1]IAC - Base'!$A$6:$BH$45,'[1]IAC - Base'!W$1,0)</f>
        <v>0</v>
      </c>
      <c r="W43" s="20">
        <f>VLOOKUP($B43,'[1]IAC - Base'!$A$6:$BH$45,'[1]IAC - Base'!X$1,0)</f>
        <v>0</v>
      </c>
      <c r="X43" s="20">
        <f>VLOOKUP($B43,'[1]IAC - Base'!$A$6:$BH$45,'[1]IAC - Base'!Y$1,0)</f>
        <v>0</v>
      </c>
      <c r="Y43" s="20">
        <f>VLOOKUP($B43,'[1]IAC - Base'!$A$6:$BH$45,'[1]IAC - Base'!Z$1,0)</f>
        <v>0</v>
      </c>
      <c r="Z43" s="20">
        <f>VLOOKUP($B43,'[1]IAC - Base'!$A$6:$BH$45,'[1]IAC - Base'!AA$1,0)</f>
        <v>0</v>
      </c>
      <c r="AA43" s="20">
        <f>VLOOKUP($B43,'[1]IAC - Base'!$A$6:$BH$45,'[1]IAC - Base'!AB$1,0)</f>
        <v>0</v>
      </c>
      <c r="AB43" s="20">
        <f>VLOOKUP($B43,'[1]IAC - Base'!$A$6:$BH$45,'[1]IAC - Base'!AC$1,0)</f>
        <v>0</v>
      </c>
      <c r="AC43" s="20">
        <f>VLOOKUP($B43,'[1]IAC - Base'!$A$6:$BH$45,'[1]IAC - Base'!AD$1,0)</f>
        <v>0</v>
      </c>
      <c r="AD43" s="20">
        <f>VLOOKUP($B43,'[1]IAC - Base'!$A$6:$BH$45,'[1]IAC - Base'!AE$1,0)</f>
        <v>0</v>
      </c>
      <c r="AE43" s="20">
        <f t="shared" si="0"/>
        <v>252365987.66000003</v>
      </c>
      <c r="AF43" s="21">
        <f t="shared" si="1"/>
        <v>0.33171314443873778</v>
      </c>
      <c r="AH43" s="20">
        <f>VLOOKUP($B43,'[1]IAC - Base'!$A$6:$BH$45,'[1]IAC - Base'!AI$1,0)</f>
        <v>36506525.119999997</v>
      </c>
      <c r="AI43" s="20">
        <f>VLOOKUP($B43,'[1]IAC - Base'!$A$6:$BH$45,'[1]IAC - Base'!AJ$1,0)</f>
        <v>26880710.41</v>
      </c>
      <c r="AJ43" s="20">
        <f>VLOOKUP($B43,'[1]IAC - Base'!$A$6:$BH$45,'[1]IAC - Base'!AK$1,0)</f>
        <v>27692102.510000002</v>
      </c>
      <c r="AK43" s="20">
        <f>VLOOKUP($B43,'[1]IAC - Base'!$A$6:$BH$45,'[1]IAC - Base'!AL$1,0)</f>
        <v>33297920.25</v>
      </c>
      <c r="AL43" s="20">
        <f>VLOOKUP($B43,'[1]IAC - Base'!$A$6:$BH$45,'[1]IAC - Base'!AM$1,0)</f>
        <v>28951305.739999998</v>
      </c>
      <c r="AM43" s="20">
        <f>VLOOKUP($B43,'[1]IAC - Base'!$A$6:$BH$45,'[1]IAC - Base'!AN$1,0)</f>
        <v>25742700.829999998</v>
      </c>
      <c r="AN43" s="20">
        <f>VLOOKUP($B43,'[1]IAC - Base'!$A$6:$BH$45,'[1]IAC - Base'!AO$1,0)</f>
        <v>35247321.920000002</v>
      </c>
      <c r="AO43" s="20">
        <f>VLOOKUP($B43,'[1]IAC - Base'!$A$6:$BH$45,'[1]IAC - Base'!AP$1,0)</f>
        <v>33988118.689999998</v>
      </c>
      <c r="AP43" s="20">
        <f>VLOOKUP($B43,'[1]IAC - Base'!$A$6:$BH$45,'[1]IAC - Base'!AQ$1,0)</f>
        <v>25742700.829999998</v>
      </c>
      <c r="AQ43" s="20">
        <f>VLOOKUP($B43,'[1]IAC - Base'!$A$6:$BH$45,'[1]IAC - Base'!AR$1,0)</f>
        <v>36506525.149999999</v>
      </c>
      <c r="AR43" s="20">
        <f>VLOOKUP($B43,'[1]IAC - Base'!$A$6:$BH$45,'[1]IAC - Base'!AS$1,0)</f>
        <v>34557123.479999997</v>
      </c>
      <c r="AS43" s="20">
        <f>VLOOKUP($B43,'[1]IAC - Base'!$A$6:$BH$45,'[1]IAC - Base'!AT$1,0)</f>
        <v>32728915.449999999</v>
      </c>
      <c r="AT43" s="20">
        <f>VLOOKUP($B43,'[1]IAC - Base'!$A$6:$BH$45,'[1]IAC - Base'!AU$1,0)</f>
        <v>34350013.859999999</v>
      </c>
      <c r="AU43" s="20">
        <f>VLOOKUP($B43,'[1]IAC - Base'!$A$6:$BH$45,'[1]IAC - Base'!AV$1,0)</f>
        <v>27353009.399999999</v>
      </c>
      <c r="AV43" s="20">
        <f>VLOOKUP($B43,'[1]IAC - Base'!$A$6:$BH$45,'[1]IAC - Base'!AW$1,0)</f>
        <v>27082552.600000001</v>
      </c>
      <c r="AW43" s="20">
        <f>VLOOKUP($B43,'[1]IAC - Base'!$A$6:$BH$45,'[1]IAC - Base'!AX$1,0)</f>
        <v>36055157.549999997</v>
      </c>
      <c r="AX43" s="20">
        <f>VLOOKUP($B43,'[1]IAC - Base'!$A$6:$BH$45,'[1]IAC - Base'!AY$1,0)</f>
        <v>30716283.239999998</v>
      </c>
      <c r="AY43" s="20">
        <f>VLOOKUP($B43,'[1]IAC - Base'!$A$6:$BH$45,'[1]IAC - Base'!AZ$1,0)</f>
        <v>28787696.260000002</v>
      </c>
      <c r="AZ43" s="20">
        <f>VLOOKUP($B43,'[1]IAC - Base'!$A$6:$BH$45,'[1]IAC - Base'!BA$1,0)</f>
        <v>35561257.43</v>
      </c>
      <c r="BA43" s="20">
        <f>VLOOKUP($B43,'[1]IAC - Base'!$A$6:$BH$45,'[1]IAC - Base'!BB$1,0)</f>
        <v>34350013.890000001</v>
      </c>
      <c r="BB43" s="20">
        <f>VLOOKUP($B43,'[1]IAC - Base'!$A$6:$BH$45,'[1]IAC - Base'!BC$1,0)</f>
        <v>26365209.170000002</v>
      </c>
      <c r="BC43" s="20">
        <f>VLOOKUP($B43,'[1]IAC - Base'!$A$6:$BH$45,'[1]IAC - Base'!BD$1,0)</f>
        <v>36772500.979999997</v>
      </c>
      <c r="BD43" s="20">
        <f>VLOOKUP($B43,'[1]IAC - Base'!$A$6:$BH$45,'[1]IAC - Base'!BE$1,0)</f>
        <v>33632670.460000001</v>
      </c>
      <c r="BE43" s="20">
        <f>VLOOKUP($B43,'[1]IAC - Base'!$A$6:$BH$45,'[1]IAC - Base'!BF$1,0)</f>
        <v>31927526.780000001</v>
      </c>
      <c r="BF43" s="20">
        <f t="shared" si="2"/>
        <v>760795862</v>
      </c>
      <c r="BG43" s="21">
        <f t="shared" si="3"/>
        <v>1</v>
      </c>
    </row>
    <row r="44" spans="1:59" ht="15" customHeight="1" x14ac:dyDescent="0.25">
      <c r="B44" s="19" t="s">
        <v>98</v>
      </c>
      <c r="C44" s="19" t="s">
        <v>42</v>
      </c>
      <c r="D44" s="19" t="s">
        <v>58</v>
      </c>
      <c r="E44" s="19" t="s">
        <v>99</v>
      </c>
      <c r="F44" s="20">
        <f>VLOOKUP($B44,'[1]IAC - Base'!$A$6:$BH$45,'[1]IAC - Base'!G$1,0)</f>
        <v>1553336948</v>
      </c>
      <c r="G44" s="20">
        <f>VLOOKUP($B44,'[1]IAC - Base'!$A$6:$BH$45,'[1]IAC - Base'!H$1,0)</f>
        <v>0</v>
      </c>
      <c r="H44" s="20">
        <f>VLOOKUP($B44,'[1]IAC - Base'!$A$6:$BH$45,'[1]IAC - Base'!I$1,0)</f>
        <v>0</v>
      </c>
      <c r="I44" s="20">
        <f>VLOOKUP($B44,'[1]IAC - Base'!$A$6:$BH$45,'[1]IAC - Base'!J$1,0)</f>
        <v>0</v>
      </c>
      <c r="J44" s="20">
        <f>VLOOKUP($B44,'[1]IAC - Base'!$A$6:$BH$45,'[1]IAC - Base'!K$1,0)</f>
        <v>0</v>
      </c>
      <c r="K44" s="20">
        <f>VLOOKUP($B44,'[1]IAC - Base'!$A$6:$BH$45,'[1]IAC - Base'!L$1,0)</f>
        <v>309811451.31</v>
      </c>
      <c r="L44" s="20">
        <f>VLOOKUP($B44,'[1]IAC - Base'!$A$6:$BH$45,'[1]IAC - Base'!M$1,0)</f>
        <v>50979139.920000002</v>
      </c>
      <c r="M44" s="20">
        <f>VLOOKUP($B44,'[1]IAC - Base'!$A$6:$BH$45,'[1]IAC - Base'!N$1,0)</f>
        <v>55677895.619999997</v>
      </c>
      <c r="N44" s="20">
        <f>VLOOKUP($B44,'[1]IAC - Base'!$A$6:$BH$45,'[1]IAC - Base'!O$1,0)</f>
        <v>45815576.979999997</v>
      </c>
      <c r="O44" s="20">
        <f>VLOOKUP($B44,'[1]IAC - Base'!$A$6:$BH$45,'[1]IAC - Base'!P$1,0)</f>
        <v>52978219.590000004</v>
      </c>
      <c r="P44" s="20">
        <f>VLOOKUP($B44,'[1]IAC - Base'!$A$6:$BH$45,'[1]IAC - Base'!Q$1,0)</f>
        <v>0</v>
      </c>
      <c r="Q44" s="20">
        <f>VLOOKUP($B44,'[1]IAC - Base'!$A$6:$BH$45,'[1]IAC - Base'!R$1,0)</f>
        <v>0</v>
      </c>
      <c r="R44" s="20">
        <f>VLOOKUP($B44,'[1]IAC - Base'!$A$6:$BH$45,'[1]IAC - Base'!S$1,0)</f>
        <v>0</v>
      </c>
      <c r="S44" s="20">
        <f>VLOOKUP($B44,'[1]IAC - Base'!$A$6:$BH$45,'[1]IAC - Base'!T$1,0)</f>
        <v>0</v>
      </c>
      <c r="T44" s="20">
        <f>VLOOKUP($B44,'[1]IAC - Base'!$A$6:$BH$45,'[1]IAC - Base'!U$1,0)</f>
        <v>0</v>
      </c>
      <c r="U44" s="20">
        <f>VLOOKUP($B44,'[1]IAC - Base'!$A$6:$BH$45,'[1]IAC - Base'!V$1,0)</f>
        <v>0</v>
      </c>
      <c r="V44" s="20">
        <f>VLOOKUP($B44,'[1]IAC - Base'!$A$6:$BH$45,'[1]IAC - Base'!W$1,0)</f>
        <v>0</v>
      </c>
      <c r="W44" s="20">
        <f>VLOOKUP($B44,'[1]IAC - Base'!$A$6:$BH$45,'[1]IAC - Base'!X$1,0)</f>
        <v>0</v>
      </c>
      <c r="X44" s="20">
        <f>VLOOKUP($B44,'[1]IAC - Base'!$A$6:$BH$45,'[1]IAC - Base'!Y$1,0)</f>
        <v>0</v>
      </c>
      <c r="Y44" s="20">
        <f>VLOOKUP($B44,'[1]IAC - Base'!$A$6:$BH$45,'[1]IAC - Base'!Z$1,0)</f>
        <v>0</v>
      </c>
      <c r="Z44" s="20">
        <f>VLOOKUP($B44,'[1]IAC - Base'!$A$6:$BH$45,'[1]IAC - Base'!AA$1,0)</f>
        <v>0</v>
      </c>
      <c r="AA44" s="20">
        <f>VLOOKUP($B44,'[1]IAC - Base'!$A$6:$BH$45,'[1]IAC - Base'!AB$1,0)</f>
        <v>0</v>
      </c>
      <c r="AB44" s="20">
        <f>VLOOKUP($B44,'[1]IAC - Base'!$A$6:$BH$45,'[1]IAC - Base'!AC$1,0)</f>
        <v>0</v>
      </c>
      <c r="AC44" s="20">
        <f>VLOOKUP($B44,'[1]IAC - Base'!$A$6:$BH$45,'[1]IAC - Base'!AD$1,0)</f>
        <v>0</v>
      </c>
      <c r="AD44" s="20">
        <f>VLOOKUP($B44,'[1]IAC - Base'!$A$6:$BH$45,'[1]IAC - Base'!AE$1,0)</f>
        <v>0</v>
      </c>
      <c r="AE44" s="20">
        <f t="shared" si="0"/>
        <v>515262283.42000008</v>
      </c>
      <c r="AF44" s="21">
        <f t="shared" si="1"/>
        <v>0.33171314445550681</v>
      </c>
      <c r="AH44" s="20">
        <f>VLOOKUP($B44,'[1]IAC - Base'!$A$6:$BH$45,'[1]IAC - Base'!AI$1,0)</f>
        <v>74536333.790000007</v>
      </c>
      <c r="AI44" s="20">
        <f>VLOOKUP($B44,'[1]IAC - Base'!$A$6:$BH$45,'[1]IAC - Base'!AJ$1,0)</f>
        <v>54883054.390000001</v>
      </c>
      <c r="AJ44" s="20">
        <f>VLOOKUP($B44,'[1]IAC - Base'!$A$6:$BH$45,'[1]IAC - Base'!AK$1,0)</f>
        <v>56539695</v>
      </c>
      <c r="AK44" s="20">
        <f>VLOOKUP($B44,'[1]IAC - Base'!$A$6:$BH$45,'[1]IAC - Base'!AL$1,0)</f>
        <v>67985240.709999993</v>
      </c>
      <c r="AL44" s="20">
        <f>VLOOKUP($B44,'[1]IAC - Base'!$A$6:$BH$45,'[1]IAC - Base'!AM$1,0)</f>
        <v>59110643.399999999</v>
      </c>
      <c r="AM44" s="20">
        <f>VLOOKUP($B44,'[1]IAC - Base'!$A$6:$BH$45,'[1]IAC - Base'!AN$1,0)</f>
        <v>52559550.25</v>
      </c>
      <c r="AN44" s="20">
        <f>VLOOKUP($B44,'[1]IAC - Base'!$A$6:$BH$45,'[1]IAC - Base'!AO$1,0)</f>
        <v>71965385.450000003</v>
      </c>
      <c r="AO44" s="20">
        <f>VLOOKUP($B44,'[1]IAC - Base'!$A$6:$BH$45,'[1]IAC - Base'!AP$1,0)</f>
        <v>69394437.049999997</v>
      </c>
      <c r="AP44" s="20">
        <f>VLOOKUP($B44,'[1]IAC - Base'!$A$6:$BH$45,'[1]IAC - Base'!AQ$1,0)</f>
        <v>52559550.25</v>
      </c>
      <c r="AQ44" s="20">
        <f>VLOOKUP($B44,'[1]IAC - Base'!$A$6:$BH$45,'[1]IAC - Base'!AR$1,0)</f>
        <v>74536333.849999994</v>
      </c>
      <c r="AR44" s="20">
        <f>VLOOKUP($B44,'[1]IAC - Base'!$A$6:$BH$45,'[1]IAC - Base'!AS$1,0)</f>
        <v>70556189.109999999</v>
      </c>
      <c r="AS44" s="20">
        <f>VLOOKUP($B44,'[1]IAC - Base'!$A$6:$BH$45,'[1]IAC - Base'!AT$1,0)</f>
        <v>66823488.630000003</v>
      </c>
      <c r="AT44" s="20">
        <f>VLOOKUP($B44,'[1]IAC - Base'!$A$6:$BH$45,'[1]IAC - Base'!AU$1,0)</f>
        <v>70133327.959999993</v>
      </c>
      <c r="AU44" s="20">
        <f>VLOOKUP($B44,'[1]IAC - Base'!$A$6:$BH$45,'[1]IAC - Base'!AV$1,0)</f>
        <v>55847359.659999996</v>
      </c>
      <c r="AV44" s="20">
        <f>VLOOKUP($B44,'[1]IAC - Base'!$A$6:$BH$45,'[1]IAC - Base'!AW$1,0)</f>
        <v>55295160.890000001</v>
      </c>
      <c r="AW44" s="20">
        <f>VLOOKUP($B44,'[1]IAC - Base'!$A$6:$BH$45,'[1]IAC - Base'!AX$1,0)</f>
        <v>73614764.730000004</v>
      </c>
      <c r="AX44" s="20">
        <f>VLOOKUP($B44,'[1]IAC - Base'!$A$6:$BH$45,'[1]IAC - Base'!AY$1,0)</f>
        <v>62714244.450000003</v>
      </c>
      <c r="AY44" s="20">
        <f>VLOOKUP($B44,'[1]IAC - Base'!$A$6:$BH$45,'[1]IAC - Base'!AZ$1,0)</f>
        <v>58776597.619999997</v>
      </c>
      <c r="AZ44" s="20">
        <f>VLOOKUP($B44,'[1]IAC - Base'!$A$6:$BH$45,'[1]IAC - Base'!BA$1,0)</f>
        <v>72606355.859999999</v>
      </c>
      <c r="BA44" s="20">
        <f>VLOOKUP($B44,'[1]IAC - Base'!$A$6:$BH$45,'[1]IAC - Base'!BB$1,0)</f>
        <v>70133328.019999996</v>
      </c>
      <c r="BB44" s="20">
        <f>VLOOKUP($B44,'[1]IAC - Base'!$A$6:$BH$45,'[1]IAC - Base'!BC$1,0)</f>
        <v>53830541.909999996</v>
      </c>
      <c r="BC44" s="20">
        <f>VLOOKUP($B44,'[1]IAC - Base'!$A$6:$BH$45,'[1]IAC - Base'!BD$1,0)</f>
        <v>75079383.709999993</v>
      </c>
      <c r="BD44" s="20">
        <f>VLOOKUP($B44,'[1]IAC - Base'!$A$6:$BH$45,'[1]IAC - Base'!BE$1,0)</f>
        <v>68668709.040000007</v>
      </c>
      <c r="BE44" s="20">
        <f>VLOOKUP($B44,'[1]IAC - Base'!$A$6:$BH$45,'[1]IAC - Base'!BF$1,0)</f>
        <v>65187272.280000001</v>
      </c>
      <c r="BF44" s="20">
        <f t="shared" si="2"/>
        <v>1553336948.0099998</v>
      </c>
      <c r="BG44" s="21">
        <f t="shared" si="3"/>
        <v>1.0000000000064375</v>
      </c>
    </row>
    <row r="45" spans="1:59" s="23" customFormat="1" ht="15" customHeight="1" x14ac:dyDescent="0.25">
      <c r="A45"/>
      <c r="B45" s="22" t="s">
        <v>100</v>
      </c>
      <c r="C45" s="22" t="s">
        <v>42</v>
      </c>
      <c r="D45" s="19" t="s">
        <v>58</v>
      </c>
      <c r="E45" s="19" t="s">
        <v>101</v>
      </c>
      <c r="F45" s="20">
        <f>VLOOKUP($B45,'[1]IAC - Base'!$A$6:$BH$45,'[1]IAC - Base'!G$1,0)</f>
        <v>293349300</v>
      </c>
      <c r="G45" s="20">
        <f>VLOOKUP($B45,'[1]IAC - Base'!$A$6:$BH$45,'[1]IAC - Base'!H$1,0)</f>
        <v>0</v>
      </c>
      <c r="H45" s="20">
        <f>VLOOKUP($B45,'[1]IAC - Base'!$A$6:$BH$45,'[1]IAC - Base'!I$1,0)</f>
        <v>0</v>
      </c>
      <c r="I45" s="20">
        <f>VLOOKUP($B45,'[1]IAC - Base'!$A$6:$BH$45,'[1]IAC - Base'!J$1,0)</f>
        <v>0</v>
      </c>
      <c r="J45" s="20">
        <f>VLOOKUP($B45,'[1]IAC - Base'!$A$6:$BH$45,'[1]IAC - Base'!K$1,0)</f>
        <v>0</v>
      </c>
      <c r="K45" s="20">
        <f>VLOOKUP($B45,'[1]IAC - Base'!$A$6:$BH$45,'[1]IAC - Base'!L$1,0)</f>
        <v>58508215.159999996</v>
      </c>
      <c r="L45" s="20">
        <f>VLOOKUP($B45,'[1]IAC - Base'!$A$6:$BH$45,'[1]IAC - Base'!M$1,0)</f>
        <v>9627463.6500000004</v>
      </c>
      <c r="M45" s="20">
        <f>VLOOKUP($B45,'[1]IAC - Base'!$A$6:$BH$45,'[1]IAC - Base'!N$1,0)</f>
        <v>10514828.560000001</v>
      </c>
      <c r="N45" s="20">
        <f>VLOOKUP($B45,'[1]IAC - Base'!$A$6:$BH$45,'[1]IAC - Base'!O$1,0)</f>
        <v>8652319.4199999999</v>
      </c>
      <c r="O45" s="20">
        <f>VLOOKUP($B45,'[1]IAC - Base'!$A$6:$BH$45,'[1]IAC - Base'!P$1,0)</f>
        <v>10004991.93</v>
      </c>
      <c r="P45" s="20">
        <f>VLOOKUP($B45,'[1]IAC - Base'!$A$6:$BH$45,'[1]IAC - Base'!Q$1,0)</f>
        <v>0</v>
      </c>
      <c r="Q45" s="20">
        <f>VLOOKUP($B45,'[1]IAC - Base'!$A$6:$BH$45,'[1]IAC - Base'!R$1,0)</f>
        <v>0</v>
      </c>
      <c r="R45" s="20">
        <f>VLOOKUP($B45,'[1]IAC - Base'!$A$6:$BH$45,'[1]IAC - Base'!S$1,0)</f>
        <v>0</v>
      </c>
      <c r="S45" s="20">
        <f>VLOOKUP($B45,'[1]IAC - Base'!$A$6:$BH$45,'[1]IAC - Base'!T$1,0)</f>
        <v>0</v>
      </c>
      <c r="T45" s="20">
        <f>VLOOKUP($B45,'[1]IAC - Base'!$A$6:$BH$45,'[1]IAC - Base'!U$1,0)</f>
        <v>0</v>
      </c>
      <c r="U45" s="20">
        <f>VLOOKUP($B45,'[1]IAC - Base'!$A$6:$BH$45,'[1]IAC - Base'!V$1,0)</f>
        <v>0</v>
      </c>
      <c r="V45" s="20">
        <f>VLOOKUP($B45,'[1]IAC - Base'!$A$6:$BH$45,'[1]IAC - Base'!W$1,0)</f>
        <v>0</v>
      </c>
      <c r="W45" s="20">
        <f>VLOOKUP($B45,'[1]IAC - Base'!$A$6:$BH$45,'[1]IAC - Base'!X$1,0)</f>
        <v>0</v>
      </c>
      <c r="X45" s="20">
        <f>VLOOKUP($B45,'[1]IAC - Base'!$A$6:$BH$45,'[1]IAC - Base'!Y$1,0)</f>
        <v>0</v>
      </c>
      <c r="Y45" s="20">
        <f>VLOOKUP($B45,'[1]IAC - Base'!$A$6:$BH$45,'[1]IAC - Base'!Z$1,0)</f>
        <v>0</v>
      </c>
      <c r="Z45" s="20">
        <f>VLOOKUP($B45,'[1]IAC - Base'!$A$6:$BH$45,'[1]IAC - Base'!AA$1,0)</f>
        <v>0</v>
      </c>
      <c r="AA45" s="20">
        <f>VLOOKUP($B45,'[1]IAC - Base'!$A$6:$BH$45,'[1]IAC - Base'!AB$1,0)</f>
        <v>0</v>
      </c>
      <c r="AB45" s="20">
        <f>VLOOKUP($B45,'[1]IAC - Base'!$A$6:$BH$45,'[1]IAC - Base'!AC$1,0)</f>
        <v>0</v>
      </c>
      <c r="AC45" s="20">
        <f>VLOOKUP($B45,'[1]IAC - Base'!$A$6:$BH$45,'[1]IAC - Base'!AD$1,0)</f>
        <v>0</v>
      </c>
      <c r="AD45" s="20">
        <f>VLOOKUP($B45,'[1]IAC - Base'!$A$6:$BH$45,'[1]IAC - Base'!AE$1,0)</f>
        <v>0</v>
      </c>
      <c r="AE45" s="20">
        <f t="shared" si="0"/>
        <v>97307818.719999999</v>
      </c>
      <c r="AF45" s="21">
        <f t="shared" si="1"/>
        <v>0.33171314443225192</v>
      </c>
      <c r="AH45" s="20">
        <f>VLOOKUP($B45,'[1]IAC - Base'!$A$6:$BH$45,'[1]IAC - Base'!AI$1,0)</f>
        <v>14076264.25</v>
      </c>
      <c r="AI45" s="20">
        <f>VLOOKUP($B45,'[1]IAC - Base'!$A$6:$BH$45,'[1]IAC - Base'!AJ$1,0)</f>
        <v>10364721.970000001</v>
      </c>
      <c r="AJ45" s="20">
        <f>VLOOKUP($B45,'[1]IAC - Base'!$A$6:$BH$45,'[1]IAC - Base'!AK$1,0)</f>
        <v>10677580.27</v>
      </c>
      <c r="AK45" s="20">
        <f>VLOOKUP($B45,'[1]IAC - Base'!$A$6:$BH$45,'[1]IAC - Base'!AL$1,0)</f>
        <v>12839083.5</v>
      </c>
      <c r="AL45" s="20">
        <f>VLOOKUP($B45,'[1]IAC - Base'!$A$6:$BH$45,'[1]IAC - Base'!AM$1,0)</f>
        <v>11163106.550000001</v>
      </c>
      <c r="AM45" s="20">
        <f>VLOOKUP($B45,'[1]IAC - Base'!$A$6:$BH$45,'[1]IAC - Base'!AN$1,0)</f>
        <v>9925925.7899999991</v>
      </c>
      <c r="AN45" s="20">
        <f>VLOOKUP($B45,'[1]IAC - Base'!$A$6:$BH$45,'[1]IAC - Base'!AO$1,0)</f>
        <v>13590737.970000001</v>
      </c>
      <c r="AO45" s="20">
        <f>VLOOKUP($B45,'[1]IAC - Base'!$A$6:$BH$45,'[1]IAC - Base'!AP$1,0)</f>
        <v>13105211.689999999</v>
      </c>
      <c r="AP45" s="20">
        <f>VLOOKUP($B45,'[1]IAC - Base'!$A$6:$BH$45,'[1]IAC - Base'!AQ$1,0)</f>
        <v>9925925.7899999991</v>
      </c>
      <c r="AQ45" s="20">
        <f>VLOOKUP($B45,'[1]IAC - Base'!$A$6:$BH$45,'[1]IAC - Base'!AR$1,0)</f>
        <v>14076264.26</v>
      </c>
      <c r="AR45" s="20">
        <f>VLOOKUP($B45,'[1]IAC - Base'!$A$6:$BH$45,'[1]IAC - Base'!AS$1,0)</f>
        <v>13324609.779999999</v>
      </c>
      <c r="AS45" s="20">
        <f>VLOOKUP($B45,'[1]IAC - Base'!$A$6:$BH$45,'[1]IAC - Base'!AT$1,0)</f>
        <v>12619685.41</v>
      </c>
      <c r="AT45" s="20">
        <f>VLOOKUP($B45,'[1]IAC - Base'!$A$6:$BH$45,'[1]IAC - Base'!AU$1,0)</f>
        <v>13244752.01</v>
      </c>
      <c r="AU45" s="20">
        <f>VLOOKUP($B45,'[1]IAC - Base'!$A$6:$BH$45,'[1]IAC - Base'!AV$1,0)</f>
        <v>10546832.02</v>
      </c>
      <c r="AV45" s="20">
        <f>VLOOKUP($B45,'[1]IAC - Base'!$A$6:$BH$45,'[1]IAC - Base'!AW$1,0)</f>
        <v>10442548.710000001</v>
      </c>
      <c r="AW45" s="20">
        <f>VLOOKUP($B45,'[1]IAC - Base'!$A$6:$BH$45,'[1]IAC - Base'!AX$1,0)</f>
        <v>13902224.970000001</v>
      </c>
      <c r="AX45" s="20">
        <f>VLOOKUP($B45,'[1]IAC - Base'!$A$6:$BH$45,'[1]IAC - Base'!AY$1,0)</f>
        <v>11843650.359999999</v>
      </c>
      <c r="AY45" s="20">
        <f>VLOOKUP($B45,'[1]IAC - Base'!$A$6:$BH$45,'[1]IAC - Base'!AZ$1,0)</f>
        <v>11100021.66</v>
      </c>
      <c r="AZ45" s="20">
        <f>VLOOKUP($B45,'[1]IAC - Base'!$A$6:$BH$45,'[1]IAC - Base'!BA$1,0)</f>
        <v>13711785.9</v>
      </c>
      <c r="BA45" s="20">
        <f>VLOOKUP($B45,'[1]IAC - Base'!$A$6:$BH$45,'[1]IAC - Base'!BB$1,0)</f>
        <v>13244752.02</v>
      </c>
      <c r="BB45" s="20">
        <f>VLOOKUP($B45,'[1]IAC - Base'!$A$6:$BH$45,'[1]IAC - Base'!BC$1,0)</f>
        <v>10165953.890000001</v>
      </c>
      <c r="BC45" s="20">
        <f>VLOOKUP($B45,'[1]IAC - Base'!$A$6:$BH$45,'[1]IAC - Base'!BD$1,0)</f>
        <v>14178819.789999999</v>
      </c>
      <c r="BD45" s="20">
        <f>VLOOKUP($B45,'[1]IAC - Base'!$A$6:$BH$45,'[1]IAC - Base'!BE$1,0)</f>
        <v>12968157.199999999</v>
      </c>
      <c r="BE45" s="20">
        <f>VLOOKUP($B45,'[1]IAC - Base'!$A$6:$BH$45,'[1]IAC - Base'!BF$1,0)</f>
        <v>12310684.25</v>
      </c>
      <c r="BF45" s="20">
        <f t="shared" si="2"/>
        <v>293349300.01000005</v>
      </c>
      <c r="BG45" s="21">
        <f t="shared" si="3"/>
        <v>1.0000000000340892</v>
      </c>
    </row>
    <row r="46" spans="1:59" s="23" customFormat="1" ht="15" customHeight="1" x14ac:dyDescent="0.25">
      <c r="A46"/>
      <c r="B46" s="22" t="s">
        <v>102</v>
      </c>
      <c r="C46" s="22" t="s">
        <v>103</v>
      </c>
      <c r="D46" s="19" t="s">
        <v>51</v>
      </c>
      <c r="E46" s="19" t="s">
        <v>104</v>
      </c>
      <c r="F46" s="20">
        <f>VLOOKUP($B46,'[1]IAC - Base'!$A$6:$BH$45,'[1]IAC - Base'!G$1,0)</f>
        <v>838804583</v>
      </c>
      <c r="G46" s="20">
        <f>VLOOKUP($B46,'[1]IAC - Base'!$A$6:$BH$45,'[1]IAC - Base'!H$1,0)</f>
        <v>0</v>
      </c>
      <c r="H46" s="20">
        <f>VLOOKUP($B46,'[1]IAC - Base'!$A$6:$BH$45,'[1]IAC - Base'!I$1,0)</f>
        <v>0</v>
      </c>
      <c r="I46" s="20">
        <f>VLOOKUP($B46,'[1]IAC - Base'!$A$6:$BH$45,'[1]IAC - Base'!J$1,0)</f>
        <v>0</v>
      </c>
      <c r="J46" s="20">
        <f>VLOOKUP($B46,'[1]IAC - Base'!$A$6:$BH$45,'[1]IAC - Base'!K$1,0)</f>
        <v>0</v>
      </c>
      <c r="K46" s="20">
        <f>VLOOKUP($B46,'[1]IAC - Base'!$A$6:$BH$45,'[1]IAC - Base'!L$1,0)</f>
        <v>167298708.47</v>
      </c>
      <c r="L46" s="20">
        <f>VLOOKUP($B46,'[1]IAC - Base'!$A$6:$BH$45,'[1]IAC - Base'!M$1,0)</f>
        <v>27528821.91</v>
      </c>
      <c r="M46" s="20">
        <f>VLOOKUP($B46,'[1]IAC - Base'!$A$6:$BH$45,'[1]IAC - Base'!N$1,0)</f>
        <v>30066157.940000001</v>
      </c>
      <c r="N46" s="20">
        <f>VLOOKUP($B46,'[1]IAC - Base'!$A$6:$BH$45,'[1]IAC - Base'!O$1,0)</f>
        <v>24740489.170000002</v>
      </c>
      <c r="O46" s="20">
        <f>VLOOKUP($B46,'[1]IAC - Base'!$A$6:$BH$45,'[1]IAC - Base'!P$1,0)</f>
        <v>28608328.32</v>
      </c>
      <c r="P46" s="20">
        <f>VLOOKUP($B46,'[1]IAC - Base'!$A$6:$BH$45,'[1]IAC - Base'!Q$1,0)</f>
        <v>0</v>
      </c>
      <c r="Q46" s="20">
        <f>VLOOKUP($B46,'[1]IAC - Base'!$A$6:$BH$45,'[1]IAC - Base'!R$1,0)</f>
        <v>0</v>
      </c>
      <c r="R46" s="20">
        <f>VLOOKUP($B46,'[1]IAC - Base'!$A$6:$BH$45,'[1]IAC - Base'!S$1,0)</f>
        <v>0</v>
      </c>
      <c r="S46" s="20">
        <f>VLOOKUP($B46,'[1]IAC - Base'!$A$6:$BH$45,'[1]IAC - Base'!T$1,0)</f>
        <v>0</v>
      </c>
      <c r="T46" s="20">
        <f>VLOOKUP($B46,'[1]IAC - Base'!$A$6:$BH$45,'[1]IAC - Base'!U$1,0)</f>
        <v>0</v>
      </c>
      <c r="U46" s="20">
        <f>VLOOKUP($B46,'[1]IAC - Base'!$A$6:$BH$45,'[1]IAC - Base'!V$1,0)</f>
        <v>0</v>
      </c>
      <c r="V46" s="20">
        <f>VLOOKUP($B46,'[1]IAC - Base'!$A$6:$BH$45,'[1]IAC - Base'!W$1,0)</f>
        <v>0</v>
      </c>
      <c r="W46" s="20">
        <f>VLOOKUP($B46,'[1]IAC - Base'!$A$6:$BH$45,'[1]IAC - Base'!X$1,0)</f>
        <v>0</v>
      </c>
      <c r="X46" s="20">
        <f>VLOOKUP($B46,'[1]IAC - Base'!$A$6:$BH$45,'[1]IAC - Base'!Y$1,0)</f>
        <v>0</v>
      </c>
      <c r="Y46" s="20">
        <f>VLOOKUP($B46,'[1]IAC - Base'!$A$6:$BH$45,'[1]IAC - Base'!Z$1,0)</f>
        <v>0</v>
      </c>
      <c r="Z46" s="20">
        <f>VLOOKUP($B46,'[1]IAC - Base'!$A$6:$BH$45,'[1]IAC - Base'!AA$1,0)</f>
        <v>0</v>
      </c>
      <c r="AA46" s="20">
        <f>VLOOKUP($B46,'[1]IAC - Base'!$A$6:$BH$45,'[1]IAC - Base'!AB$1,0)</f>
        <v>0</v>
      </c>
      <c r="AB46" s="20">
        <f>VLOOKUP($B46,'[1]IAC - Base'!$A$6:$BH$45,'[1]IAC - Base'!AC$1,0)</f>
        <v>0</v>
      </c>
      <c r="AC46" s="20">
        <f>VLOOKUP($B46,'[1]IAC - Base'!$A$6:$BH$45,'[1]IAC - Base'!AD$1,0)</f>
        <v>0</v>
      </c>
      <c r="AD46" s="20">
        <f>VLOOKUP($B46,'[1]IAC - Base'!$A$6:$BH$45,'[1]IAC - Base'!AE$1,0)</f>
        <v>0</v>
      </c>
      <c r="AE46" s="20">
        <f t="shared" si="0"/>
        <v>278242505.81</v>
      </c>
      <c r="AF46" s="21">
        <f t="shared" si="1"/>
        <v>0.33171314445476746</v>
      </c>
      <c r="AH46" s="20">
        <f>VLOOKUP($B46,'[1]IAC - Base'!$A$6:$BH$45,'[1]IAC - Base'!AI$1,0)</f>
        <v>40249746.5</v>
      </c>
      <c r="AI46" s="20">
        <f>VLOOKUP($B46,'[1]IAC - Base'!$A$6:$BH$45,'[1]IAC - Base'!AJ$1,0)</f>
        <v>29636942.329999998</v>
      </c>
      <c r="AJ46" s="20">
        <f>VLOOKUP($B46,'[1]IAC - Base'!$A$6:$BH$45,'[1]IAC - Base'!AK$1,0)</f>
        <v>30531531.07</v>
      </c>
      <c r="AK46" s="20">
        <f>VLOOKUP($B46,'[1]IAC - Base'!$A$6:$BH$45,'[1]IAC - Base'!AL$1,0)</f>
        <v>36712145.140000001</v>
      </c>
      <c r="AL46" s="20">
        <f>VLOOKUP($B46,'[1]IAC - Base'!$A$6:$BH$45,'[1]IAC - Base'!AM$1,0)</f>
        <v>31919847.559999999</v>
      </c>
      <c r="AM46" s="20">
        <f>VLOOKUP($B46,'[1]IAC - Base'!$A$6:$BH$45,'[1]IAC - Base'!AN$1,0)</f>
        <v>28382246.16</v>
      </c>
      <c r="AN46" s="20">
        <f>VLOOKUP($B46,'[1]IAC - Base'!$A$6:$BH$45,'[1]IAC - Base'!AO$1,0)</f>
        <v>38861430.039999999</v>
      </c>
      <c r="AO46" s="20">
        <f>VLOOKUP($B46,'[1]IAC - Base'!$A$6:$BH$45,'[1]IAC - Base'!AP$1,0)</f>
        <v>37473113.549999997</v>
      </c>
      <c r="AP46" s="20">
        <f>VLOOKUP($B46,'[1]IAC - Base'!$A$6:$BH$45,'[1]IAC - Base'!AQ$1,0)</f>
        <v>28382246.16</v>
      </c>
      <c r="AQ46" s="20">
        <f>VLOOKUP($B46,'[1]IAC - Base'!$A$6:$BH$45,'[1]IAC - Base'!AR$1,0)</f>
        <v>40249746.530000001</v>
      </c>
      <c r="AR46" s="20">
        <f>VLOOKUP($B46,'[1]IAC - Base'!$A$6:$BH$45,'[1]IAC - Base'!AS$1,0)</f>
        <v>38100461.630000003</v>
      </c>
      <c r="AS46" s="20">
        <f>VLOOKUP($B46,'[1]IAC - Base'!$A$6:$BH$45,'[1]IAC - Base'!AT$1,0)</f>
        <v>36084797.049999997</v>
      </c>
      <c r="AT46" s="20">
        <f>VLOOKUP($B46,'[1]IAC - Base'!$A$6:$BH$45,'[1]IAC - Base'!AU$1,0)</f>
        <v>37872115.890000001</v>
      </c>
      <c r="AU46" s="20">
        <f>VLOOKUP($B46,'[1]IAC - Base'!$A$6:$BH$45,'[1]IAC - Base'!AV$1,0)</f>
        <v>30157668.809999999</v>
      </c>
      <c r="AV46" s="20">
        <f>VLOOKUP($B46,'[1]IAC - Base'!$A$6:$BH$45,'[1]IAC - Base'!AW$1,0)</f>
        <v>29859480.539999999</v>
      </c>
      <c r="AW46" s="20">
        <f>VLOOKUP($B46,'[1]IAC - Base'!$A$6:$BH$45,'[1]IAC - Base'!AX$1,0)</f>
        <v>39752097.640000001</v>
      </c>
      <c r="AX46" s="20">
        <f>VLOOKUP($B46,'[1]IAC - Base'!$A$6:$BH$45,'[1]IAC - Base'!AY$1,0)</f>
        <v>33865798.229999997</v>
      </c>
      <c r="AY46" s="20">
        <f>VLOOKUP($B46,'[1]IAC - Base'!$A$6:$BH$45,'[1]IAC - Base'!AZ$1,0)</f>
        <v>31739462.27</v>
      </c>
      <c r="AZ46" s="20">
        <f>VLOOKUP($B46,'[1]IAC - Base'!$A$6:$BH$45,'[1]IAC - Base'!BA$1,0)</f>
        <v>39207555.140000001</v>
      </c>
      <c r="BA46" s="20">
        <f>VLOOKUP($B46,'[1]IAC - Base'!$A$6:$BH$45,'[1]IAC - Base'!BB$1,0)</f>
        <v>37872115.920000002</v>
      </c>
      <c r="BB46" s="20">
        <f>VLOOKUP($B46,'[1]IAC - Base'!$A$6:$BH$45,'[1]IAC - Base'!BC$1,0)</f>
        <v>29068583.809999999</v>
      </c>
      <c r="BC46" s="20">
        <f>VLOOKUP($B46,'[1]IAC - Base'!$A$6:$BH$45,'[1]IAC - Base'!BD$1,0)</f>
        <v>40542994.369999997</v>
      </c>
      <c r="BD46" s="20">
        <f>VLOOKUP($B46,'[1]IAC - Base'!$A$6:$BH$45,'[1]IAC - Base'!BE$1,0)</f>
        <v>37081219.189999998</v>
      </c>
      <c r="BE46" s="20">
        <f>VLOOKUP($B46,'[1]IAC - Base'!$A$6:$BH$45,'[1]IAC - Base'!BF$1,0)</f>
        <v>35201237.450000003</v>
      </c>
      <c r="BF46" s="20">
        <f t="shared" si="2"/>
        <v>838804582.98000002</v>
      </c>
      <c r="BG46" s="21">
        <f t="shared" si="3"/>
        <v>0.99999999997615652</v>
      </c>
    </row>
    <row r="47" spans="1:59" s="23" customFormat="1" ht="15" customHeight="1" x14ac:dyDescent="0.25">
      <c r="A47"/>
      <c r="B47" s="22" t="s">
        <v>105</v>
      </c>
      <c r="C47" s="22" t="s">
        <v>106</v>
      </c>
      <c r="D47" s="19" t="s">
        <v>107</v>
      </c>
      <c r="E47" s="19" t="s">
        <v>108</v>
      </c>
      <c r="F47" s="20">
        <f>VLOOKUP($B47,'[1]IAC - Base'!$A$6:$BH$45,'[1]IAC - Base'!G$1,0)</f>
        <v>10214464971</v>
      </c>
      <c r="G47" s="20">
        <f>VLOOKUP($B47,'[1]IAC - Base'!$A$6:$BH$45,'[1]IAC - Base'!H$1,0)</f>
        <v>0</v>
      </c>
      <c r="H47" s="20">
        <f>VLOOKUP($B47,'[1]IAC - Base'!$A$6:$BH$45,'[1]IAC - Base'!I$1,0)</f>
        <v>0</v>
      </c>
      <c r="I47" s="20">
        <f>VLOOKUP($B47,'[1]IAC - Base'!$A$6:$BH$45,'[1]IAC - Base'!J$1,0)</f>
        <v>0</v>
      </c>
      <c r="J47" s="20">
        <f>VLOOKUP($B47,'[1]IAC - Base'!$A$6:$BH$45,'[1]IAC - Base'!K$1,0)</f>
        <v>0</v>
      </c>
      <c r="K47" s="20">
        <f>VLOOKUP($B47,'[1]IAC - Base'!$A$6:$BH$45,'[1]IAC - Base'!L$1,0)</f>
        <v>2037264497.5700002</v>
      </c>
      <c r="L47" s="20">
        <f>VLOOKUP($B47,'[1]IAC - Base'!$A$6:$BH$45,'[1]IAC - Base'!M$1,0)</f>
        <v>335229674.17000002</v>
      </c>
      <c r="M47" s="20">
        <f>VLOOKUP($B47,'[1]IAC - Base'!$A$6:$BH$45,'[1]IAC - Base'!N$1,0)</f>
        <v>366127848.29000002</v>
      </c>
      <c r="N47" s="20">
        <f>VLOOKUP($B47,'[1]IAC - Base'!$A$6:$BH$45,'[1]IAC - Base'!O$1,0)</f>
        <v>301275011.17999989</v>
      </c>
      <c r="O47" s="20">
        <f>VLOOKUP($B47,'[1]IAC - Base'!$A$6:$BH$45,'[1]IAC - Base'!P$1,0)</f>
        <v>348375263.18000025</v>
      </c>
      <c r="P47" s="20">
        <f>VLOOKUP($B47,'[1]IAC - Base'!$A$6:$BH$45,'[1]IAC - Base'!Q$1,0)</f>
        <v>0</v>
      </c>
      <c r="Q47" s="20">
        <f>VLOOKUP($B47,'[1]IAC - Base'!$A$6:$BH$45,'[1]IAC - Base'!R$1,0)</f>
        <v>0</v>
      </c>
      <c r="R47" s="20">
        <f>VLOOKUP($B47,'[1]IAC - Base'!$A$6:$BH$45,'[1]IAC - Base'!S$1,0)</f>
        <v>0</v>
      </c>
      <c r="S47" s="20">
        <f>VLOOKUP($B47,'[1]IAC - Base'!$A$6:$BH$45,'[1]IAC - Base'!T$1,0)</f>
        <v>0</v>
      </c>
      <c r="T47" s="20">
        <f>VLOOKUP($B47,'[1]IAC - Base'!$A$6:$BH$45,'[1]IAC - Base'!U$1,0)</f>
        <v>0</v>
      </c>
      <c r="U47" s="20">
        <f>VLOOKUP($B47,'[1]IAC - Base'!$A$6:$BH$45,'[1]IAC - Base'!V$1,0)</f>
        <v>0</v>
      </c>
      <c r="V47" s="20">
        <f>VLOOKUP($B47,'[1]IAC - Base'!$A$6:$BH$45,'[1]IAC - Base'!W$1,0)</f>
        <v>0</v>
      </c>
      <c r="W47" s="20">
        <f>VLOOKUP($B47,'[1]IAC - Base'!$A$6:$BH$45,'[1]IAC - Base'!X$1,0)</f>
        <v>0</v>
      </c>
      <c r="X47" s="20">
        <f>VLOOKUP($B47,'[1]IAC - Base'!$A$6:$BH$45,'[1]IAC - Base'!Y$1,0)</f>
        <v>0</v>
      </c>
      <c r="Y47" s="20">
        <f>VLOOKUP($B47,'[1]IAC - Base'!$A$6:$BH$45,'[1]IAC - Base'!Z$1,0)</f>
        <v>0</v>
      </c>
      <c r="Z47" s="20">
        <f>VLOOKUP($B47,'[1]IAC - Base'!$A$6:$BH$45,'[1]IAC - Base'!AA$1,0)</f>
        <v>0</v>
      </c>
      <c r="AA47" s="20">
        <f>VLOOKUP($B47,'[1]IAC - Base'!$A$6:$BH$45,'[1]IAC - Base'!AB$1,0)</f>
        <v>0</v>
      </c>
      <c r="AB47" s="20">
        <f>VLOOKUP($B47,'[1]IAC - Base'!$A$6:$BH$45,'[1]IAC - Base'!AC$1,0)</f>
        <v>0</v>
      </c>
      <c r="AC47" s="20">
        <f>VLOOKUP($B47,'[1]IAC - Base'!$A$6:$BH$45,'[1]IAC - Base'!AD$1,0)</f>
        <v>0</v>
      </c>
      <c r="AD47" s="20">
        <f>VLOOKUP($B47,'[1]IAC - Base'!$A$6:$BH$45,'[1]IAC - Base'!AE$1,0)</f>
        <v>0</v>
      </c>
      <c r="AE47" s="20">
        <f t="shared" si="0"/>
        <v>3388272294.3900003</v>
      </c>
      <c r="AF47" s="21">
        <f t="shared" si="1"/>
        <v>0.33171314444855227</v>
      </c>
      <c r="AH47" s="20">
        <f>VLOOKUP($B47,'[1]IAC - Base'!$A$6:$BH$45,'[1]IAC - Base'!AI$1,0)</f>
        <v>490137552.94999999</v>
      </c>
      <c r="AI47" s="20">
        <f>VLOOKUP($B47,'[1]IAC - Base'!$A$6:$BH$45,'[1]IAC - Base'!AJ$1,0)</f>
        <v>360901115.02999997</v>
      </c>
      <c r="AJ47" s="20">
        <f>VLOOKUP($B47,'[1]IAC - Base'!$A$6:$BH$45,'[1]IAC - Base'!AK$1,0)</f>
        <v>371794886.35000002</v>
      </c>
      <c r="AK47" s="20">
        <f>VLOOKUP($B47,'[1]IAC - Base'!$A$6:$BH$45,'[1]IAC - Base'!AL$1,0)</f>
        <v>447058740.67000002</v>
      </c>
      <c r="AL47" s="20">
        <f>VLOOKUP($B47,'[1]IAC - Base'!$A$6:$BH$45,'[1]IAC - Base'!AM$1,0)</f>
        <v>388700981.58999997</v>
      </c>
      <c r="AM47" s="20">
        <f>VLOOKUP($B47,'[1]IAC - Base'!$A$6:$BH$45,'[1]IAC - Base'!AN$1,0)</f>
        <v>345622168.82999998</v>
      </c>
      <c r="AN47" s="20">
        <f>VLOOKUP($B47,'[1]IAC - Base'!$A$6:$BH$45,'[1]IAC - Base'!AO$1,0)</f>
        <v>473231458.06999999</v>
      </c>
      <c r="AO47" s="20">
        <f>VLOOKUP($B47,'[1]IAC - Base'!$A$6:$BH$45,'[1]IAC - Base'!AP$1,0)</f>
        <v>456325362.87</v>
      </c>
      <c r="AP47" s="20">
        <f>VLOOKUP($B47,'[1]IAC - Base'!$A$6:$BH$45,'[1]IAC - Base'!AQ$1,0)</f>
        <v>345622168.82999998</v>
      </c>
      <c r="AQ47" s="20">
        <f>VLOOKUP($B47,'[1]IAC - Base'!$A$6:$BH$45,'[1]IAC - Base'!AR$1,0)</f>
        <v>490137553.31</v>
      </c>
      <c r="AR47" s="20">
        <f>VLOOKUP($B47,'[1]IAC - Base'!$A$6:$BH$45,'[1]IAC - Base'!AS$1,0)</f>
        <v>463964835.87</v>
      </c>
      <c r="AS47" s="20">
        <f>VLOOKUP($B47,'[1]IAC - Base'!$A$6:$BH$45,'[1]IAC - Base'!AT$1,0)</f>
        <v>439419267.50999999</v>
      </c>
      <c r="AT47" s="20">
        <f>VLOOKUP($B47,'[1]IAC - Base'!$A$6:$BH$45,'[1]IAC - Base'!AU$1,0)</f>
        <v>461184176.82999998</v>
      </c>
      <c r="AU47" s="20">
        <f>VLOOKUP($B47,'[1]IAC - Base'!$A$6:$BH$45,'[1]IAC - Base'!AV$1,0)</f>
        <v>367242213.43000001</v>
      </c>
      <c r="AV47" s="20">
        <f>VLOOKUP($B47,'[1]IAC - Base'!$A$6:$BH$45,'[1]IAC - Base'!AW$1,0)</f>
        <v>363611053.43000001</v>
      </c>
      <c r="AW47" s="20">
        <f>VLOOKUP($B47,'[1]IAC - Base'!$A$6:$BH$45,'[1]IAC - Base'!AX$1,0)</f>
        <v>484077480.19</v>
      </c>
      <c r="AX47" s="20">
        <f>VLOOKUP($B47,'[1]IAC - Base'!$A$6:$BH$45,'[1]IAC - Base'!AY$1,0)</f>
        <v>412397615.26999998</v>
      </c>
      <c r="AY47" s="20">
        <f>VLOOKUP($B47,'[1]IAC - Base'!$A$6:$BH$45,'[1]IAC - Base'!AZ$1,0)</f>
        <v>386504356.47000003</v>
      </c>
      <c r="AZ47" s="20">
        <f>VLOOKUP($B47,'[1]IAC - Base'!$A$6:$BH$45,'[1]IAC - Base'!BA$1,0)</f>
        <v>477446364.43000001</v>
      </c>
      <c r="BA47" s="20">
        <f>VLOOKUP($B47,'[1]IAC - Base'!$A$6:$BH$45,'[1]IAC - Base'!BB$1,0)</f>
        <v>461184177.23000002</v>
      </c>
      <c r="BB47" s="20">
        <f>VLOOKUP($B47,'[1]IAC - Base'!$A$6:$BH$45,'[1]IAC - Base'!BC$1,0)</f>
        <v>353979981.91000003</v>
      </c>
      <c r="BC47" s="20">
        <f>VLOOKUP($B47,'[1]IAC - Base'!$A$6:$BH$45,'[1]IAC - Base'!BD$1,0)</f>
        <v>493708551.70999998</v>
      </c>
      <c r="BD47" s="20">
        <f>VLOOKUP($B47,'[1]IAC - Base'!$A$6:$BH$45,'[1]IAC - Base'!BE$1,0)</f>
        <v>451553105.70999998</v>
      </c>
      <c r="BE47" s="20">
        <f>VLOOKUP($B47,'[1]IAC - Base'!$A$6:$BH$45,'[1]IAC - Base'!BF$1,0)</f>
        <v>428659802.47000003</v>
      </c>
      <c r="BF47" s="20">
        <f t="shared" si="2"/>
        <v>10214464970.959999</v>
      </c>
      <c r="BG47" s="21">
        <f t="shared" si="3"/>
        <v>0.99999999999608391</v>
      </c>
    </row>
    <row r="48" spans="1:59" s="23" customFormat="1" ht="15" customHeight="1" x14ac:dyDescent="0.25">
      <c r="A48"/>
      <c r="B48" s="22" t="s">
        <v>109</v>
      </c>
      <c r="C48" s="22" t="s">
        <v>106</v>
      </c>
      <c r="D48" s="19" t="s">
        <v>107</v>
      </c>
      <c r="E48" s="19" t="s">
        <v>110</v>
      </c>
      <c r="F48" s="20">
        <f>VLOOKUP($B48,'[1]IAC - Base'!$A$6:$BH$45,'[1]IAC - Base'!G$1,0)</f>
        <v>10214464971</v>
      </c>
      <c r="G48" s="20">
        <f>VLOOKUP($B48,'[1]IAC - Base'!$A$6:$BH$45,'[1]IAC - Base'!H$1,0)</f>
        <v>0</v>
      </c>
      <c r="H48" s="20">
        <f>VLOOKUP($B48,'[1]IAC - Base'!$A$6:$BH$45,'[1]IAC - Base'!I$1,0)</f>
        <v>0</v>
      </c>
      <c r="I48" s="20">
        <f>VLOOKUP($B48,'[1]IAC - Base'!$A$6:$BH$45,'[1]IAC - Base'!J$1,0)</f>
        <v>0</v>
      </c>
      <c r="J48" s="20">
        <f>VLOOKUP($B48,'[1]IAC - Base'!$A$6:$BH$45,'[1]IAC - Base'!K$1,0)</f>
        <v>0</v>
      </c>
      <c r="K48" s="20">
        <f>VLOOKUP($B48,'[1]IAC - Base'!$A$6:$BH$45,'[1]IAC - Base'!L$1,0)</f>
        <v>2037264497.5700002</v>
      </c>
      <c r="L48" s="20">
        <f>VLOOKUP($B48,'[1]IAC - Base'!$A$6:$BH$45,'[1]IAC - Base'!M$1,0)</f>
        <v>335229674.17000002</v>
      </c>
      <c r="M48" s="20">
        <f>VLOOKUP($B48,'[1]IAC - Base'!$A$6:$BH$45,'[1]IAC - Base'!N$1,0)</f>
        <v>366127848.29000002</v>
      </c>
      <c r="N48" s="20">
        <f>VLOOKUP($B48,'[1]IAC - Base'!$A$6:$BH$45,'[1]IAC - Base'!O$1,0)</f>
        <v>301275010.89000016</v>
      </c>
      <c r="O48" s="20">
        <f>VLOOKUP($B48,'[1]IAC - Base'!$A$6:$BH$45,'[1]IAC - Base'!P$1,0)</f>
        <v>348375263.41000015</v>
      </c>
      <c r="P48" s="20">
        <f>VLOOKUP($B48,'[1]IAC - Base'!$A$6:$BH$45,'[1]IAC - Base'!Q$1,0)</f>
        <v>0</v>
      </c>
      <c r="Q48" s="20">
        <f>VLOOKUP($B48,'[1]IAC - Base'!$A$6:$BH$45,'[1]IAC - Base'!R$1,0)</f>
        <v>0</v>
      </c>
      <c r="R48" s="20">
        <f>VLOOKUP($B48,'[1]IAC - Base'!$A$6:$BH$45,'[1]IAC - Base'!S$1,0)</f>
        <v>0</v>
      </c>
      <c r="S48" s="20">
        <f>VLOOKUP($B48,'[1]IAC - Base'!$A$6:$BH$45,'[1]IAC - Base'!T$1,0)</f>
        <v>0</v>
      </c>
      <c r="T48" s="20">
        <f>VLOOKUP($B48,'[1]IAC - Base'!$A$6:$BH$45,'[1]IAC - Base'!U$1,0)</f>
        <v>0</v>
      </c>
      <c r="U48" s="20">
        <f>VLOOKUP($B48,'[1]IAC - Base'!$A$6:$BH$45,'[1]IAC - Base'!V$1,0)</f>
        <v>0</v>
      </c>
      <c r="V48" s="20">
        <f>VLOOKUP($B48,'[1]IAC - Base'!$A$6:$BH$45,'[1]IAC - Base'!W$1,0)</f>
        <v>0</v>
      </c>
      <c r="W48" s="20">
        <f>VLOOKUP($B48,'[1]IAC - Base'!$A$6:$BH$45,'[1]IAC - Base'!X$1,0)</f>
        <v>0</v>
      </c>
      <c r="X48" s="20">
        <f>VLOOKUP($B48,'[1]IAC - Base'!$A$6:$BH$45,'[1]IAC - Base'!Y$1,0)</f>
        <v>0</v>
      </c>
      <c r="Y48" s="20">
        <f>VLOOKUP($B48,'[1]IAC - Base'!$A$6:$BH$45,'[1]IAC - Base'!Z$1,0)</f>
        <v>0</v>
      </c>
      <c r="Z48" s="20">
        <f>VLOOKUP($B48,'[1]IAC - Base'!$A$6:$BH$45,'[1]IAC - Base'!AA$1,0)</f>
        <v>0</v>
      </c>
      <c r="AA48" s="20">
        <f>VLOOKUP($B48,'[1]IAC - Base'!$A$6:$BH$45,'[1]IAC - Base'!AB$1,0)</f>
        <v>0</v>
      </c>
      <c r="AB48" s="20">
        <f>VLOOKUP($B48,'[1]IAC - Base'!$A$6:$BH$45,'[1]IAC - Base'!AC$1,0)</f>
        <v>0</v>
      </c>
      <c r="AC48" s="20">
        <f>VLOOKUP($B48,'[1]IAC - Base'!$A$6:$BH$45,'[1]IAC - Base'!AD$1,0)</f>
        <v>0</v>
      </c>
      <c r="AD48" s="20">
        <f>VLOOKUP($B48,'[1]IAC - Base'!$A$6:$BH$45,'[1]IAC - Base'!AE$1,0)</f>
        <v>0</v>
      </c>
      <c r="AE48" s="20">
        <f t="shared" si="0"/>
        <v>3388272294.3300009</v>
      </c>
      <c r="AF48" s="21">
        <f t="shared" si="1"/>
        <v>0.3317131444426783</v>
      </c>
      <c r="AH48" s="20">
        <f>VLOOKUP($B48,'[1]IAC - Base'!$A$6:$BH$45,'[1]IAC - Base'!AI$1,0)</f>
        <v>490137552.94999999</v>
      </c>
      <c r="AI48" s="20">
        <f>VLOOKUP($B48,'[1]IAC - Base'!$A$6:$BH$45,'[1]IAC - Base'!AJ$1,0)</f>
        <v>360901115.02999997</v>
      </c>
      <c r="AJ48" s="20">
        <f>VLOOKUP($B48,'[1]IAC - Base'!$A$6:$BH$45,'[1]IAC - Base'!AK$1,0)</f>
        <v>371794886.35000002</v>
      </c>
      <c r="AK48" s="20">
        <f>VLOOKUP($B48,'[1]IAC - Base'!$A$6:$BH$45,'[1]IAC - Base'!AL$1,0)</f>
        <v>447058740.67000002</v>
      </c>
      <c r="AL48" s="20">
        <f>VLOOKUP($B48,'[1]IAC - Base'!$A$6:$BH$45,'[1]IAC - Base'!AM$1,0)</f>
        <v>388700981.58999997</v>
      </c>
      <c r="AM48" s="20">
        <f>VLOOKUP($B48,'[1]IAC - Base'!$A$6:$BH$45,'[1]IAC - Base'!AN$1,0)</f>
        <v>345622168.82999998</v>
      </c>
      <c r="AN48" s="20">
        <f>VLOOKUP($B48,'[1]IAC - Base'!$A$6:$BH$45,'[1]IAC - Base'!AO$1,0)</f>
        <v>473231458.06999999</v>
      </c>
      <c r="AO48" s="20">
        <f>VLOOKUP($B48,'[1]IAC - Base'!$A$6:$BH$45,'[1]IAC - Base'!AP$1,0)</f>
        <v>456325362.87</v>
      </c>
      <c r="AP48" s="20">
        <f>VLOOKUP($B48,'[1]IAC - Base'!$A$6:$BH$45,'[1]IAC - Base'!AQ$1,0)</f>
        <v>345622168.82999998</v>
      </c>
      <c r="AQ48" s="20">
        <f>VLOOKUP($B48,'[1]IAC - Base'!$A$6:$BH$45,'[1]IAC - Base'!AR$1,0)</f>
        <v>490137553.31</v>
      </c>
      <c r="AR48" s="20">
        <f>VLOOKUP($B48,'[1]IAC - Base'!$A$6:$BH$45,'[1]IAC - Base'!AS$1,0)</f>
        <v>463964835.87</v>
      </c>
      <c r="AS48" s="20">
        <f>VLOOKUP($B48,'[1]IAC - Base'!$A$6:$BH$45,'[1]IAC - Base'!AT$1,0)</f>
        <v>439419267.50999999</v>
      </c>
      <c r="AT48" s="20">
        <f>VLOOKUP($B48,'[1]IAC - Base'!$A$6:$BH$45,'[1]IAC - Base'!AU$1,0)</f>
        <v>461184176.82999998</v>
      </c>
      <c r="AU48" s="20">
        <f>VLOOKUP($B48,'[1]IAC - Base'!$A$6:$BH$45,'[1]IAC - Base'!AV$1,0)</f>
        <v>367242213.43000001</v>
      </c>
      <c r="AV48" s="20">
        <f>VLOOKUP($B48,'[1]IAC - Base'!$A$6:$BH$45,'[1]IAC - Base'!AW$1,0)</f>
        <v>363611053.43000001</v>
      </c>
      <c r="AW48" s="20">
        <f>VLOOKUP($B48,'[1]IAC - Base'!$A$6:$BH$45,'[1]IAC - Base'!AX$1,0)</f>
        <v>484077480.19</v>
      </c>
      <c r="AX48" s="20">
        <f>VLOOKUP($B48,'[1]IAC - Base'!$A$6:$BH$45,'[1]IAC - Base'!AY$1,0)</f>
        <v>412397615.26999998</v>
      </c>
      <c r="AY48" s="20">
        <f>VLOOKUP($B48,'[1]IAC - Base'!$A$6:$BH$45,'[1]IAC - Base'!AZ$1,0)</f>
        <v>386504356.47000003</v>
      </c>
      <c r="AZ48" s="20">
        <f>VLOOKUP($B48,'[1]IAC - Base'!$A$6:$BH$45,'[1]IAC - Base'!BA$1,0)</f>
        <v>477446364.43000001</v>
      </c>
      <c r="BA48" s="20">
        <f>VLOOKUP($B48,'[1]IAC - Base'!$A$6:$BH$45,'[1]IAC - Base'!BB$1,0)</f>
        <v>461184177.23000002</v>
      </c>
      <c r="BB48" s="20">
        <f>VLOOKUP($B48,'[1]IAC - Base'!$A$6:$BH$45,'[1]IAC - Base'!BC$1,0)</f>
        <v>353979981.91000003</v>
      </c>
      <c r="BC48" s="20">
        <f>VLOOKUP($B48,'[1]IAC - Base'!$A$6:$BH$45,'[1]IAC - Base'!BD$1,0)</f>
        <v>493708551.70999998</v>
      </c>
      <c r="BD48" s="20">
        <f>VLOOKUP($B48,'[1]IAC - Base'!$A$6:$BH$45,'[1]IAC - Base'!BE$1,0)</f>
        <v>451553105.70999998</v>
      </c>
      <c r="BE48" s="20">
        <f>VLOOKUP($B48,'[1]IAC - Base'!$A$6:$BH$45,'[1]IAC - Base'!BF$1,0)</f>
        <v>428659802.47000003</v>
      </c>
      <c r="BF48" s="20">
        <f t="shared" si="2"/>
        <v>10214464970.959999</v>
      </c>
      <c r="BG48" s="21">
        <f t="shared" si="3"/>
        <v>0.99999999999608391</v>
      </c>
    </row>
    <row r="49" spans="1:59" s="23" customFormat="1" ht="15" customHeight="1" x14ac:dyDescent="0.25">
      <c r="A49"/>
      <c r="B49" s="22" t="s">
        <v>111</v>
      </c>
      <c r="C49" s="22" t="s">
        <v>112</v>
      </c>
      <c r="D49" s="19" t="s">
        <v>113</v>
      </c>
      <c r="E49" s="19" t="s">
        <v>114</v>
      </c>
      <c r="F49" s="20">
        <f>VLOOKUP($B49,'[1]IAC - Base'!$A$6:$BH$45,'[1]IAC - Base'!G$1,0)</f>
        <v>102144649712</v>
      </c>
      <c r="G49" s="20">
        <f>VLOOKUP($B49,'[1]IAC - Base'!$A$6:$BH$45,'[1]IAC - Base'!H$1,0)</f>
        <v>4903611356</v>
      </c>
      <c r="H49" s="20">
        <f>VLOOKUP($B49,'[1]IAC - Base'!$A$6:$BH$45,'[1]IAC - Base'!I$1,0)</f>
        <v>3126255055.8099999</v>
      </c>
      <c r="I49" s="20">
        <f>VLOOKUP($B49,'[1]IAC - Base'!$A$6:$BH$45,'[1]IAC - Base'!J$1,0)</f>
        <v>4163163509.54</v>
      </c>
      <c r="J49" s="20">
        <f>VLOOKUP($B49,'[1]IAC - Base'!$A$6:$BH$45,'[1]IAC - Base'!K$1,0)</f>
        <v>3813490265.9200001</v>
      </c>
      <c r="K49" s="20">
        <f>VLOOKUP($B49,'[1]IAC - Base'!$A$6:$BH$45,'[1]IAC - Base'!L$1,0)</f>
        <v>4366124788.9200001</v>
      </c>
      <c r="L49" s="20">
        <f>VLOOKUP($B49,'[1]IAC - Base'!$A$6:$BH$45,'[1]IAC - Base'!M$1,0)</f>
        <v>3352296741.7600002</v>
      </c>
      <c r="M49" s="20">
        <f>VLOOKUP($B49,'[1]IAC - Base'!$A$6:$BH$45,'[1]IAC - Base'!N$1,0)</f>
        <v>3661278482.9699998</v>
      </c>
      <c r="N49" s="20">
        <f>VLOOKUP($B49,'[1]IAC - Base'!$A$6:$BH$45,'[1]IAC - Base'!O$1,0)</f>
        <v>3012750110.3499999</v>
      </c>
      <c r="O49" s="20">
        <f>VLOOKUP($B49,'[1]IAC - Base'!$A$6:$BH$45,'[1]IAC - Base'!P$1,0)</f>
        <v>3483752633</v>
      </c>
      <c r="P49" s="20">
        <f>VLOOKUP($B49,'[1]IAC - Base'!$A$6:$BH$45,'[1]IAC - Base'!Q$1,0)</f>
        <v>0</v>
      </c>
      <c r="Q49" s="20">
        <f>VLOOKUP($B49,'[1]IAC - Base'!$A$6:$BH$45,'[1]IAC - Base'!R$1,0)</f>
        <v>0</v>
      </c>
      <c r="R49" s="20">
        <f>VLOOKUP($B49,'[1]IAC - Base'!$A$6:$BH$45,'[1]IAC - Base'!S$1,0)</f>
        <v>0</v>
      </c>
      <c r="S49" s="20">
        <f>VLOOKUP($B49,'[1]IAC - Base'!$A$6:$BH$45,'[1]IAC - Base'!T$1,0)</f>
        <v>0</v>
      </c>
      <c r="T49" s="20">
        <f>VLOOKUP($B49,'[1]IAC - Base'!$A$6:$BH$45,'[1]IAC - Base'!U$1,0)</f>
        <v>0</v>
      </c>
      <c r="U49" s="20">
        <f>VLOOKUP($B49,'[1]IAC - Base'!$A$6:$BH$45,'[1]IAC - Base'!V$1,0)</f>
        <v>0</v>
      </c>
      <c r="V49" s="20">
        <f>VLOOKUP($B49,'[1]IAC - Base'!$A$6:$BH$45,'[1]IAC - Base'!W$1,0)</f>
        <v>0</v>
      </c>
      <c r="W49" s="20">
        <f>VLOOKUP($B49,'[1]IAC - Base'!$A$6:$BH$45,'[1]IAC - Base'!X$1,0)</f>
        <v>0</v>
      </c>
      <c r="X49" s="20">
        <f>VLOOKUP($B49,'[1]IAC - Base'!$A$6:$BH$45,'[1]IAC - Base'!Y$1,0)</f>
        <v>0</v>
      </c>
      <c r="Y49" s="20">
        <f>VLOOKUP($B49,'[1]IAC - Base'!$A$6:$BH$45,'[1]IAC - Base'!Z$1,0)</f>
        <v>0</v>
      </c>
      <c r="Z49" s="20">
        <f>VLOOKUP($B49,'[1]IAC - Base'!$A$6:$BH$45,'[1]IAC - Base'!AA$1,0)</f>
        <v>0</v>
      </c>
      <c r="AA49" s="20">
        <f>VLOOKUP($B49,'[1]IAC - Base'!$A$6:$BH$45,'[1]IAC - Base'!AB$1,0)</f>
        <v>0</v>
      </c>
      <c r="AB49" s="20">
        <f>VLOOKUP($B49,'[1]IAC - Base'!$A$6:$BH$45,'[1]IAC - Base'!AC$1,0)</f>
        <v>0</v>
      </c>
      <c r="AC49" s="20">
        <f>VLOOKUP($B49,'[1]IAC - Base'!$A$6:$BH$45,'[1]IAC - Base'!AD$1,0)</f>
        <v>0</v>
      </c>
      <c r="AD49" s="20">
        <f>VLOOKUP($B49,'[1]IAC - Base'!$A$6:$BH$45,'[1]IAC - Base'!AE$1,0)</f>
        <v>0</v>
      </c>
      <c r="AE49" s="20">
        <f t="shared" si="0"/>
        <v>33882722944.269997</v>
      </c>
      <c r="AF49" s="21">
        <f t="shared" si="1"/>
        <v>0.33171314444567956</v>
      </c>
      <c r="AH49" s="20">
        <f>VLOOKUP($B49,'[1]IAC - Base'!$A$6:$BH$45,'[1]IAC - Base'!AI$1,0)</f>
        <v>4901375529.6199999</v>
      </c>
      <c r="AI49" s="20">
        <f>VLOOKUP($B49,'[1]IAC - Base'!$A$6:$BH$45,'[1]IAC - Base'!AJ$1,0)</f>
        <v>3609011150.4099998</v>
      </c>
      <c r="AJ49" s="20">
        <f>VLOOKUP($B49,'[1]IAC - Base'!$A$6:$BH$45,'[1]IAC - Base'!AK$1,0)</f>
        <v>3717948863.6100001</v>
      </c>
      <c r="AK49" s="20">
        <f>VLOOKUP($B49,'[1]IAC - Base'!$A$6:$BH$45,'[1]IAC - Base'!AL$1,0)</f>
        <v>4470587406.8199997</v>
      </c>
      <c r="AL49" s="20">
        <f>VLOOKUP($B49,'[1]IAC - Base'!$A$6:$BH$45,'[1]IAC - Base'!AM$1,0)</f>
        <v>3887009816.02</v>
      </c>
      <c r="AM49" s="20">
        <f>VLOOKUP($B49,'[1]IAC - Base'!$A$6:$BH$45,'[1]IAC - Base'!AN$1,0)</f>
        <v>3456221688.4099998</v>
      </c>
      <c r="AN49" s="20">
        <f>VLOOKUP($B49,'[1]IAC - Base'!$A$6:$BH$45,'[1]IAC - Base'!AO$1,0)</f>
        <v>4732314580.8199997</v>
      </c>
      <c r="AO49" s="20">
        <f>VLOOKUP($B49,'[1]IAC - Base'!$A$6:$BH$45,'[1]IAC - Base'!AP$1,0)</f>
        <v>4563253628.8199997</v>
      </c>
      <c r="AP49" s="20">
        <f>VLOOKUP($B49,'[1]IAC - Base'!$A$6:$BH$45,'[1]IAC - Base'!AQ$1,0)</f>
        <v>3456221688.4099998</v>
      </c>
      <c r="AQ49" s="20">
        <f>VLOOKUP($B49,'[1]IAC - Base'!$A$6:$BH$45,'[1]IAC - Base'!AR$1,0)</f>
        <v>4901375533.2200003</v>
      </c>
      <c r="AR49" s="20">
        <f>VLOOKUP($B49,'[1]IAC - Base'!$A$6:$BH$45,'[1]IAC - Base'!AS$1,0)</f>
        <v>4639648358.8199997</v>
      </c>
      <c r="AS49" s="20">
        <f>VLOOKUP($B49,'[1]IAC - Base'!$A$6:$BH$45,'[1]IAC - Base'!AT$1,0)</f>
        <v>4394192675.2200003</v>
      </c>
      <c r="AT49" s="20">
        <f>VLOOKUP($B49,'[1]IAC - Base'!$A$6:$BH$45,'[1]IAC - Base'!AU$1,0)</f>
        <v>4611841768.4200001</v>
      </c>
      <c r="AU49" s="20">
        <f>VLOOKUP($B49,'[1]IAC - Base'!$A$6:$BH$45,'[1]IAC - Base'!AV$1,0)</f>
        <v>3672422134.4099998</v>
      </c>
      <c r="AV49" s="20">
        <f>VLOOKUP($B49,'[1]IAC - Base'!$A$6:$BH$45,'[1]IAC - Base'!AW$1,0)</f>
        <v>3636110534.4099998</v>
      </c>
      <c r="AW49" s="20">
        <f>VLOOKUP($B49,'[1]IAC - Base'!$A$6:$BH$45,'[1]IAC - Base'!AX$1,0)</f>
        <v>4840774802.0200005</v>
      </c>
      <c r="AX49" s="20">
        <f>VLOOKUP($B49,'[1]IAC - Base'!$A$6:$BH$45,'[1]IAC - Base'!AY$1,0)</f>
        <v>4123976152.8200002</v>
      </c>
      <c r="AY49" s="20">
        <f>VLOOKUP($B49,'[1]IAC - Base'!$A$6:$BH$45,'[1]IAC - Base'!AZ$1,0)</f>
        <v>3865043564.8200002</v>
      </c>
      <c r="AZ49" s="20">
        <f>VLOOKUP($B49,'[1]IAC - Base'!$A$6:$BH$45,'[1]IAC - Base'!BA$1,0)</f>
        <v>4774463644.4200001</v>
      </c>
      <c r="BA49" s="20">
        <f>VLOOKUP($B49,'[1]IAC - Base'!$A$6:$BH$45,'[1]IAC - Base'!BB$1,0)</f>
        <v>4611841772.4200001</v>
      </c>
      <c r="BB49" s="20">
        <f>VLOOKUP($B49,'[1]IAC - Base'!$A$6:$BH$45,'[1]IAC - Base'!BC$1,0)</f>
        <v>3539799819.21</v>
      </c>
      <c r="BC49" s="20">
        <f>VLOOKUP($B49,'[1]IAC - Base'!$A$6:$BH$45,'[1]IAC - Base'!BD$1,0)</f>
        <v>4937085517.2200003</v>
      </c>
      <c r="BD49" s="20">
        <f>VLOOKUP($B49,'[1]IAC - Base'!$A$6:$BH$45,'[1]IAC - Base'!BE$1,0)</f>
        <v>4515531057.2200003</v>
      </c>
      <c r="BE49" s="20">
        <f>VLOOKUP($B49,'[1]IAC - Base'!$A$6:$BH$45,'[1]IAC - Base'!BF$1,0)</f>
        <v>4286598024.8200002</v>
      </c>
      <c r="BF49" s="20">
        <f t="shared" si="2"/>
        <v>102144649712.41003</v>
      </c>
      <c r="BG49" s="21">
        <f t="shared" si="3"/>
        <v>1.0000000000040143</v>
      </c>
    </row>
    <row r="50" spans="1:59" s="23" customFormat="1" ht="15" customHeight="1" x14ac:dyDescent="0.25">
      <c r="A50"/>
      <c r="B50" s="22" t="s">
        <v>115</v>
      </c>
      <c r="C50" s="22" t="s">
        <v>112</v>
      </c>
      <c r="D50" s="19" t="s">
        <v>116</v>
      </c>
      <c r="E50" s="19" t="s">
        <v>117</v>
      </c>
      <c r="F50" s="20">
        <f>VLOOKUP($B50,'[1]IAC - Base'!$A$6:$BH$45,'[1]IAC - Base'!G$1,0)</f>
        <v>127680812139</v>
      </c>
      <c r="G50" s="20">
        <f>VLOOKUP($B50,'[1]IAC - Base'!$A$6:$BH$45,'[1]IAC - Base'!H$1,0)</f>
        <v>6129514194.9499998</v>
      </c>
      <c r="H50" s="20">
        <f>VLOOKUP($B50,'[1]IAC - Base'!$A$6:$BH$45,'[1]IAC - Base'!I$1,0)</f>
        <v>3907818819.73</v>
      </c>
      <c r="I50" s="20">
        <f>VLOOKUP($B50,'[1]IAC - Base'!$A$6:$BH$45,'[1]IAC - Base'!J$1,0)</f>
        <v>5203954386.8800001</v>
      </c>
      <c r="J50" s="20">
        <f>VLOOKUP($B50,'[1]IAC - Base'!$A$6:$BH$45,'[1]IAC - Base'!K$1,0)</f>
        <v>4766862832.3599997</v>
      </c>
      <c r="K50" s="20">
        <f>VLOOKUP($B50,'[1]IAC - Base'!$A$6:$BH$45,'[1]IAC - Base'!L$1,0)</f>
        <v>5457655986.1000004</v>
      </c>
      <c r="L50" s="20">
        <f>VLOOKUP($B50,'[1]IAC - Base'!$A$6:$BH$45,'[1]IAC - Base'!M$1,0)</f>
        <v>4190370927.1700001</v>
      </c>
      <c r="M50" s="20">
        <f>VLOOKUP($B50,'[1]IAC - Base'!$A$6:$BH$45,'[1]IAC - Base'!N$1,0)</f>
        <v>4576598103.6800003</v>
      </c>
      <c r="N50" s="20">
        <f>VLOOKUP($B50,'[1]IAC - Base'!$A$6:$BH$45,'[1]IAC - Base'!O$1,0)</f>
        <v>3765937637.9099998</v>
      </c>
      <c r="O50" s="20">
        <f>VLOOKUP($B50,'[1]IAC - Base'!$A$6:$BH$45,'[1]IAC - Base'!P$1,0)</f>
        <v>4354690791.21</v>
      </c>
      <c r="P50" s="20">
        <f>VLOOKUP($B50,'[1]IAC - Base'!$A$6:$BH$45,'[1]IAC - Base'!Q$1,0)</f>
        <v>0</v>
      </c>
      <c r="Q50" s="20">
        <f>VLOOKUP($B50,'[1]IAC - Base'!$A$6:$BH$45,'[1]IAC - Base'!R$1,0)</f>
        <v>0</v>
      </c>
      <c r="R50" s="20">
        <f>VLOOKUP($B50,'[1]IAC - Base'!$A$6:$BH$45,'[1]IAC - Base'!S$1,0)</f>
        <v>0</v>
      </c>
      <c r="S50" s="20">
        <f>VLOOKUP($B50,'[1]IAC - Base'!$A$6:$BH$45,'[1]IAC - Base'!T$1,0)</f>
        <v>0</v>
      </c>
      <c r="T50" s="20">
        <f>VLOOKUP($B50,'[1]IAC - Base'!$A$6:$BH$45,'[1]IAC - Base'!U$1,0)</f>
        <v>0</v>
      </c>
      <c r="U50" s="20">
        <f>VLOOKUP($B50,'[1]IAC - Base'!$A$6:$BH$45,'[1]IAC - Base'!V$1,0)</f>
        <v>0</v>
      </c>
      <c r="V50" s="20">
        <f>VLOOKUP($B50,'[1]IAC - Base'!$A$6:$BH$45,'[1]IAC - Base'!W$1,0)</f>
        <v>0</v>
      </c>
      <c r="W50" s="20">
        <f>VLOOKUP($B50,'[1]IAC - Base'!$A$6:$BH$45,'[1]IAC - Base'!X$1,0)</f>
        <v>0</v>
      </c>
      <c r="X50" s="20">
        <f>VLOOKUP($B50,'[1]IAC - Base'!$A$6:$BH$45,'[1]IAC - Base'!Y$1,0)</f>
        <v>0</v>
      </c>
      <c r="Y50" s="20">
        <f>VLOOKUP($B50,'[1]IAC - Base'!$A$6:$BH$45,'[1]IAC - Base'!Z$1,0)</f>
        <v>0</v>
      </c>
      <c r="Z50" s="20">
        <f>VLOOKUP($B50,'[1]IAC - Base'!$A$6:$BH$45,'[1]IAC - Base'!AA$1,0)</f>
        <v>0</v>
      </c>
      <c r="AA50" s="20">
        <f>VLOOKUP($B50,'[1]IAC - Base'!$A$6:$BH$45,'[1]IAC - Base'!AB$1,0)</f>
        <v>0</v>
      </c>
      <c r="AB50" s="20">
        <f>VLOOKUP($B50,'[1]IAC - Base'!$A$6:$BH$45,'[1]IAC - Base'!AC$1,0)</f>
        <v>0</v>
      </c>
      <c r="AC50" s="20">
        <f>VLOOKUP($B50,'[1]IAC - Base'!$A$6:$BH$45,'[1]IAC - Base'!AD$1,0)</f>
        <v>0</v>
      </c>
      <c r="AD50" s="20">
        <f>VLOOKUP($B50,'[1]IAC - Base'!$A$6:$BH$45,'[1]IAC - Base'!AE$1,0)</f>
        <v>0</v>
      </c>
      <c r="AE50" s="20">
        <f t="shared" si="0"/>
        <v>42353403679.989998</v>
      </c>
      <c r="AF50" s="21">
        <f t="shared" si="1"/>
        <v>0.33171314444555594</v>
      </c>
      <c r="AH50" s="20">
        <f>VLOOKUP($B50,'[1]IAC - Base'!$A$6:$BH$45,'[1]IAC - Base'!AI$1,0)</f>
        <v>6126719411.9799995</v>
      </c>
      <c r="AI50" s="20">
        <f>VLOOKUP($B50,'[1]IAC - Base'!$A$6:$BH$45,'[1]IAC - Base'!AJ$1,0)</f>
        <v>4511263937.9799995</v>
      </c>
      <c r="AJ50" s="20">
        <f>VLOOKUP($B50,'[1]IAC - Base'!$A$6:$BH$45,'[1]IAC - Base'!AK$1,0)</f>
        <v>4647436079.4799995</v>
      </c>
      <c r="AK50" s="20">
        <f>VLOOKUP($B50,'[1]IAC - Base'!$A$6:$BH$45,'[1]IAC - Base'!AL$1,0)</f>
        <v>5588234258.4799995</v>
      </c>
      <c r="AL50" s="20">
        <f>VLOOKUP($B50,'[1]IAC - Base'!$A$6:$BH$45,'[1]IAC - Base'!AM$1,0)</f>
        <v>4858762269.9799995</v>
      </c>
      <c r="AM50" s="20">
        <f>VLOOKUP($B50,'[1]IAC - Base'!$A$6:$BH$45,'[1]IAC - Base'!AN$1,0)</f>
        <v>4320277110.4799995</v>
      </c>
      <c r="AN50" s="20">
        <f>VLOOKUP($B50,'[1]IAC - Base'!$A$6:$BH$45,'[1]IAC - Base'!AO$1,0)</f>
        <v>5915393225.9799995</v>
      </c>
      <c r="AO50" s="20">
        <f>VLOOKUP($B50,'[1]IAC - Base'!$A$6:$BH$45,'[1]IAC - Base'!AP$1,0)</f>
        <v>5704067035.9799995</v>
      </c>
      <c r="AP50" s="20">
        <f>VLOOKUP($B50,'[1]IAC - Base'!$A$6:$BH$45,'[1]IAC - Base'!AQ$1,0)</f>
        <v>4320277110.4799995</v>
      </c>
      <c r="AQ50" s="20">
        <f>VLOOKUP($B50,'[1]IAC - Base'!$A$6:$BH$45,'[1]IAC - Base'!AR$1,0)</f>
        <v>6126719416.4799995</v>
      </c>
      <c r="AR50" s="20">
        <f>VLOOKUP($B50,'[1]IAC - Base'!$A$6:$BH$45,'[1]IAC - Base'!AS$1,0)</f>
        <v>5799560448.4799995</v>
      </c>
      <c r="AS50" s="20">
        <f>VLOOKUP($B50,'[1]IAC - Base'!$A$6:$BH$45,'[1]IAC - Base'!AT$1,0)</f>
        <v>5492740843.9799995</v>
      </c>
      <c r="AT50" s="20">
        <f>VLOOKUP($B50,'[1]IAC - Base'!$A$6:$BH$45,'[1]IAC - Base'!AU$1,0)</f>
        <v>5764802210.4799995</v>
      </c>
      <c r="AU50" s="20">
        <f>VLOOKUP($B50,'[1]IAC - Base'!$A$6:$BH$45,'[1]IAC - Base'!AV$1,0)</f>
        <v>4590527667.9799995</v>
      </c>
      <c r="AV50" s="20">
        <f>VLOOKUP($B50,'[1]IAC - Base'!$A$6:$BH$45,'[1]IAC - Base'!AW$1,0)</f>
        <v>4545138167.9799995</v>
      </c>
      <c r="AW50" s="20">
        <f>VLOOKUP($B50,'[1]IAC - Base'!$A$6:$BH$45,'[1]IAC - Base'!AX$1,0)</f>
        <v>6050968502.4799995</v>
      </c>
      <c r="AX50" s="20">
        <f>VLOOKUP($B50,'[1]IAC - Base'!$A$6:$BH$45,'[1]IAC - Base'!AY$1,0)</f>
        <v>5154970190.9799995</v>
      </c>
      <c r="AY50" s="20">
        <f>VLOOKUP($B50,'[1]IAC - Base'!$A$6:$BH$45,'[1]IAC - Base'!AZ$1,0)</f>
        <v>4831304455.9799995</v>
      </c>
      <c r="AZ50" s="20">
        <f>VLOOKUP($B50,'[1]IAC - Base'!$A$6:$BH$45,'[1]IAC - Base'!BA$1,0)</f>
        <v>5968079555.4799995</v>
      </c>
      <c r="BA50" s="20">
        <f>VLOOKUP($B50,'[1]IAC - Base'!$A$6:$BH$45,'[1]IAC - Base'!BB$1,0)</f>
        <v>5764802215.4799995</v>
      </c>
      <c r="BB50" s="20">
        <f>VLOOKUP($B50,'[1]IAC - Base'!$A$6:$BH$45,'[1]IAC - Base'!BC$1,0)</f>
        <v>4424749773.9799995</v>
      </c>
      <c r="BC50" s="20">
        <f>VLOOKUP($B50,'[1]IAC - Base'!$A$6:$BH$45,'[1]IAC - Base'!BD$1,0)</f>
        <v>6171356896.4799995</v>
      </c>
      <c r="BD50" s="20">
        <f>VLOOKUP($B50,'[1]IAC - Base'!$A$6:$BH$45,'[1]IAC - Base'!BE$1,0)</f>
        <v>5644413821.4799995</v>
      </c>
      <c r="BE50" s="20">
        <f>VLOOKUP($B50,'[1]IAC - Base'!$A$6:$BH$45,'[1]IAC - Base'!BF$1,0)</f>
        <v>5358247530.9799995</v>
      </c>
      <c r="BF50" s="20">
        <f t="shared" si="2"/>
        <v>127680812139.51993</v>
      </c>
      <c r="BG50" s="21">
        <f t="shared" si="3"/>
        <v>1.0000000000040721</v>
      </c>
    </row>
    <row r="51" spans="1:59" s="23" customFormat="1" ht="15" customHeight="1" x14ac:dyDescent="0.25">
      <c r="A51"/>
      <c r="B51" s="22" t="s">
        <v>118</v>
      </c>
      <c r="C51" s="22" t="s">
        <v>112</v>
      </c>
      <c r="D51" s="19" t="s">
        <v>119</v>
      </c>
      <c r="E51" s="19" t="s">
        <v>120</v>
      </c>
      <c r="F51" s="20">
        <f>VLOOKUP($B51,'[1]IAC - Base'!$A$6:$BH$45,'[1]IAC - Base'!G$1,0)</f>
        <v>25536162428</v>
      </c>
      <c r="G51" s="20">
        <f>VLOOKUP($B51,'[1]IAC - Base'!$A$6:$BH$45,'[1]IAC - Base'!H$1,0)</f>
        <v>1225902839.01</v>
      </c>
      <c r="H51" s="20">
        <f>VLOOKUP($B51,'[1]IAC - Base'!$A$6:$BH$45,'[1]IAC - Base'!I$1,0)</f>
        <v>781563763.95000005</v>
      </c>
      <c r="I51" s="20">
        <f>VLOOKUP($B51,'[1]IAC - Base'!$A$6:$BH$45,'[1]IAC - Base'!J$1,0)</f>
        <v>1040790877.38</v>
      </c>
      <c r="J51" s="20">
        <f>VLOOKUP($B51,'[1]IAC - Base'!$A$6:$BH$45,'[1]IAC - Base'!K$1,0)</f>
        <v>953372566.48000002</v>
      </c>
      <c r="K51" s="20">
        <f>VLOOKUP($B51,'[1]IAC - Base'!$A$6:$BH$45,'[1]IAC - Base'!L$1,0)</f>
        <v>1091531197.23</v>
      </c>
      <c r="L51" s="20">
        <f>VLOOKUP($B51,'[1]IAC - Base'!$A$6:$BH$45,'[1]IAC - Base'!M$1,0)</f>
        <v>838074185.44000006</v>
      </c>
      <c r="M51" s="20">
        <f>VLOOKUP($B51,'[1]IAC - Base'!$A$6:$BH$45,'[1]IAC - Base'!N$1,0)</f>
        <v>915319620.74000001</v>
      </c>
      <c r="N51" s="20">
        <f>VLOOKUP($B51,'[1]IAC - Base'!$A$6:$BH$45,'[1]IAC - Base'!O$1,0)</f>
        <v>753187527.59000003</v>
      </c>
      <c r="O51" s="20">
        <f>VLOOKUP($B51,'[1]IAC - Base'!$A$6:$BH$45,'[1]IAC - Base'!P$1,0)</f>
        <v>870938158.25</v>
      </c>
      <c r="P51" s="20">
        <f>VLOOKUP($B51,'[1]IAC - Base'!$A$6:$BH$45,'[1]IAC - Base'!Q$1,0)</f>
        <v>0</v>
      </c>
      <c r="Q51" s="20">
        <f>VLOOKUP($B51,'[1]IAC - Base'!$A$6:$BH$45,'[1]IAC - Base'!R$1,0)</f>
        <v>0</v>
      </c>
      <c r="R51" s="20">
        <f>VLOOKUP($B51,'[1]IAC - Base'!$A$6:$BH$45,'[1]IAC - Base'!S$1,0)</f>
        <v>0</v>
      </c>
      <c r="S51" s="20">
        <f>VLOOKUP($B51,'[1]IAC - Base'!$A$6:$BH$45,'[1]IAC - Base'!T$1,0)</f>
        <v>0</v>
      </c>
      <c r="T51" s="20">
        <f>VLOOKUP($B51,'[1]IAC - Base'!$A$6:$BH$45,'[1]IAC - Base'!U$1,0)</f>
        <v>0</v>
      </c>
      <c r="U51" s="20">
        <f>VLOOKUP($B51,'[1]IAC - Base'!$A$6:$BH$45,'[1]IAC - Base'!V$1,0)</f>
        <v>0</v>
      </c>
      <c r="V51" s="20">
        <f>VLOOKUP($B51,'[1]IAC - Base'!$A$6:$BH$45,'[1]IAC - Base'!W$1,0)</f>
        <v>0</v>
      </c>
      <c r="W51" s="20">
        <f>VLOOKUP($B51,'[1]IAC - Base'!$A$6:$BH$45,'[1]IAC - Base'!X$1,0)</f>
        <v>0</v>
      </c>
      <c r="X51" s="20">
        <f>VLOOKUP($B51,'[1]IAC - Base'!$A$6:$BH$45,'[1]IAC - Base'!Y$1,0)</f>
        <v>0</v>
      </c>
      <c r="Y51" s="20">
        <f>VLOOKUP($B51,'[1]IAC - Base'!$A$6:$BH$45,'[1]IAC - Base'!Z$1,0)</f>
        <v>0</v>
      </c>
      <c r="Z51" s="20">
        <f>VLOOKUP($B51,'[1]IAC - Base'!$A$6:$BH$45,'[1]IAC - Base'!AA$1,0)</f>
        <v>0</v>
      </c>
      <c r="AA51" s="20">
        <f>VLOOKUP($B51,'[1]IAC - Base'!$A$6:$BH$45,'[1]IAC - Base'!AB$1,0)</f>
        <v>0</v>
      </c>
      <c r="AB51" s="20">
        <f>VLOOKUP($B51,'[1]IAC - Base'!$A$6:$BH$45,'[1]IAC - Base'!AC$1,0)</f>
        <v>0</v>
      </c>
      <c r="AC51" s="20">
        <f>VLOOKUP($B51,'[1]IAC - Base'!$A$6:$BH$45,'[1]IAC - Base'!AD$1,0)</f>
        <v>0</v>
      </c>
      <c r="AD51" s="20">
        <f>VLOOKUP($B51,'[1]IAC - Base'!$A$6:$BH$45,'[1]IAC - Base'!AE$1,0)</f>
        <v>0</v>
      </c>
      <c r="AE51" s="20">
        <f t="shared" si="0"/>
        <v>8470680736.0699997</v>
      </c>
      <c r="AF51" s="21">
        <f t="shared" si="1"/>
        <v>0.33171314444577749</v>
      </c>
      <c r="AH51" s="20">
        <f>VLOOKUP($B51,'[1]IAC - Base'!$A$6:$BH$45,'[1]IAC - Base'!AI$1,0)</f>
        <v>1225343882.4000001</v>
      </c>
      <c r="AI51" s="20">
        <f>VLOOKUP($B51,'[1]IAC - Base'!$A$6:$BH$45,'[1]IAC - Base'!AJ$1,0)</f>
        <v>902252787.60000002</v>
      </c>
      <c r="AJ51" s="20">
        <f>VLOOKUP($B51,'[1]IAC - Base'!$A$6:$BH$45,'[1]IAC - Base'!AK$1,0)</f>
        <v>929487215.89999998</v>
      </c>
      <c r="AK51" s="20">
        <f>VLOOKUP($B51,'[1]IAC - Base'!$A$6:$BH$45,'[1]IAC - Base'!AL$1,0)</f>
        <v>1117646851.7</v>
      </c>
      <c r="AL51" s="20">
        <f>VLOOKUP($B51,'[1]IAC - Base'!$A$6:$BH$45,'[1]IAC - Base'!AM$1,0)</f>
        <v>971752454</v>
      </c>
      <c r="AM51" s="20">
        <f>VLOOKUP($B51,'[1]IAC - Base'!$A$6:$BH$45,'[1]IAC - Base'!AN$1,0)</f>
        <v>864055422.10000002</v>
      </c>
      <c r="AN51" s="20">
        <f>VLOOKUP($B51,'[1]IAC - Base'!$A$6:$BH$45,'[1]IAC - Base'!AO$1,0)</f>
        <v>1183078645.2</v>
      </c>
      <c r="AO51" s="20">
        <f>VLOOKUP($B51,'[1]IAC - Base'!$A$6:$BH$45,'[1]IAC - Base'!AP$1,0)</f>
        <v>1140813407.2</v>
      </c>
      <c r="AP51" s="20">
        <f>VLOOKUP($B51,'[1]IAC - Base'!$A$6:$BH$45,'[1]IAC - Base'!AQ$1,0)</f>
        <v>864055422.10000002</v>
      </c>
      <c r="AQ51" s="20">
        <f>VLOOKUP($B51,'[1]IAC - Base'!$A$6:$BH$45,'[1]IAC - Base'!AR$1,0)</f>
        <v>1225343883.3</v>
      </c>
      <c r="AR51" s="20">
        <f>VLOOKUP($B51,'[1]IAC - Base'!$A$6:$BH$45,'[1]IAC - Base'!AS$1,0)</f>
        <v>1159912089.7</v>
      </c>
      <c r="AS51" s="20">
        <f>VLOOKUP($B51,'[1]IAC - Base'!$A$6:$BH$45,'[1]IAC - Base'!AT$1,0)</f>
        <v>1098548168.8</v>
      </c>
      <c r="AT51" s="20">
        <f>VLOOKUP($B51,'[1]IAC - Base'!$A$6:$BH$45,'[1]IAC - Base'!AU$1,0)</f>
        <v>1152960442.0999999</v>
      </c>
      <c r="AU51" s="20">
        <f>VLOOKUP($B51,'[1]IAC - Base'!$A$6:$BH$45,'[1]IAC - Base'!AV$1,0)</f>
        <v>918105533.60000002</v>
      </c>
      <c r="AV51" s="20">
        <f>VLOOKUP($B51,'[1]IAC - Base'!$A$6:$BH$45,'[1]IAC - Base'!AW$1,0)</f>
        <v>909027633.60000002</v>
      </c>
      <c r="AW51" s="20">
        <f>VLOOKUP($B51,'[1]IAC - Base'!$A$6:$BH$45,'[1]IAC - Base'!AX$1,0)</f>
        <v>1210193700.5</v>
      </c>
      <c r="AX51" s="20">
        <f>VLOOKUP($B51,'[1]IAC - Base'!$A$6:$BH$45,'[1]IAC - Base'!AY$1,0)</f>
        <v>1030994038.2</v>
      </c>
      <c r="AY51" s="20">
        <f>VLOOKUP($B51,'[1]IAC - Base'!$A$6:$BH$45,'[1]IAC - Base'!AZ$1,0)</f>
        <v>966260891.20000005</v>
      </c>
      <c r="AZ51" s="20">
        <f>VLOOKUP($B51,'[1]IAC - Base'!$A$6:$BH$45,'[1]IAC - Base'!BA$1,0)</f>
        <v>1193615911.0999999</v>
      </c>
      <c r="BA51" s="20">
        <f>VLOOKUP($B51,'[1]IAC - Base'!$A$6:$BH$45,'[1]IAC - Base'!BB$1,0)</f>
        <v>1152960443.0999999</v>
      </c>
      <c r="BB51" s="20">
        <f>VLOOKUP($B51,'[1]IAC - Base'!$A$6:$BH$45,'[1]IAC - Base'!BC$1,0)</f>
        <v>884949954.79999995</v>
      </c>
      <c r="BC51" s="20">
        <f>VLOOKUP($B51,'[1]IAC - Base'!$A$6:$BH$45,'[1]IAC - Base'!BD$1,0)</f>
        <v>1234271379.3</v>
      </c>
      <c r="BD51" s="20">
        <f>VLOOKUP($B51,'[1]IAC - Base'!$A$6:$BH$45,'[1]IAC - Base'!BE$1,0)</f>
        <v>1128882764.3</v>
      </c>
      <c r="BE51" s="20">
        <f>VLOOKUP($B51,'[1]IAC - Base'!$A$6:$BH$45,'[1]IAC - Base'!BF$1,0)</f>
        <v>1071649506.2</v>
      </c>
      <c r="BF51" s="20">
        <f t="shared" si="2"/>
        <v>25536162427.999996</v>
      </c>
      <c r="BG51" s="21">
        <f t="shared" si="3"/>
        <v>0.99999999999999989</v>
      </c>
    </row>
    <row r="52" spans="1:59" s="23" customFormat="1" ht="15" customHeight="1" x14ac:dyDescent="0.25">
      <c r="A52"/>
      <c r="B52" s="22" t="s">
        <v>121</v>
      </c>
      <c r="C52" s="22" t="s">
        <v>122</v>
      </c>
      <c r="D52" s="19" t="s">
        <v>123</v>
      </c>
      <c r="E52" s="19" t="s">
        <v>124</v>
      </c>
      <c r="F52" s="20">
        <f>VLOOKUP($B52,'[1]IAC - Base'!$A$6:$BH$45,'[1]IAC - Base'!G$1,0)</f>
        <v>30000000000</v>
      </c>
      <c r="G52" s="20">
        <f>VLOOKUP($B52,'[1]IAC - Base'!$A$6:$BH$45,'[1]IAC - Base'!H$1,0)</f>
        <v>0</v>
      </c>
      <c r="H52" s="20">
        <f>VLOOKUP($B52,'[1]IAC - Base'!$A$6:$BH$45,'[1]IAC - Base'!I$1,0)</f>
        <v>0</v>
      </c>
      <c r="I52" s="20">
        <f>VLOOKUP($B52,'[1]IAC - Base'!$A$6:$BH$45,'[1]IAC - Base'!J$1,0)</f>
        <v>0</v>
      </c>
      <c r="J52" s="20">
        <f>VLOOKUP($B52,'[1]IAC - Base'!$A$6:$BH$45,'[1]IAC - Base'!K$1,0)</f>
        <v>0</v>
      </c>
      <c r="K52" s="20">
        <f>VLOOKUP($B52,'[1]IAC - Base'!$A$6:$BH$45,'[1]IAC - Base'!L$1,0)</f>
        <v>0</v>
      </c>
      <c r="L52" s="20">
        <f>VLOOKUP($B52,'[1]IAC - Base'!$A$6:$BH$45,'[1]IAC - Base'!M$1,0)</f>
        <v>0</v>
      </c>
      <c r="M52" s="20">
        <f>VLOOKUP($B52,'[1]IAC - Base'!$A$6:$BH$45,'[1]IAC - Base'!N$1,0)</f>
        <v>8043364075.7799997</v>
      </c>
      <c r="N52" s="20">
        <f>VLOOKUP($B52,'[1]IAC - Base'!$A$6:$BH$45,'[1]IAC - Base'!O$1,0)</f>
        <v>884848140.01999998</v>
      </c>
      <c r="O52" s="20">
        <f>VLOOKUP($B52,'[1]IAC - Base'!$A$6:$BH$45,'[1]IAC - Base'!P$1,0)</f>
        <v>1023182117.5599999</v>
      </c>
      <c r="P52" s="20">
        <f>VLOOKUP($B52,'[1]IAC - Base'!$A$6:$BH$45,'[1]IAC - Base'!Q$1,0)</f>
        <v>0</v>
      </c>
      <c r="Q52" s="20">
        <f>VLOOKUP($B52,'[1]IAC - Base'!$A$6:$BH$45,'[1]IAC - Base'!R$1,0)</f>
        <v>0</v>
      </c>
      <c r="R52" s="20">
        <f>VLOOKUP($B52,'[1]IAC - Base'!$A$6:$BH$45,'[1]IAC - Base'!S$1,0)</f>
        <v>0</v>
      </c>
      <c r="S52" s="20">
        <f>VLOOKUP($B52,'[1]IAC - Base'!$A$6:$BH$45,'[1]IAC - Base'!T$1,0)</f>
        <v>0</v>
      </c>
      <c r="T52" s="20">
        <f>VLOOKUP($B52,'[1]IAC - Base'!$A$6:$BH$45,'[1]IAC - Base'!U$1,0)</f>
        <v>0</v>
      </c>
      <c r="U52" s="20">
        <f>VLOOKUP($B52,'[1]IAC - Base'!$A$6:$BH$45,'[1]IAC - Base'!V$1,0)</f>
        <v>0</v>
      </c>
      <c r="V52" s="20">
        <f>VLOOKUP($B52,'[1]IAC - Base'!$A$6:$BH$45,'[1]IAC - Base'!W$1,0)</f>
        <v>0</v>
      </c>
      <c r="W52" s="20">
        <f>VLOOKUP($B52,'[1]IAC - Base'!$A$6:$BH$45,'[1]IAC - Base'!X$1,0)</f>
        <v>0</v>
      </c>
      <c r="X52" s="20">
        <f>VLOOKUP($B52,'[1]IAC - Base'!$A$6:$BH$45,'[1]IAC - Base'!Y$1,0)</f>
        <v>0</v>
      </c>
      <c r="Y52" s="20">
        <f>VLOOKUP($B52,'[1]IAC - Base'!$A$6:$BH$45,'[1]IAC - Base'!Z$1,0)</f>
        <v>0</v>
      </c>
      <c r="Z52" s="20">
        <f>VLOOKUP($B52,'[1]IAC - Base'!$A$6:$BH$45,'[1]IAC - Base'!AA$1,0)</f>
        <v>0</v>
      </c>
      <c r="AA52" s="20">
        <f>VLOOKUP($B52,'[1]IAC - Base'!$A$6:$BH$45,'[1]IAC - Base'!AB$1,0)</f>
        <v>0</v>
      </c>
      <c r="AB52" s="20">
        <f>VLOOKUP($B52,'[1]IAC - Base'!$A$6:$BH$45,'[1]IAC - Base'!AC$1,0)</f>
        <v>0</v>
      </c>
      <c r="AC52" s="20">
        <f>VLOOKUP($B52,'[1]IAC - Base'!$A$6:$BH$45,'[1]IAC - Base'!AD$1,0)</f>
        <v>0</v>
      </c>
      <c r="AD52" s="20">
        <f>VLOOKUP($B52,'[1]IAC - Base'!$A$6:$BH$45,'[1]IAC - Base'!AE$1,0)</f>
        <v>0</v>
      </c>
      <c r="AE52" s="20">
        <f t="shared" si="0"/>
        <v>9951394333.3599987</v>
      </c>
      <c r="AF52" s="21">
        <f t="shared" si="1"/>
        <v>0.33171314444533329</v>
      </c>
      <c r="AH52" s="20">
        <f>VLOOKUP($B52,'[1]IAC - Base'!$A$6:$BH$45,'[1]IAC - Base'!AI$1,0)</f>
        <v>1439539577.48</v>
      </c>
      <c r="AI52" s="20">
        <f>VLOOKUP($B52,'[1]IAC - Base'!$A$6:$BH$45,'[1]IAC - Base'!AJ$1,0)</f>
        <v>1059970686.84</v>
      </c>
      <c r="AJ52" s="20">
        <f>VLOOKUP($B52,'[1]IAC - Base'!$A$6:$BH$45,'[1]IAC - Base'!AK$1,0)</f>
        <v>1091965817.3299999</v>
      </c>
      <c r="AK52" s="20">
        <f>VLOOKUP($B52,'[1]IAC - Base'!$A$6:$BH$45,'[1]IAC - Base'!AL$1,0)</f>
        <v>1313016614.99</v>
      </c>
      <c r="AL52" s="20">
        <f>VLOOKUP($B52,'[1]IAC - Base'!$A$6:$BH$45,'[1]IAC - Base'!AM$1,0)</f>
        <v>1141619211.6700001</v>
      </c>
      <c r="AM52" s="20">
        <f>VLOOKUP($B52,'[1]IAC - Base'!$A$6:$BH$45,'[1]IAC - Base'!AN$1,0)</f>
        <v>1015096247.77</v>
      </c>
      <c r="AN52" s="20">
        <f>VLOOKUP($B52,'[1]IAC - Base'!$A$6:$BH$45,'[1]IAC - Base'!AO$1,0)</f>
        <v>1389886184.2</v>
      </c>
      <c r="AO52" s="20">
        <f>VLOOKUP($B52,'[1]IAC - Base'!$A$6:$BH$45,'[1]IAC - Base'!AP$1,0)</f>
        <v>1340232789.98</v>
      </c>
      <c r="AP52" s="20">
        <f>VLOOKUP($B52,'[1]IAC - Base'!$A$6:$BH$45,'[1]IAC - Base'!AQ$1,0)</f>
        <v>1015096247.77</v>
      </c>
      <c r="AQ52" s="20">
        <f>VLOOKUP($B52,'[1]IAC - Base'!$A$6:$BH$45,'[1]IAC - Base'!AR$1,0)</f>
        <v>1439539578.54</v>
      </c>
      <c r="AR52" s="20">
        <f>VLOOKUP($B52,'[1]IAC - Base'!$A$6:$BH$45,'[1]IAC - Base'!AS$1,0)</f>
        <v>1362670009.22</v>
      </c>
      <c r="AS52" s="20">
        <f>VLOOKUP($B52,'[1]IAC - Base'!$A$6:$BH$45,'[1]IAC - Base'!AT$1,0)</f>
        <v>1290579395.28</v>
      </c>
      <c r="AT52" s="20">
        <f>VLOOKUP($B52,'[1]IAC - Base'!$A$6:$BH$45,'[1]IAC - Base'!AU$1,0)</f>
        <v>1354503181.9400001</v>
      </c>
      <c r="AU52" s="20">
        <f>VLOOKUP($B52,'[1]IAC - Base'!$A$6:$BH$45,'[1]IAC - Base'!AV$1,0)</f>
        <v>1078594565.0899999</v>
      </c>
      <c r="AV52" s="20">
        <f>VLOOKUP($B52,'[1]IAC - Base'!$A$6:$BH$45,'[1]IAC - Base'!AW$1,0)</f>
        <v>1067929806.8</v>
      </c>
      <c r="AW52" s="20">
        <f>VLOOKUP($B52,'[1]IAC - Base'!$A$6:$BH$45,'[1]IAC - Base'!AX$1,0)</f>
        <v>1421741074.74</v>
      </c>
      <c r="AX52" s="20">
        <f>VLOOKUP($B52,'[1]IAC - Base'!$A$6:$BH$45,'[1]IAC - Base'!AY$1,0)</f>
        <v>1211216494.78</v>
      </c>
      <c r="AY52" s="20">
        <f>VLOOKUP($B52,'[1]IAC - Base'!$A$6:$BH$45,'[1]IAC - Base'!AZ$1,0)</f>
        <v>1135167698.6600001</v>
      </c>
      <c r="AZ52" s="20">
        <f>VLOOKUP($B52,'[1]IAC - Base'!$A$6:$BH$45,'[1]IAC - Base'!BA$1,0)</f>
        <v>1402265412.2</v>
      </c>
      <c r="BA52" s="20">
        <f>VLOOKUP($B52,'[1]IAC - Base'!$A$6:$BH$45,'[1]IAC - Base'!BB$1,0)</f>
        <v>1354503183.1099999</v>
      </c>
      <c r="BB52" s="20">
        <f>VLOOKUP($B52,'[1]IAC - Base'!$A$6:$BH$45,'[1]IAC - Base'!BC$1,0)</f>
        <v>1039643240.01</v>
      </c>
      <c r="BC52" s="20">
        <f>VLOOKUP($B52,'[1]IAC - Base'!$A$6:$BH$45,'[1]IAC - Base'!BD$1,0)</f>
        <v>1450027641.53</v>
      </c>
      <c r="BD52" s="20">
        <f>VLOOKUP($B52,'[1]IAC - Base'!$A$6:$BH$45,'[1]IAC - Base'!BE$1,0)</f>
        <v>1326216616.3199999</v>
      </c>
      <c r="BE52" s="20">
        <f>VLOOKUP($B52,'[1]IAC - Base'!$A$6:$BH$45,'[1]IAC - Base'!BF$1,0)</f>
        <v>1258978723.8699999</v>
      </c>
      <c r="BF52" s="20">
        <f t="shared" si="2"/>
        <v>30000000000.119995</v>
      </c>
      <c r="BG52" s="21">
        <f t="shared" si="3"/>
        <v>1.0000000000039999</v>
      </c>
    </row>
    <row r="53" spans="1:59" s="23" customFormat="1" ht="15" customHeight="1" x14ac:dyDescent="0.25">
      <c r="A53"/>
      <c r="B53" s="22" t="s">
        <v>125</v>
      </c>
      <c r="C53" s="22" t="s">
        <v>122</v>
      </c>
      <c r="D53" s="19" t="s">
        <v>126</v>
      </c>
      <c r="E53" s="19" t="s">
        <v>127</v>
      </c>
      <c r="F53" s="20">
        <f>VLOOKUP($B53,'[1]IAC - Base'!$A$6:$BH$45,'[1]IAC - Base'!G$1,0)</f>
        <v>96000000000</v>
      </c>
      <c r="G53" s="20">
        <f>VLOOKUP($B53,'[1]IAC - Base'!$A$6:$BH$45,'[1]IAC - Base'!H$1,0)</f>
        <v>0</v>
      </c>
      <c r="H53" s="20">
        <f>VLOOKUP($B53,'[1]IAC - Base'!$A$6:$BH$45,'[1]IAC - Base'!I$1,0)</f>
        <v>0</v>
      </c>
      <c r="I53" s="20">
        <f>VLOOKUP($B53,'[1]IAC - Base'!$A$6:$BH$45,'[1]IAC - Base'!J$1,0)</f>
        <v>0</v>
      </c>
      <c r="J53" s="20">
        <f>VLOOKUP($B53,'[1]IAC - Base'!$A$6:$BH$45,'[1]IAC - Base'!K$1,0)</f>
        <v>0</v>
      </c>
      <c r="K53" s="20">
        <f>VLOOKUP($B53,'[1]IAC - Base'!$A$6:$BH$45,'[1]IAC - Base'!L$1,0)</f>
        <v>0</v>
      </c>
      <c r="L53" s="20">
        <f>VLOOKUP($B53,'[1]IAC - Base'!$A$6:$BH$45,'[1]IAC - Base'!M$1,0)</f>
        <v>0</v>
      </c>
      <c r="M53" s="20">
        <f>VLOOKUP($B53,'[1]IAC - Base'!$A$6:$BH$45,'[1]IAC - Base'!N$1,0)</f>
        <v>25738765042.52</v>
      </c>
      <c r="N53" s="20">
        <f>VLOOKUP($B53,'[1]IAC - Base'!$A$6:$BH$45,'[1]IAC - Base'!O$1,0)</f>
        <v>2831514048.0599999</v>
      </c>
      <c r="O53" s="20">
        <f>VLOOKUP($B53,'[1]IAC - Base'!$A$6:$BH$45,'[1]IAC - Base'!P$1,0)</f>
        <v>3274182776.1999998</v>
      </c>
      <c r="P53" s="20">
        <f>VLOOKUP($B53,'[1]IAC - Base'!$A$6:$BH$45,'[1]IAC - Base'!Q$1,0)</f>
        <v>0</v>
      </c>
      <c r="Q53" s="20">
        <f>VLOOKUP($B53,'[1]IAC - Base'!$A$6:$BH$45,'[1]IAC - Base'!R$1,0)</f>
        <v>0</v>
      </c>
      <c r="R53" s="20">
        <f>VLOOKUP($B53,'[1]IAC - Base'!$A$6:$BH$45,'[1]IAC - Base'!S$1,0)</f>
        <v>0</v>
      </c>
      <c r="S53" s="20">
        <f>VLOOKUP($B53,'[1]IAC - Base'!$A$6:$BH$45,'[1]IAC - Base'!T$1,0)</f>
        <v>0</v>
      </c>
      <c r="T53" s="20">
        <f>VLOOKUP($B53,'[1]IAC - Base'!$A$6:$BH$45,'[1]IAC - Base'!U$1,0)</f>
        <v>0</v>
      </c>
      <c r="U53" s="20">
        <f>VLOOKUP($B53,'[1]IAC - Base'!$A$6:$BH$45,'[1]IAC - Base'!V$1,0)</f>
        <v>0</v>
      </c>
      <c r="V53" s="20">
        <f>VLOOKUP($B53,'[1]IAC - Base'!$A$6:$BH$45,'[1]IAC - Base'!W$1,0)</f>
        <v>0</v>
      </c>
      <c r="W53" s="20">
        <f>VLOOKUP($B53,'[1]IAC - Base'!$A$6:$BH$45,'[1]IAC - Base'!X$1,0)</f>
        <v>0</v>
      </c>
      <c r="X53" s="20">
        <f>VLOOKUP($B53,'[1]IAC - Base'!$A$6:$BH$45,'[1]IAC - Base'!Y$1,0)</f>
        <v>0</v>
      </c>
      <c r="Y53" s="20">
        <f>VLOOKUP($B53,'[1]IAC - Base'!$A$6:$BH$45,'[1]IAC - Base'!Z$1,0)</f>
        <v>0</v>
      </c>
      <c r="Z53" s="20">
        <f>VLOOKUP($B53,'[1]IAC - Base'!$A$6:$BH$45,'[1]IAC - Base'!AA$1,0)</f>
        <v>0</v>
      </c>
      <c r="AA53" s="20">
        <f>VLOOKUP($B53,'[1]IAC - Base'!$A$6:$BH$45,'[1]IAC - Base'!AB$1,0)</f>
        <v>0</v>
      </c>
      <c r="AB53" s="20">
        <f>VLOOKUP($B53,'[1]IAC - Base'!$A$6:$BH$45,'[1]IAC - Base'!AC$1,0)</f>
        <v>0</v>
      </c>
      <c r="AC53" s="20">
        <f>VLOOKUP($B53,'[1]IAC - Base'!$A$6:$BH$45,'[1]IAC - Base'!AD$1,0)</f>
        <v>0</v>
      </c>
      <c r="AD53" s="20">
        <f>VLOOKUP($B53,'[1]IAC - Base'!$A$6:$BH$45,'[1]IAC - Base'!AE$1,0)</f>
        <v>0</v>
      </c>
      <c r="AE53" s="20">
        <f t="shared" si="0"/>
        <v>31844461866.780003</v>
      </c>
      <c r="AF53" s="21">
        <f t="shared" si="1"/>
        <v>0.33171314444562505</v>
      </c>
      <c r="AH53" s="20">
        <f>VLOOKUP($B53,'[1]IAC - Base'!$A$6:$BH$45,'[1]IAC - Base'!AI$1,0)</f>
        <v>4606526647.9499998</v>
      </c>
      <c r="AI53" s="20">
        <f>VLOOKUP($B53,'[1]IAC - Base'!$A$6:$BH$45,'[1]IAC - Base'!AJ$1,0)</f>
        <v>3391906197.8899999</v>
      </c>
      <c r="AJ53" s="20">
        <f>VLOOKUP($B53,'[1]IAC - Base'!$A$6:$BH$45,'[1]IAC - Base'!AK$1,0)</f>
        <v>3494290615.4499998</v>
      </c>
      <c r="AK53" s="20">
        <f>VLOOKUP($B53,'[1]IAC - Base'!$A$6:$BH$45,'[1]IAC - Base'!AL$1,0)</f>
        <v>4201653167.98</v>
      </c>
      <c r="AL53" s="20">
        <f>VLOOKUP($B53,'[1]IAC - Base'!$A$6:$BH$45,'[1]IAC - Base'!AM$1,0)</f>
        <v>3653181477.3400002</v>
      </c>
      <c r="AM53" s="20">
        <f>VLOOKUP($B53,'[1]IAC - Base'!$A$6:$BH$45,'[1]IAC - Base'!AN$1,0)</f>
        <v>3248307992.8600001</v>
      </c>
      <c r="AN53" s="20">
        <f>VLOOKUP($B53,'[1]IAC - Base'!$A$6:$BH$45,'[1]IAC - Base'!AO$1,0)</f>
        <v>4447635789.4399996</v>
      </c>
      <c r="AO53" s="20">
        <f>VLOOKUP($B53,'[1]IAC - Base'!$A$6:$BH$45,'[1]IAC - Base'!AP$1,0)</f>
        <v>4288744927.9200001</v>
      </c>
      <c r="AP53" s="20">
        <f>VLOOKUP($B53,'[1]IAC - Base'!$A$6:$BH$45,'[1]IAC - Base'!AQ$1,0)</f>
        <v>3248307992.8600001</v>
      </c>
      <c r="AQ53" s="20">
        <f>VLOOKUP($B53,'[1]IAC - Base'!$A$6:$BH$45,'[1]IAC - Base'!AR$1,0)</f>
        <v>4606526651.3299999</v>
      </c>
      <c r="AR53" s="20">
        <f>VLOOKUP($B53,'[1]IAC - Base'!$A$6:$BH$45,'[1]IAC - Base'!AS$1,0)</f>
        <v>4360544029.5</v>
      </c>
      <c r="AS53" s="20">
        <f>VLOOKUP($B53,'[1]IAC - Base'!$A$6:$BH$45,'[1]IAC - Base'!AT$1,0)</f>
        <v>4129854064.9000001</v>
      </c>
      <c r="AT53" s="20">
        <f>VLOOKUP($B53,'[1]IAC - Base'!$A$6:$BH$45,'[1]IAC - Base'!AU$1,0)</f>
        <v>4334410182.1899996</v>
      </c>
      <c r="AU53" s="20">
        <f>VLOOKUP($B53,'[1]IAC - Base'!$A$6:$BH$45,'[1]IAC - Base'!AV$1,0)</f>
        <v>3451502608.29</v>
      </c>
      <c r="AV53" s="20">
        <f>VLOOKUP($B53,'[1]IAC - Base'!$A$6:$BH$45,'[1]IAC - Base'!AW$1,0)</f>
        <v>3417375381.75</v>
      </c>
      <c r="AW53" s="20">
        <f>VLOOKUP($B53,'[1]IAC - Base'!$A$6:$BH$45,'[1]IAC - Base'!AX$1,0)</f>
        <v>4549571439.1700001</v>
      </c>
      <c r="AX53" s="20">
        <f>VLOOKUP($B53,'[1]IAC - Base'!$A$6:$BH$45,'[1]IAC - Base'!AY$1,0)</f>
        <v>3875892783.29</v>
      </c>
      <c r="AY53" s="20">
        <f>VLOOKUP($B53,'[1]IAC - Base'!$A$6:$BH$45,'[1]IAC - Base'!AZ$1,0)</f>
        <v>3632536635.73</v>
      </c>
      <c r="AZ53" s="20">
        <f>VLOOKUP($B53,'[1]IAC - Base'!$A$6:$BH$45,'[1]IAC - Base'!BA$1,0)</f>
        <v>4487249319.04</v>
      </c>
      <c r="BA53" s="20">
        <f>VLOOKUP($B53,'[1]IAC - Base'!$A$6:$BH$45,'[1]IAC - Base'!BB$1,0)</f>
        <v>4334410185.9499998</v>
      </c>
      <c r="BB53" s="20">
        <f>VLOOKUP($B53,'[1]IAC - Base'!$A$6:$BH$45,'[1]IAC - Base'!BC$1,0)</f>
        <v>3326858368.04</v>
      </c>
      <c r="BC53" s="20">
        <f>VLOOKUP($B53,'[1]IAC - Base'!$A$6:$BH$45,'[1]IAC - Base'!BD$1,0)</f>
        <v>4640088452.8900003</v>
      </c>
      <c r="BD53" s="20">
        <f>VLOOKUP($B53,'[1]IAC - Base'!$A$6:$BH$45,'[1]IAC - Base'!BE$1,0)</f>
        <v>4243893172.23</v>
      </c>
      <c r="BE53" s="20">
        <f>VLOOKUP($B53,'[1]IAC - Base'!$A$6:$BH$45,'[1]IAC - Base'!BF$1,0)</f>
        <v>4028731916.3800001</v>
      </c>
      <c r="BF53" s="20">
        <f t="shared" si="2"/>
        <v>96000000000.369995</v>
      </c>
      <c r="BG53" s="21">
        <f t="shared" si="3"/>
        <v>1.000000000003854</v>
      </c>
    </row>
    <row r="54" spans="1:59" s="23" customFormat="1" ht="15" customHeight="1" x14ac:dyDescent="0.25">
      <c r="A54"/>
      <c r="B54" s="22" t="s">
        <v>128</v>
      </c>
      <c r="C54" s="22" t="s">
        <v>122</v>
      </c>
      <c r="D54" s="19" t="s">
        <v>123</v>
      </c>
      <c r="E54" s="19" t="s">
        <v>129</v>
      </c>
      <c r="F54" s="20">
        <f>VLOOKUP($B54,'[1]IAC - Base'!$A$6:$BH$45,'[1]IAC - Base'!G$1,0)</f>
        <v>103861624279</v>
      </c>
      <c r="G54" s="20">
        <f>VLOOKUP($B54,'[1]IAC - Base'!$A$6:$BH$45,'[1]IAC - Base'!H$1,0)</f>
        <v>0</v>
      </c>
      <c r="H54" s="20">
        <f>VLOOKUP($B54,'[1]IAC - Base'!$A$6:$BH$45,'[1]IAC - Base'!I$1,0)</f>
        <v>0</v>
      </c>
      <c r="I54" s="20">
        <f>VLOOKUP($B54,'[1]IAC - Base'!$A$6:$BH$45,'[1]IAC - Base'!J$1,0)</f>
        <v>0</v>
      </c>
      <c r="J54" s="20">
        <f>VLOOKUP($B54,'[1]IAC - Base'!$A$6:$BH$45,'[1]IAC - Base'!K$1,0)</f>
        <v>0</v>
      </c>
      <c r="K54" s="20">
        <f>VLOOKUP($B54,'[1]IAC - Base'!$A$6:$BH$45,'[1]IAC - Base'!L$1,0)</f>
        <v>0</v>
      </c>
      <c r="L54" s="20">
        <f>VLOOKUP($B54,'[1]IAC - Base'!$A$6:$BH$45,'[1]IAC - Base'!M$1,0)</f>
        <v>0</v>
      </c>
      <c r="M54" s="20">
        <f>VLOOKUP($B54,'[1]IAC - Base'!$A$6:$BH$45,'[1]IAC - Base'!N$1,0)</f>
        <v>27846561919.299999</v>
      </c>
      <c r="N54" s="20">
        <f>VLOOKUP($B54,'[1]IAC - Base'!$A$6:$BH$45,'[1]IAC - Base'!O$1,0)</f>
        <v>3063392168.75</v>
      </c>
      <c r="O54" s="20">
        <f>VLOOKUP($B54,'[1]IAC - Base'!$A$6:$BH$45,'[1]IAC - Base'!P$1,0)</f>
        <v>3542311888.77</v>
      </c>
      <c r="P54" s="20">
        <f>VLOOKUP($B54,'[1]IAC - Base'!$A$6:$BH$45,'[1]IAC - Base'!Q$1,0)</f>
        <v>0</v>
      </c>
      <c r="Q54" s="20">
        <f>VLOOKUP($B54,'[1]IAC - Base'!$A$6:$BH$45,'[1]IAC - Base'!R$1,0)</f>
        <v>0</v>
      </c>
      <c r="R54" s="20">
        <f>VLOOKUP($B54,'[1]IAC - Base'!$A$6:$BH$45,'[1]IAC - Base'!S$1,0)</f>
        <v>0</v>
      </c>
      <c r="S54" s="20">
        <f>VLOOKUP($B54,'[1]IAC - Base'!$A$6:$BH$45,'[1]IAC - Base'!T$1,0)</f>
        <v>0</v>
      </c>
      <c r="T54" s="20">
        <f>VLOOKUP($B54,'[1]IAC - Base'!$A$6:$BH$45,'[1]IAC - Base'!U$1,0)</f>
        <v>0</v>
      </c>
      <c r="U54" s="20">
        <f>VLOOKUP($B54,'[1]IAC - Base'!$A$6:$BH$45,'[1]IAC - Base'!V$1,0)</f>
        <v>0</v>
      </c>
      <c r="V54" s="20">
        <f>VLOOKUP($B54,'[1]IAC - Base'!$A$6:$BH$45,'[1]IAC - Base'!W$1,0)</f>
        <v>0</v>
      </c>
      <c r="W54" s="20">
        <f>VLOOKUP($B54,'[1]IAC - Base'!$A$6:$BH$45,'[1]IAC - Base'!X$1,0)</f>
        <v>0</v>
      </c>
      <c r="X54" s="20">
        <f>VLOOKUP($B54,'[1]IAC - Base'!$A$6:$BH$45,'[1]IAC - Base'!Y$1,0)</f>
        <v>0</v>
      </c>
      <c r="Y54" s="20">
        <f>VLOOKUP($B54,'[1]IAC - Base'!$A$6:$BH$45,'[1]IAC - Base'!Z$1,0)</f>
        <v>0</v>
      </c>
      <c r="Z54" s="20">
        <f>VLOOKUP($B54,'[1]IAC - Base'!$A$6:$BH$45,'[1]IAC - Base'!AA$1,0)</f>
        <v>0</v>
      </c>
      <c r="AA54" s="20">
        <f>VLOOKUP($B54,'[1]IAC - Base'!$A$6:$BH$45,'[1]IAC - Base'!AB$1,0)</f>
        <v>0</v>
      </c>
      <c r="AB54" s="20">
        <f>VLOOKUP($B54,'[1]IAC - Base'!$A$6:$BH$45,'[1]IAC - Base'!AC$1,0)</f>
        <v>0</v>
      </c>
      <c r="AC54" s="20">
        <f>VLOOKUP($B54,'[1]IAC - Base'!$A$6:$BH$45,'[1]IAC - Base'!AD$1,0)</f>
        <v>0</v>
      </c>
      <c r="AD54" s="20">
        <f>VLOOKUP($B54,'[1]IAC - Base'!$A$6:$BH$45,'[1]IAC - Base'!AE$1,0)</f>
        <v>0</v>
      </c>
      <c r="AE54" s="20">
        <f t="shared" si="0"/>
        <v>34452265976.82</v>
      </c>
      <c r="AF54" s="21">
        <f t="shared" si="1"/>
        <v>0.33171314444565236</v>
      </c>
      <c r="AH54" s="20">
        <f>VLOOKUP($B54,'[1]IAC - Base'!$A$6:$BH$45,'[1]IAC - Base'!AI$1,0)</f>
        <v>4983763957.71</v>
      </c>
      <c r="AI54" s="20">
        <f>VLOOKUP($B54,'[1]IAC - Base'!$A$6:$BH$45,'[1]IAC - Base'!AJ$1,0)</f>
        <v>3669675907.4499998</v>
      </c>
      <c r="AJ54" s="20">
        <f>VLOOKUP($B54,'[1]IAC - Base'!$A$6:$BH$45,'[1]IAC - Base'!AK$1,0)</f>
        <v>3780444781.4899998</v>
      </c>
      <c r="AK54" s="20">
        <f>VLOOKUP($B54,'[1]IAC - Base'!$A$6:$BH$45,'[1]IAC - Base'!AL$1,0)</f>
        <v>4545734611.2799997</v>
      </c>
      <c r="AL54" s="20">
        <f>VLOOKUP($B54,'[1]IAC - Base'!$A$6:$BH$45,'[1]IAC - Base'!AM$1,0)</f>
        <v>3952347521.0700002</v>
      </c>
      <c r="AM54" s="20">
        <f>VLOOKUP($B54,'[1]IAC - Base'!$A$6:$BH$45,'[1]IAC - Base'!AN$1,0)</f>
        <v>3514318169.7600002</v>
      </c>
      <c r="AN54" s="20">
        <f>VLOOKUP($B54,'[1]IAC - Base'!$A$6:$BH$45,'[1]IAC - Base'!AO$1,0)</f>
        <v>4811861221.8000002</v>
      </c>
      <c r="AO54" s="20">
        <f>VLOOKUP($B54,'[1]IAC - Base'!$A$6:$BH$45,'[1]IAC - Base'!AP$1,0)</f>
        <v>4639958482.6300001</v>
      </c>
      <c r="AP54" s="20">
        <f>VLOOKUP($B54,'[1]IAC - Base'!$A$6:$BH$45,'[1]IAC - Base'!AQ$1,0)</f>
        <v>3514318169.7600002</v>
      </c>
      <c r="AQ54" s="20">
        <f>VLOOKUP($B54,'[1]IAC - Base'!$A$6:$BH$45,'[1]IAC - Base'!AR$1,0)</f>
        <v>4983763961.3699999</v>
      </c>
      <c r="AR54" s="20">
        <f>VLOOKUP($B54,'[1]IAC - Base'!$A$6:$BH$45,'[1]IAC - Base'!AS$1,0)</f>
        <v>4717637350.4499998</v>
      </c>
      <c r="AS54" s="20">
        <f>VLOOKUP($B54,'[1]IAC - Base'!$A$6:$BH$45,'[1]IAC - Base'!AT$1,0)</f>
        <v>4468055741.8299999</v>
      </c>
      <c r="AT54" s="20">
        <f>VLOOKUP($B54,'[1]IAC - Base'!$A$6:$BH$45,'[1]IAC - Base'!AU$1,0)</f>
        <v>4689363352.2299995</v>
      </c>
      <c r="AU54" s="20">
        <f>VLOOKUP($B54,'[1]IAC - Base'!$A$6:$BH$45,'[1]IAC - Base'!AV$1,0)</f>
        <v>3734152782.29</v>
      </c>
      <c r="AV54" s="20">
        <f>VLOOKUP($B54,'[1]IAC - Base'!$A$6:$BH$45,'[1]IAC - Base'!AW$1,0)</f>
        <v>3697230811.6700001</v>
      </c>
      <c r="AW54" s="20">
        <f>VLOOKUP($B54,'[1]IAC - Base'!$A$6:$BH$45,'[1]IAC - Base'!AX$1,0)</f>
        <v>4922144577.5600004</v>
      </c>
      <c r="AX54" s="20">
        <f>VLOOKUP($B54,'[1]IAC - Base'!$A$6:$BH$45,'[1]IAC - Base'!AY$1,0)</f>
        <v>4193297083.3699999</v>
      </c>
      <c r="AY54" s="20">
        <f>VLOOKUP($B54,'[1]IAC - Base'!$A$6:$BH$45,'[1]IAC - Base'!AZ$1,0)</f>
        <v>3930012033.7399998</v>
      </c>
      <c r="AZ54" s="20">
        <f>VLOOKUP($B54,'[1]IAC - Base'!$A$6:$BH$45,'[1]IAC - Base'!BA$1,0)</f>
        <v>4854718779.3800001</v>
      </c>
      <c r="BA54" s="20">
        <f>VLOOKUP($B54,'[1]IAC - Base'!$A$6:$BH$45,'[1]IAC - Base'!BB$1,0)</f>
        <v>4689363356.3000002</v>
      </c>
      <c r="BB54" s="20">
        <f>VLOOKUP($B54,'[1]IAC - Base'!$A$6:$BH$45,'[1]IAC - Base'!BC$1,0)</f>
        <v>3599301185.9400001</v>
      </c>
      <c r="BC54" s="20">
        <f>VLOOKUP($B54,'[1]IAC - Base'!$A$6:$BH$45,'[1]IAC - Base'!BD$1,0)</f>
        <v>5020074203.2799997</v>
      </c>
      <c r="BD54" s="20">
        <f>VLOOKUP($B54,'[1]IAC - Base'!$A$6:$BH$45,'[1]IAC - Base'!BE$1,0)</f>
        <v>4591433730.5699997</v>
      </c>
      <c r="BE54" s="20">
        <f>VLOOKUP($B54,'[1]IAC - Base'!$A$6:$BH$45,'[1]IAC - Base'!BF$1,0)</f>
        <v>4358652506.46</v>
      </c>
      <c r="BF54" s="20">
        <f t="shared" si="2"/>
        <v>103861624279.39003</v>
      </c>
      <c r="BG54" s="21">
        <f t="shared" si="3"/>
        <v>1.0000000000037552</v>
      </c>
    </row>
    <row r="55" spans="1:59" s="23" customFormat="1" ht="15" customHeight="1" x14ac:dyDescent="0.25">
      <c r="A55"/>
      <c r="B55" s="22" t="s">
        <v>130</v>
      </c>
      <c r="C55" s="22" t="s">
        <v>122</v>
      </c>
      <c r="D55" s="19" t="s">
        <v>131</v>
      </c>
      <c r="E55" s="19" t="s">
        <v>132</v>
      </c>
      <c r="F55" s="20">
        <f>VLOOKUP($B55,'[1]IAC - Base'!$A$6:$BH$45,'[1]IAC - Base'!G$1,0)</f>
        <v>25500000000</v>
      </c>
      <c r="G55" s="20">
        <f>VLOOKUP($B55,'[1]IAC - Base'!$A$6:$BH$45,'[1]IAC - Base'!H$1,0)</f>
        <v>0</v>
      </c>
      <c r="H55" s="20">
        <f>VLOOKUP($B55,'[1]IAC - Base'!$A$6:$BH$45,'[1]IAC - Base'!I$1,0)</f>
        <v>0</v>
      </c>
      <c r="I55" s="20">
        <f>VLOOKUP($B55,'[1]IAC - Base'!$A$6:$BH$45,'[1]IAC - Base'!J$1,0)</f>
        <v>0</v>
      </c>
      <c r="J55" s="20">
        <f>VLOOKUP($B55,'[1]IAC - Base'!$A$6:$BH$45,'[1]IAC - Base'!K$1,0)</f>
        <v>0</v>
      </c>
      <c r="K55" s="20">
        <f>VLOOKUP($B55,'[1]IAC - Base'!$A$6:$BH$45,'[1]IAC - Base'!L$1,0)</f>
        <v>0</v>
      </c>
      <c r="L55" s="20">
        <f>VLOOKUP($B55,'[1]IAC - Base'!$A$6:$BH$45,'[1]IAC - Base'!M$1,0)</f>
        <v>0</v>
      </c>
      <c r="M55" s="20">
        <f>VLOOKUP($B55,'[1]IAC - Base'!$A$6:$BH$45,'[1]IAC - Base'!N$1,0)</f>
        <v>6836859464.4200001</v>
      </c>
      <c r="N55" s="20">
        <f>VLOOKUP($B55,'[1]IAC - Base'!$A$6:$BH$45,'[1]IAC - Base'!O$1,0)</f>
        <v>752120919.01999998</v>
      </c>
      <c r="O55" s="20">
        <f>VLOOKUP($B55,'[1]IAC - Base'!$A$6:$BH$45,'[1]IAC - Base'!P$1,0)</f>
        <v>869704799.92999995</v>
      </c>
      <c r="P55" s="20">
        <f>VLOOKUP($B55,'[1]IAC - Base'!$A$6:$BH$45,'[1]IAC - Base'!Q$1,0)</f>
        <v>0</v>
      </c>
      <c r="Q55" s="20">
        <f>VLOOKUP($B55,'[1]IAC - Base'!$A$6:$BH$45,'[1]IAC - Base'!R$1,0)</f>
        <v>0</v>
      </c>
      <c r="R55" s="20">
        <f>VLOOKUP($B55,'[1]IAC - Base'!$A$6:$BH$45,'[1]IAC - Base'!S$1,0)</f>
        <v>0</v>
      </c>
      <c r="S55" s="20">
        <f>VLOOKUP($B55,'[1]IAC - Base'!$A$6:$BH$45,'[1]IAC - Base'!T$1,0)</f>
        <v>0</v>
      </c>
      <c r="T55" s="20">
        <f>VLOOKUP($B55,'[1]IAC - Base'!$A$6:$BH$45,'[1]IAC - Base'!U$1,0)</f>
        <v>0</v>
      </c>
      <c r="U55" s="20">
        <f>VLOOKUP($B55,'[1]IAC - Base'!$A$6:$BH$45,'[1]IAC - Base'!V$1,0)</f>
        <v>0</v>
      </c>
      <c r="V55" s="20">
        <f>VLOOKUP($B55,'[1]IAC - Base'!$A$6:$BH$45,'[1]IAC - Base'!W$1,0)</f>
        <v>0</v>
      </c>
      <c r="W55" s="20">
        <f>VLOOKUP($B55,'[1]IAC - Base'!$A$6:$BH$45,'[1]IAC - Base'!X$1,0)</f>
        <v>0</v>
      </c>
      <c r="X55" s="20">
        <f>VLOOKUP($B55,'[1]IAC - Base'!$A$6:$BH$45,'[1]IAC - Base'!Y$1,0)</f>
        <v>0</v>
      </c>
      <c r="Y55" s="20">
        <f>VLOOKUP($B55,'[1]IAC - Base'!$A$6:$BH$45,'[1]IAC - Base'!Z$1,0)</f>
        <v>0</v>
      </c>
      <c r="Z55" s="20">
        <f>VLOOKUP($B55,'[1]IAC - Base'!$A$6:$BH$45,'[1]IAC - Base'!AA$1,0)</f>
        <v>0</v>
      </c>
      <c r="AA55" s="20">
        <f>VLOOKUP($B55,'[1]IAC - Base'!$A$6:$BH$45,'[1]IAC - Base'!AB$1,0)</f>
        <v>0</v>
      </c>
      <c r="AB55" s="20">
        <f>VLOOKUP($B55,'[1]IAC - Base'!$A$6:$BH$45,'[1]IAC - Base'!AC$1,0)</f>
        <v>0</v>
      </c>
      <c r="AC55" s="20">
        <f>VLOOKUP($B55,'[1]IAC - Base'!$A$6:$BH$45,'[1]IAC - Base'!AD$1,0)</f>
        <v>0</v>
      </c>
      <c r="AD55" s="20">
        <f>VLOOKUP($B55,'[1]IAC - Base'!$A$6:$BH$45,'[1]IAC - Base'!AE$1,0)</f>
        <v>0</v>
      </c>
      <c r="AE55" s="20">
        <f t="shared" si="0"/>
        <v>8458685183.3700008</v>
      </c>
      <c r="AF55" s="21">
        <f t="shared" si="1"/>
        <v>0.3317131444458824</v>
      </c>
      <c r="AH55" s="20">
        <f>VLOOKUP($B55,'[1]IAC - Base'!$A$6:$BH$45,'[1]IAC - Base'!AI$1,0)</f>
        <v>1223608640.8599999</v>
      </c>
      <c r="AI55" s="20">
        <f>VLOOKUP($B55,'[1]IAC - Base'!$A$6:$BH$45,'[1]IAC - Base'!AJ$1,0)</f>
        <v>900975083.82000005</v>
      </c>
      <c r="AJ55" s="20">
        <f>VLOOKUP($B55,'[1]IAC - Base'!$A$6:$BH$45,'[1]IAC - Base'!AK$1,0)</f>
        <v>928170944.73000002</v>
      </c>
      <c r="AK55" s="20">
        <f>VLOOKUP($B55,'[1]IAC - Base'!$A$6:$BH$45,'[1]IAC - Base'!AL$1,0)</f>
        <v>1116064122.74</v>
      </c>
      <c r="AL55" s="20">
        <f>VLOOKUP($B55,'[1]IAC - Base'!$A$6:$BH$45,'[1]IAC - Base'!AM$1,0)</f>
        <v>970376329.91999996</v>
      </c>
      <c r="AM55" s="20">
        <f>VLOOKUP($B55,'[1]IAC - Base'!$A$6:$BH$45,'[1]IAC - Base'!AN$1,0)</f>
        <v>862831810.60000002</v>
      </c>
      <c r="AN55" s="20">
        <f>VLOOKUP($B55,'[1]IAC - Base'!$A$6:$BH$45,'[1]IAC - Base'!AO$1,0)</f>
        <v>1181403256.5699999</v>
      </c>
      <c r="AO55" s="20">
        <f>VLOOKUP($B55,'[1]IAC - Base'!$A$6:$BH$45,'[1]IAC - Base'!AP$1,0)</f>
        <v>1139197871.48</v>
      </c>
      <c r="AP55" s="20">
        <f>VLOOKUP($B55,'[1]IAC - Base'!$A$6:$BH$45,'[1]IAC - Base'!AQ$1,0)</f>
        <v>862831810.60000002</v>
      </c>
      <c r="AQ55" s="20">
        <f>VLOOKUP($B55,'[1]IAC - Base'!$A$6:$BH$45,'[1]IAC - Base'!AR$1,0)</f>
        <v>1223608641.76</v>
      </c>
      <c r="AR55" s="20">
        <f>VLOOKUP($B55,'[1]IAC - Base'!$A$6:$BH$45,'[1]IAC - Base'!AS$1,0)</f>
        <v>1158269507.8299999</v>
      </c>
      <c r="AS55" s="20">
        <f>VLOOKUP($B55,'[1]IAC - Base'!$A$6:$BH$45,'[1]IAC - Base'!AT$1,0)</f>
        <v>1096992485.99</v>
      </c>
      <c r="AT55" s="20">
        <f>VLOOKUP($B55,'[1]IAC - Base'!$A$6:$BH$45,'[1]IAC - Base'!AU$1,0)</f>
        <v>1151327704.6400001</v>
      </c>
      <c r="AU55" s="20">
        <f>VLOOKUP($B55,'[1]IAC - Base'!$A$6:$BH$45,'[1]IAC - Base'!AV$1,0)</f>
        <v>916805380.33000004</v>
      </c>
      <c r="AV55" s="20">
        <f>VLOOKUP($B55,'[1]IAC - Base'!$A$6:$BH$45,'[1]IAC - Base'!AW$1,0)</f>
        <v>907740335.77999997</v>
      </c>
      <c r="AW55" s="20">
        <f>VLOOKUP($B55,'[1]IAC - Base'!$A$6:$BH$45,'[1]IAC - Base'!AX$1,0)</f>
        <v>1208479913.53</v>
      </c>
      <c r="AX55" s="20">
        <f>VLOOKUP($B55,'[1]IAC - Base'!$A$6:$BH$45,'[1]IAC - Base'!AY$1,0)</f>
        <v>1029534020.5599999</v>
      </c>
      <c r="AY55" s="20">
        <f>VLOOKUP($B55,'[1]IAC - Base'!$A$6:$BH$45,'[1]IAC - Base'!AZ$1,0)</f>
        <v>964892543.86000001</v>
      </c>
      <c r="AZ55" s="20">
        <f>VLOOKUP($B55,'[1]IAC - Base'!$A$6:$BH$45,'[1]IAC - Base'!BA$1,0)</f>
        <v>1191925600.3699999</v>
      </c>
      <c r="BA55" s="20">
        <f>VLOOKUP($B55,'[1]IAC - Base'!$A$6:$BH$45,'[1]IAC - Base'!BB$1,0)</f>
        <v>1151327705.6400001</v>
      </c>
      <c r="BB55" s="20">
        <f>VLOOKUP($B55,'[1]IAC - Base'!$A$6:$BH$45,'[1]IAC - Base'!BC$1,0)</f>
        <v>883696754.00999999</v>
      </c>
      <c r="BC55" s="20">
        <f>VLOOKUP($B55,'[1]IAC - Base'!$A$6:$BH$45,'[1]IAC - Base'!BD$1,0)</f>
        <v>1232523495.3</v>
      </c>
      <c r="BD55" s="20">
        <f>VLOOKUP($B55,'[1]IAC - Base'!$A$6:$BH$45,'[1]IAC - Base'!BE$1,0)</f>
        <v>1127284123.8699999</v>
      </c>
      <c r="BE55" s="20">
        <f>VLOOKUP($B55,'[1]IAC - Base'!$A$6:$BH$45,'[1]IAC - Base'!BF$1,0)</f>
        <v>1070131915.29</v>
      </c>
      <c r="BF55" s="20">
        <f t="shared" si="2"/>
        <v>25500000000.079998</v>
      </c>
      <c r="BG55" s="21">
        <f t="shared" si="3"/>
        <v>1.0000000000031373</v>
      </c>
    </row>
    <row r="56" spans="1:59" s="23" customFormat="1" ht="15" customHeight="1" x14ac:dyDescent="0.25">
      <c r="A56"/>
      <c r="B56" s="22" t="s">
        <v>133</v>
      </c>
      <c r="C56" s="22" t="s">
        <v>122</v>
      </c>
      <c r="D56" s="19" t="s">
        <v>123</v>
      </c>
      <c r="E56" s="19" t="s">
        <v>134</v>
      </c>
      <c r="F56" s="20">
        <f>VLOOKUP($B56,'[1]IAC - Base'!$A$6:$BH$45,'[1]IAC - Base'!G$1,0)</f>
        <v>0</v>
      </c>
      <c r="G56" s="20">
        <f>VLOOKUP($B56,'[1]IAC - Base'!$A$6:$BH$45,'[1]IAC - Base'!H$1,0)</f>
        <v>0</v>
      </c>
      <c r="H56" s="20">
        <f>VLOOKUP($B56,'[1]IAC - Base'!$A$6:$BH$45,'[1]IAC - Base'!I$1,0)</f>
        <v>0</v>
      </c>
      <c r="I56" s="20">
        <f>VLOOKUP($B56,'[1]IAC - Base'!$A$6:$BH$45,'[1]IAC - Base'!J$1,0)</f>
        <v>0</v>
      </c>
      <c r="J56" s="20">
        <f>VLOOKUP($B56,'[1]IAC - Base'!$A$6:$BH$45,'[1]IAC - Base'!K$1,0)</f>
        <v>0</v>
      </c>
      <c r="K56" s="20">
        <f>VLOOKUP($B56,'[1]IAC - Base'!$A$6:$BH$45,'[1]IAC - Base'!L$1,0)</f>
        <v>0</v>
      </c>
      <c r="L56" s="20">
        <f>VLOOKUP($B56,'[1]IAC - Base'!$A$6:$BH$45,'[1]IAC - Base'!M$1,0)</f>
        <v>0</v>
      </c>
      <c r="M56" s="20">
        <f>VLOOKUP($B56,'[1]IAC - Base'!$A$6:$BH$45,'[1]IAC - Base'!N$1,0)</f>
        <v>0</v>
      </c>
      <c r="N56" s="20">
        <f>VLOOKUP($B56,'[1]IAC - Base'!$A$6:$BH$45,'[1]IAC - Base'!O$1,0)</f>
        <v>0</v>
      </c>
      <c r="O56" s="20">
        <f>VLOOKUP($B56,'[1]IAC - Base'!$A$6:$BH$45,'[1]IAC - Base'!P$1,0)</f>
        <v>0</v>
      </c>
      <c r="P56" s="20">
        <f>VLOOKUP($B56,'[1]IAC - Base'!$A$6:$BH$45,'[1]IAC - Base'!Q$1,0)</f>
        <v>0</v>
      </c>
      <c r="Q56" s="20">
        <f>VLOOKUP($B56,'[1]IAC - Base'!$A$6:$BH$45,'[1]IAC - Base'!R$1,0)</f>
        <v>0</v>
      </c>
      <c r="R56" s="20">
        <f>VLOOKUP($B56,'[1]IAC - Base'!$A$6:$BH$45,'[1]IAC - Base'!S$1,0)</f>
        <v>0</v>
      </c>
      <c r="S56" s="20">
        <f>VLOOKUP($B56,'[1]IAC - Base'!$A$6:$BH$45,'[1]IAC - Base'!T$1,0)</f>
        <v>0</v>
      </c>
      <c r="T56" s="20">
        <f>VLOOKUP($B56,'[1]IAC - Base'!$A$6:$BH$45,'[1]IAC - Base'!U$1,0)</f>
        <v>0</v>
      </c>
      <c r="U56" s="20">
        <f>VLOOKUP($B56,'[1]IAC - Base'!$A$6:$BH$45,'[1]IAC - Base'!V$1,0)</f>
        <v>0</v>
      </c>
      <c r="V56" s="20">
        <f>VLOOKUP($B56,'[1]IAC - Base'!$A$6:$BH$45,'[1]IAC - Base'!W$1,0)</f>
        <v>0</v>
      </c>
      <c r="W56" s="20">
        <f>VLOOKUP($B56,'[1]IAC - Base'!$A$6:$BH$45,'[1]IAC - Base'!X$1,0)</f>
        <v>0</v>
      </c>
      <c r="X56" s="20">
        <f>VLOOKUP($B56,'[1]IAC - Base'!$A$6:$BH$45,'[1]IAC - Base'!Y$1,0)</f>
        <v>0</v>
      </c>
      <c r="Y56" s="20">
        <f>VLOOKUP($B56,'[1]IAC - Base'!$A$6:$BH$45,'[1]IAC - Base'!Z$1,0)</f>
        <v>0</v>
      </c>
      <c r="Z56" s="20">
        <f>VLOOKUP($B56,'[1]IAC - Base'!$A$6:$BH$45,'[1]IAC - Base'!AA$1,0)</f>
        <v>0</v>
      </c>
      <c r="AA56" s="20">
        <f>VLOOKUP($B56,'[1]IAC - Base'!$A$6:$BH$45,'[1]IAC - Base'!AB$1,0)</f>
        <v>0</v>
      </c>
      <c r="AB56" s="20">
        <f>VLOOKUP($B56,'[1]IAC - Base'!$A$6:$BH$45,'[1]IAC - Base'!AC$1,0)</f>
        <v>0</v>
      </c>
      <c r="AC56" s="20">
        <f>VLOOKUP($B56,'[1]IAC - Base'!$A$6:$BH$45,'[1]IAC - Base'!AD$1,0)</f>
        <v>0</v>
      </c>
      <c r="AD56" s="20">
        <f>VLOOKUP($B56,'[1]IAC - Base'!$A$6:$BH$45,'[1]IAC - Base'!AE$1,0)</f>
        <v>0</v>
      </c>
      <c r="AE56" s="20">
        <f t="shared" si="0"/>
        <v>0</v>
      </c>
      <c r="AF56" s="21">
        <f t="shared" si="1"/>
        <v>0</v>
      </c>
      <c r="AH56" s="20">
        <f>VLOOKUP($B56,'[1]IAC - Base'!$A$6:$BH$45,'[1]IAC - Base'!AI$1,0)</f>
        <v>0</v>
      </c>
      <c r="AI56" s="20">
        <f>VLOOKUP($B56,'[1]IAC - Base'!$A$6:$BH$45,'[1]IAC - Base'!AJ$1,0)</f>
        <v>0</v>
      </c>
      <c r="AJ56" s="20">
        <f>VLOOKUP($B56,'[1]IAC - Base'!$A$6:$BH$45,'[1]IAC - Base'!AK$1,0)</f>
        <v>0</v>
      </c>
      <c r="AK56" s="20">
        <f>VLOOKUP($B56,'[1]IAC - Base'!$A$6:$BH$45,'[1]IAC - Base'!AL$1,0)</f>
        <v>0</v>
      </c>
      <c r="AL56" s="20">
        <f>VLOOKUP($B56,'[1]IAC - Base'!$A$6:$BH$45,'[1]IAC - Base'!AM$1,0)</f>
        <v>0</v>
      </c>
      <c r="AM56" s="20">
        <f>VLOOKUP($B56,'[1]IAC - Base'!$A$6:$BH$45,'[1]IAC - Base'!AN$1,0)</f>
        <v>0</v>
      </c>
      <c r="AN56" s="20">
        <f>VLOOKUP($B56,'[1]IAC - Base'!$A$6:$BH$45,'[1]IAC - Base'!AO$1,0)</f>
        <v>0</v>
      </c>
      <c r="AO56" s="20">
        <f>VLOOKUP($B56,'[1]IAC - Base'!$A$6:$BH$45,'[1]IAC - Base'!AP$1,0)</f>
        <v>0</v>
      </c>
      <c r="AP56" s="20">
        <f>VLOOKUP($B56,'[1]IAC - Base'!$A$6:$BH$45,'[1]IAC - Base'!AQ$1,0)</f>
        <v>0</v>
      </c>
      <c r="AQ56" s="20">
        <f>VLOOKUP($B56,'[1]IAC - Base'!$A$6:$BH$45,'[1]IAC - Base'!AR$1,0)</f>
        <v>0</v>
      </c>
      <c r="AR56" s="20">
        <f>VLOOKUP($B56,'[1]IAC - Base'!$A$6:$BH$45,'[1]IAC - Base'!AS$1,0)</f>
        <v>0</v>
      </c>
      <c r="AS56" s="20">
        <f>VLOOKUP($B56,'[1]IAC - Base'!$A$6:$BH$45,'[1]IAC - Base'!AT$1,0)</f>
        <v>0</v>
      </c>
      <c r="AT56" s="20">
        <f>VLOOKUP($B56,'[1]IAC - Base'!$A$6:$BH$45,'[1]IAC - Base'!AU$1,0)</f>
        <v>0</v>
      </c>
      <c r="AU56" s="20">
        <f>VLOOKUP($B56,'[1]IAC - Base'!$A$6:$BH$45,'[1]IAC - Base'!AV$1,0)</f>
        <v>0</v>
      </c>
      <c r="AV56" s="20">
        <f>VLOOKUP($B56,'[1]IAC - Base'!$A$6:$BH$45,'[1]IAC - Base'!AW$1,0)</f>
        <v>0</v>
      </c>
      <c r="AW56" s="20">
        <f>VLOOKUP($B56,'[1]IAC - Base'!$A$6:$BH$45,'[1]IAC - Base'!AX$1,0)</f>
        <v>0</v>
      </c>
      <c r="AX56" s="20">
        <f>VLOOKUP($B56,'[1]IAC - Base'!$A$6:$BH$45,'[1]IAC - Base'!AY$1,0)</f>
        <v>0</v>
      </c>
      <c r="AY56" s="20">
        <f>VLOOKUP($B56,'[1]IAC - Base'!$A$6:$BH$45,'[1]IAC - Base'!AZ$1,0)</f>
        <v>0</v>
      </c>
      <c r="AZ56" s="20">
        <f>VLOOKUP($B56,'[1]IAC - Base'!$A$6:$BH$45,'[1]IAC - Base'!BA$1,0)</f>
        <v>0</v>
      </c>
      <c r="BA56" s="20">
        <f>VLOOKUP($B56,'[1]IAC - Base'!$A$6:$BH$45,'[1]IAC - Base'!BB$1,0)</f>
        <v>0</v>
      </c>
      <c r="BB56" s="20">
        <f>VLOOKUP($B56,'[1]IAC - Base'!$A$6:$BH$45,'[1]IAC - Base'!BC$1,0)</f>
        <v>0</v>
      </c>
      <c r="BC56" s="20">
        <f>VLOOKUP($B56,'[1]IAC - Base'!$A$6:$BH$45,'[1]IAC - Base'!BD$1,0)</f>
        <v>0</v>
      </c>
      <c r="BD56" s="20">
        <f>VLOOKUP($B56,'[1]IAC - Base'!$A$6:$BH$45,'[1]IAC - Base'!BE$1,0)</f>
        <v>0</v>
      </c>
      <c r="BE56" s="20">
        <f>VLOOKUP($B56,'[1]IAC - Base'!$A$6:$BH$45,'[1]IAC - Base'!BF$1,0)</f>
        <v>0</v>
      </c>
      <c r="BF56" s="20">
        <f t="shared" si="2"/>
        <v>0</v>
      </c>
      <c r="BG56" s="21">
        <f t="shared" si="3"/>
        <v>0</v>
      </c>
    </row>
    <row r="57" spans="1:59" s="23" customFormat="1" ht="15" customHeight="1" x14ac:dyDescent="0.25">
      <c r="A57"/>
      <c r="B57" s="22" t="s">
        <v>135</v>
      </c>
      <c r="C57" s="22" t="s">
        <v>42</v>
      </c>
      <c r="D57" s="19" t="s">
        <v>136</v>
      </c>
      <c r="E57" s="19" t="s">
        <v>137</v>
      </c>
      <c r="F57" s="20">
        <f>VLOOKUP($B57,'[1]IAC - Base'!$A$6:$BH$45,'[1]IAC - Base'!G$1,0)</f>
        <v>0</v>
      </c>
      <c r="G57" s="20">
        <f>VLOOKUP($B57,'[1]IAC - Base'!$A$6:$BH$45,'[1]IAC - Base'!H$1,0)</f>
        <v>12259028389.959999</v>
      </c>
      <c r="H57" s="20">
        <f>VLOOKUP($B57,'[1]IAC - Base'!$A$6:$BH$45,'[1]IAC - Base'!I$1,0)</f>
        <v>7815637639.4899998</v>
      </c>
      <c r="I57" s="20">
        <f>VLOOKUP($B57,'[1]IAC - Base'!$A$6:$BH$45,'[1]IAC - Base'!J$1,0)</f>
        <v>10407908773.799999</v>
      </c>
      <c r="J57" s="20">
        <f>VLOOKUP($B57,'[1]IAC - Base'!$A$6:$BH$45,'[1]IAC - Base'!K$1,0)</f>
        <v>9533725664.7600002</v>
      </c>
      <c r="K57" s="20">
        <f>VLOOKUP($B57,'[1]IAC - Base'!$A$6:$BH$45,'[1]IAC - Base'!L$1,0)</f>
        <v>10915311972.25</v>
      </c>
      <c r="L57" s="20">
        <f>VLOOKUP($B57,'[1]IAC - Base'!$A$6:$BH$45,'[1]IAC - Base'!M$1,0)</f>
        <v>8380741854.3699999</v>
      </c>
      <c r="M57" s="20">
        <f>VLOOKUP($B57,'[1]IAC - Base'!$A$6:$BH$45,'[1]IAC - Base'!N$1,0)</f>
        <v>-59312354294.629997</v>
      </c>
      <c r="N57" s="20">
        <f>VLOOKUP($B57,'[1]IAC - Base'!$A$6:$BH$45,'[1]IAC - Base'!O$1,0)</f>
        <v>0</v>
      </c>
      <c r="O57" s="20">
        <f>VLOOKUP($B57,'[1]IAC - Base'!$A$6:$BH$45,'[1]IAC - Base'!P$1,0)</f>
        <v>0</v>
      </c>
      <c r="P57" s="20">
        <f>VLOOKUP($B57,'[1]IAC - Base'!$A$6:$BH$45,'[1]IAC - Base'!Q$1,0)</f>
        <v>0</v>
      </c>
      <c r="Q57" s="20">
        <f>VLOOKUP($B57,'[1]IAC - Base'!$A$6:$BH$45,'[1]IAC - Base'!R$1,0)</f>
        <v>0</v>
      </c>
      <c r="R57" s="20">
        <f>VLOOKUP($B57,'[1]IAC - Base'!$A$6:$BH$45,'[1]IAC - Base'!S$1,0)</f>
        <v>0</v>
      </c>
      <c r="S57" s="20">
        <f>VLOOKUP($B57,'[1]IAC - Base'!$A$6:$BH$45,'[1]IAC - Base'!T$1,0)</f>
        <v>0</v>
      </c>
      <c r="T57" s="20">
        <f>VLOOKUP($B57,'[1]IAC - Base'!$A$6:$BH$45,'[1]IAC - Base'!U$1,0)</f>
        <v>0</v>
      </c>
      <c r="U57" s="20">
        <f>VLOOKUP($B57,'[1]IAC - Base'!$A$6:$BH$45,'[1]IAC - Base'!V$1,0)</f>
        <v>0</v>
      </c>
      <c r="V57" s="20">
        <f>VLOOKUP($B57,'[1]IAC - Base'!$A$6:$BH$45,'[1]IAC - Base'!W$1,0)</f>
        <v>0</v>
      </c>
      <c r="W57" s="20">
        <f>VLOOKUP($B57,'[1]IAC - Base'!$A$6:$BH$45,'[1]IAC - Base'!X$1,0)</f>
        <v>0</v>
      </c>
      <c r="X57" s="20">
        <f>VLOOKUP($B57,'[1]IAC - Base'!$A$6:$BH$45,'[1]IAC - Base'!Y$1,0)</f>
        <v>0</v>
      </c>
      <c r="Y57" s="20">
        <f>VLOOKUP($B57,'[1]IAC - Base'!$A$6:$BH$45,'[1]IAC - Base'!Z$1,0)</f>
        <v>0</v>
      </c>
      <c r="Z57" s="20">
        <f>VLOOKUP($B57,'[1]IAC - Base'!$A$6:$BH$45,'[1]IAC - Base'!AA$1,0)</f>
        <v>0</v>
      </c>
      <c r="AA57" s="20">
        <f>VLOOKUP($B57,'[1]IAC - Base'!$A$6:$BH$45,'[1]IAC - Base'!AB$1,0)</f>
        <v>0</v>
      </c>
      <c r="AB57" s="20">
        <f>VLOOKUP($B57,'[1]IAC - Base'!$A$6:$BH$45,'[1]IAC - Base'!AC$1,0)</f>
        <v>0</v>
      </c>
      <c r="AC57" s="20">
        <f>VLOOKUP($B57,'[1]IAC - Base'!$A$6:$BH$45,'[1]IAC - Base'!AD$1,0)</f>
        <v>0</v>
      </c>
      <c r="AD57" s="20">
        <f>VLOOKUP($B57,'[1]IAC - Base'!$A$6:$BH$45,'[1]IAC - Base'!AE$1,0)</f>
        <v>0</v>
      </c>
      <c r="AE57" s="20">
        <f t="shared" si="0"/>
        <v>0</v>
      </c>
      <c r="AF57" s="21">
        <f t="shared" si="1"/>
        <v>0</v>
      </c>
      <c r="AH57" s="20">
        <f>VLOOKUP($B57,'[1]IAC - Base'!$A$6:$BH$45,'[1]IAC - Base'!AI$1,0)</f>
        <v>0</v>
      </c>
      <c r="AI57" s="20">
        <f>VLOOKUP($B57,'[1]IAC - Base'!$A$6:$BH$45,'[1]IAC - Base'!AJ$1,0)</f>
        <v>0</v>
      </c>
      <c r="AJ57" s="20">
        <f>VLOOKUP($B57,'[1]IAC - Base'!$A$6:$BH$45,'[1]IAC - Base'!AK$1,0)</f>
        <v>0</v>
      </c>
      <c r="AK57" s="20">
        <f>VLOOKUP($B57,'[1]IAC - Base'!$A$6:$BH$45,'[1]IAC - Base'!AL$1,0)</f>
        <v>0</v>
      </c>
      <c r="AL57" s="20">
        <f>VLOOKUP($B57,'[1]IAC - Base'!$A$6:$BH$45,'[1]IAC - Base'!AM$1,0)</f>
        <v>0</v>
      </c>
      <c r="AM57" s="20">
        <f>VLOOKUP($B57,'[1]IAC - Base'!$A$6:$BH$45,'[1]IAC - Base'!AN$1,0)</f>
        <v>0</v>
      </c>
      <c r="AN57" s="20">
        <f>VLOOKUP($B57,'[1]IAC - Base'!$A$6:$BH$45,'[1]IAC - Base'!AO$1,0)</f>
        <v>0</v>
      </c>
      <c r="AO57" s="20">
        <f>VLOOKUP($B57,'[1]IAC - Base'!$A$6:$BH$45,'[1]IAC - Base'!AP$1,0)</f>
        <v>0</v>
      </c>
      <c r="AP57" s="20">
        <f>VLOOKUP($B57,'[1]IAC - Base'!$A$6:$BH$45,'[1]IAC - Base'!AQ$1,0)</f>
        <v>0</v>
      </c>
      <c r="AQ57" s="20">
        <f>VLOOKUP($B57,'[1]IAC - Base'!$A$6:$BH$45,'[1]IAC - Base'!AR$1,0)</f>
        <v>0</v>
      </c>
      <c r="AR57" s="20">
        <f>VLOOKUP($B57,'[1]IAC - Base'!$A$6:$BH$45,'[1]IAC - Base'!AS$1,0)</f>
        <v>0</v>
      </c>
      <c r="AS57" s="20">
        <f>VLOOKUP($B57,'[1]IAC - Base'!$A$6:$BH$45,'[1]IAC - Base'!AT$1,0)</f>
        <v>0</v>
      </c>
      <c r="AT57" s="20">
        <f>VLOOKUP($B57,'[1]IAC - Base'!$A$6:$BH$45,'[1]IAC - Base'!AU$1,0)</f>
        <v>0</v>
      </c>
      <c r="AU57" s="20">
        <f>VLOOKUP($B57,'[1]IAC - Base'!$A$6:$BH$45,'[1]IAC - Base'!AV$1,0)</f>
        <v>0</v>
      </c>
      <c r="AV57" s="20">
        <f>VLOOKUP($B57,'[1]IAC - Base'!$A$6:$BH$45,'[1]IAC - Base'!AW$1,0)</f>
        <v>0</v>
      </c>
      <c r="AW57" s="20">
        <f>VLOOKUP($B57,'[1]IAC - Base'!$A$6:$BH$45,'[1]IAC - Base'!AX$1,0)</f>
        <v>0</v>
      </c>
      <c r="AX57" s="20">
        <f>VLOOKUP($B57,'[1]IAC - Base'!$A$6:$BH$45,'[1]IAC - Base'!AY$1,0)</f>
        <v>0</v>
      </c>
      <c r="AY57" s="20">
        <f>VLOOKUP($B57,'[1]IAC - Base'!$A$6:$BH$45,'[1]IAC - Base'!AZ$1,0)</f>
        <v>0</v>
      </c>
      <c r="AZ57" s="20">
        <f>VLOOKUP($B57,'[1]IAC - Base'!$A$6:$BH$45,'[1]IAC - Base'!BA$1,0)</f>
        <v>0</v>
      </c>
      <c r="BA57" s="20">
        <f>VLOOKUP($B57,'[1]IAC - Base'!$A$6:$BH$45,'[1]IAC - Base'!BB$1,0)</f>
        <v>0</v>
      </c>
      <c r="BB57" s="20">
        <f>VLOOKUP($B57,'[1]IAC - Base'!$A$6:$BH$45,'[1]IAC - Base'!BC$1,0)</f>
        <v>0</v>
      </c>
      <c r="BC57" s="20">
        <f>VLOOKUP($B57,'[1]IAC - Base'!$A$6:$BH$45,'[1]IAC - Base'!BD$1,0)</f>
        <v>0</v>
      </c>
      <c r="BD57" s="20">
        <f>VLOOKUP($B57,'[1]IAC - Base'!$A$6:$BH$45,'[1]IAC - Base'!BE$1,0)</f>
        <v>0</v>
      </c>
      <c r="BE57" s="20">
        <f>VLOOKUP($B57,'[1]IAC - Base'!$A$6:$BH$45,'[1]IAC - Base'!BF$1,0)</f>
        <v>0</v>
      </c>
      <c r="BF57" s="20">
        <f t="shared" si="2"/>
        <v>0</v>
      </c>
      <c r="BG57" s="21">
        <f t="shared" si="3"/>
        <v>0</v>
      </c>
    </row>
  </sheetData>
  <autoFilter ref="B17:AD57" xr:uid="{8A802053-1CC8-43C7-83EB-3E9CB4538FBC}"/>
  <mergeCells count="3">
    <mergeCell ref="D3:F3"/>
    <mergeCell ref="D6:F6"/>
    <mergeCell ref="C14:D14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BE09-0F56-4889-8A81-042F44C7012B}">
  <dimension ref="B2:H22"/>
  <sheetViews>
    <sheetView workbookViewId="0">
      <selection activeCell="B2" sqref="B2:H2"/>
    </sheetView>
  </sheetViews>
  <sheetFormatPr baseColWidth="10" defaultRowHeight="15" x14ac:dyDescent="0.25"/>
  <cols>
    <col min="1" max="1" width="2.5703125" style="26" customWidth="1"/>
    <col min="2" max="2" width="4" style="26" customWidth="1"/>
    <col min="3" max="3" width="9.85546875" style="26" customWidth="1"/>
    <col min="4" max="4" width="41.42578125" style="26" customWidth="1"/>
    <col min="5" max="5" width="3.5703125" style="26" customWidth="1"/>
    <col min="6" max="6" width="4" style="26" customWidth="1"/>
    <col min="7" max="7" width="21" style="26" customWidth="1"/>
    <col min="8" max="8" width="78" style="26" customWidth="1"/>
    <col min="9" max="16384" width="11.42578125" style="26"/>
  </cols>
  <sheetData>
    <row r="2" spans="2:8" ht="22.5" customHeight="1" x14ac:dyDescent="0.25">
      <c r="B2" s="24" t="s">
        <v>138</v>
      </c>
      <c r="C2" s="25"/>
      <c r="D2" s="25"/>
      <c r="E2" s="25"/>
      <c r="F2" s="25"/>
      <c r="G2" s="25"/>
      <c r="H2" s="25"/>
    </row>
    <row r="4" spans="2:8" x14ac:dyDescent="0.25">
      <c r="B4" s="17" t="s">
        <v>139</v>
      </c>
      <c r="C4" s="17" t="s">
        <v>140</v>
      </c>
      <c r="D4" s="17" t="s">
        <v>141</v>
      </c>
      <c r="F4" s="17" t="s">
        <v>139</v>
      </c>
      <c r="G4" s="17" t="s">
        <v>12</v>
      </c>
      <c r="H4" s="17" t="s">
        <v>141</v>
      </c>
    </row>
    <row r="5" spans="2:8" ht="15.75" customHeight="1" x14ac:dyDescent="0.25">
      <c r="B5" s="27">
        <v>1</v>
      </c>
      <c r="C5" s="28" t="s">
        <v>142</v>
      </c>
      <c r="D5" s="28" t="s">
        <v>143</v>
      </c>
      <c r="F5" s="27">
        <v>1</v>
      </c>
      <c r="G5" s="28" t="s">
        <v>14</v>
      </c>
      <c r="H5" s="28" t="s">
        <v>144</v>
      </c>
    </row>
    <row r="6" spans="2:8" ht="15.75" customHeight="1" x14ac:dyDescent="0.25">
      <c r="B6" s="27">
        <v>2</v>
      </c>
      <c r="C6" s="28" t="s">
        <v>145</v>
      </c>
      <c r="D6" s="28" t="s">
        <v>146</v>
      </c>
      <c r="F6" s="27">
        <v>2</v>
      </c>
      <c r="G6" s="28" t="s">
        <v>147</v>
      </c>
      <c r="H6" s="28" t="s">
        <v>148</v>
      </c>
    </row>
    <row r="7" spans="2:8" ht="15.75" customHeight="1" x14ac:dyDescent="0.25">
      <c r="B7" s="27">
        <v>3</v>
      </c>
      <c r="C7" s="28" t="s">
        <v>149</v>
      </c>
      <c r="D7" s="28" t="s">
        <v>104</v>
      </c>
      <c r="F7" s="27">
        <v>3</v>
      </c>
      <c r="G7" s="28" t="s">
        <v>150</v>
      </c>
      <c r="H7" s="28" t="s">
        <v>151</v>
      </c>
    </row>
    <row r="8" spans="2:8" ht="15.75" customHeight="1" x14ac:dyDescent="0.25">
      <c r="B8" s="27">
        <v>4</v>
      </c>
      <c r="C8" s="28" t="s">
        <v>152</v>
      </c>
      <c r="D8" s="28" t="s">
        <v>153</v>
      </c>
      <c r="F8" s="27">
        <v>4</v>
      </c>
      <c r="G8" s="28" t="s">
        <v>154</v>
      </c>
      <c r="H8" s="28" t="s">
        <v>155</v>
      </c>
    </row>
    <row r="9" spans="2:8" ht="15.75" customHeight="1" x14ac:dyDescent="0.25">
      <c r="B9" s="27">
        <v>5</v>
      </c>
      <c r="C9" s="28" t="s">
        <v>156</v>
      </c>
      <c r="D9" s="28" t="s">
        <v>157</v>
      </c>
    </row>
    <row r="10" spans="2:8" ht="15.75" customHeight="1" x14ac:dyDescent="0.25">
      <c r="B10" s="27">
        <v>6</v>
      </c>
      <c r="C10" s="28" t="s">
        <v>158</v>
      </c>
      <c r="D10" s="28" t="s">
        <v>159</v>
      </c>
    </row>
    <row r="11" spans="2:8" ht="15.75" customHeight="1" x14ac:dyDescent="0.25">
      <c r="B11" s="27">
        <v>7</v>
      </c>
      <c r="C11" s="28" t="s">
        <v>160</v>
      </c>
      <c r="D11" s="28" t="s">
        <v>161</v>
      </c>
    </row>
    <row r="12" spans="2:8" ht="15.75" customHeight="1" x14ac:dyDescent="0.25">
      <c r="B12" s="27">
        <v>8</v>
      </c>
      <c r="C12" s="28" t="s">
        <v>162</v>
      </c>
      <c r="D12" s="28" t="s">
        <v>163</v>
      </c>
    </row>
    <row r="13" spans="2:8" ht="15.75" customHeight="1" x14ac:dyDescent="0.25">
      <c r="B13" s="27">
        <v>9</v>
      </c>
      <c r="C13" s="28" t="s">
        <v>164</v>
      </c>
      <c r="D13" s="28" t="s">
        <v>165</v>
      </c>
    </row>
    <row r="14" spans="2:8" ht="15.75" customHeight="1" x14ac:dyDescent="0.25">
      <c r="B14" s="27">
        <v>10</v>
      </c>
      <c r="C14" s="28" t="s">
        <v>166</v>
      </c>
      <c r="D14" s="28" t="s">
        <v>167</v>
      </c>
    </row>
    <row r="15" spans="2:8" ht="15.75" customHeight="1" x14ac:dyDescent="0.25">
      <c r="B15" s="27">
        <v>11</v>
      </c>
      <c r="C15" s="28" t="s">
        <v>168</v>
      </c>
      <c r="D15" s="28" t="s">
        <v>169</v>
      </c>
    </row>
    <row r="16" spans="2:8" ht="15.75" customHeight="1" x14ac:dyDescent="0.25">
      <c r="B16" s="27">
        <v>12</v>
      </c>
      <c r="C16" s="28" t="s">
        <v>170</v>
      </c>
      <c r="D16" s="28" t="s">
        <v>171</v>
      </c>
    </row>
    <row r="17" spans="2:4" ht="15.75" customHeight="1" x14ac:dyDescent="0.25">
      <c r="B17" s="27">
        <v>13</v>
      </c>
      <c r="C17" s="28" t="s">
        <v>172</v>
      </c>
      <c r="D17" s="28" t="s">
        <v>173</v>
      </c>
    </row>
    <row r="18" spans="2:4" ht="15.75" customHeight="1" x14ac:dyDescent="0.25">
      <c r="B18" s="27">
        <v>14</v>
      </c>
      <c r="C18" s="28" t="s">
        <v>174</v>
      </c>
      <c r="D18" s="28" t="s">
        <v>175</v>
      </c>
    </row>
    <row r="19" spans="2:4" ht="15.75" customHeight="1" x14ac:dyDescent="0.25">
      <c r="B19" s="27">
        <v>15</v>
      </c>
      <c r="C19" s="28" t="s">
        <v>176</v>
      </c>
      <c r="D19" s="28" t="s">
        <v>177</v>
      </c>
    </row>
    <row r="20" spans="2:4" ht="15.75" customHeight="1" x14ac:dyDescent="0.25"/>
    <row r="21" spans="2:4" ht="15.75" customHeight="1" x14ac:dyDescent="0.25"/>
    <row r="22" spans="2:4" ht="15.75" customHeight="1" x14ac:dyDescent="0.25"/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Fun - Recaudo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Enrique Pachon Bustos</dc:creator>
  <cp:lastModifiedBy>Andres Enrique Pachon Bustos</cp:lastModifiedBy>
  <dcterms:created xsi:type="dcterms:W3CDTF">2025-11-14T04:31:54Z</dcterms:created>
  <dcterms:modified xsi:type="dcterms:W3CDTF">2025-11-14T04:35:41Z</dcterms:modified>
</cp:coreProperties>
</file>